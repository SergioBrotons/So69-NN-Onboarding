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4"/>
    <sheet state="visible" name="CARD_LOG" sheetId="2" r:id="rId5"/>
    <sheet state="visible" name="WEIGHTS" sheetId="3" r:id="rId6"/>
    <sheet state="visible" name="SUMMARY" sheetId="4" r:id="rId7"/>
    <sheet state="visible" name="Readme" sheetId="5" r:id="rId8"/>
  </sheets>
  <definedNames/>
  <calcPr/>
  <extLst>
    <ext uri="GoogleSheetsCustomDataVersion2">
      <go:sheetsCustomData xmlns:go="http://customooxmlschemas.google.com/" r:id="rId9" roundtripDataChecksum="rv60+87uijmpZTn+aTDrCJJL5UXTGwK5kOMVlJQ4liA="/>
    </ext>
  </extLst>
</workbook>
</file>

<file path=xl/sharedStrings.xml><?xml version="1.0" encoding="utf-8"?>
<sst xmlns="http://schemas.openxmlformats.org/spreadsheetml/2006/main" count="161" uniqueCount="129">
  <si>
    <t>Participant_ID</t>
  </si>
  <si>
    <t>Full_Name</t>
  </si>
  <si>
    <t>Role</t>
  </si>
  <si>
    <t>Mentor_Name</t>
  </si>
  <si>
    <t>Start_Date</t>
  </si>
  <si>
    <t>Status</t>
  </si>
  <si>
    <t>Date</t>
  </si>
  <si>
    <t>Week_ID</t>
  </si>
  <si>
    <t>Card_ID</t>
  </si>
  <si>
    <t>Conceptual</t>
  </si>
  <si>
    <t>Language</t>
  </si>
  <si>
    <t>Compliance</t>
  </si>
  <si>
    <t>Practical</t>
  </si>
  <si>
    <t>Strategic</t>
  </si>
  <si>
    <t>Total_Raw</t>
  </si>
  <si>
    <t>Critical</t>
  </si>
  <si>
    <t>Weighted_Score</t>
  </si>
  <si>
    <t>Remediation_Flag</t>
  </si>
  <si>
    <t>Mentor_Notes</t>
  </si>
  <si>
    <t>Sales</t>
  </si>
  <si>
    <t>Product</t>
  </si>
  <si>
    <t>Technical</t>
  </si>
  <si>
    <t>Cards_Completed</t>
  </si>
  <si>
    <t>Avg_Weighted</t>
  </si>
  <si>
    <t>Critical_Passed</t>
  </si>
  <si>
    <t>Certification_Level</t>
  </si>
  <si>
    <t>1) Card-to-remediation mapping rules</t>
  </si>
  <si>
    <t>Use this like a lookup: failure pattern → primary reinforcement card → secondary card → micro-drill. Keep remediation to max 2 cards/week.</t>
  </si>
  <si>
    <t>A. Language drift and brand risk</t>
  </si>
  <si>
    <t>Failure pattern</t>
  </si>
  <si>
    <t>How it shows up</t>
  </si>
  <si>
    <t>Primary reinforcement</t>
  </si>
  <si>
    <t>Secondary reinforcement</t>
  </si>
  <si>
    <t>Mentor micro-drill (10 min)</t>
  </si>
  <si>
    <t>Forbidden terms used</t>
  </si>
  <si>
    <t>“tracking”, “identify”, “100% compliant”, “WiFi tracker”</t>
  </si>
  <si>
    <t>LANG-02 (Forbidden terms detection)</t>
  </si>
  <si>
    <t>LANG-01 (Canonical vocabulary)</t>
  </si>
  <si>
    <t>Re-say the pitch twice using only approved terms</t>
  </si>
  <si>
    <t>Conceptual drift ES↔EN</t>
  </si>
  <si>
    <t>English becomes softer or introduces new ideas</t>
  </si>
  <si>
    <t>LANG-03 (Controlled translation)</t>
  </si>
  <si>
    <t>LANG-06 (Manifesto tone discipline)</t>
  </si>
  <si>
    <t>Translate one narrative block both ways without adding meaning</t>
  </si>
  <si>
    <t>Overpromising marketing</t>
  </si>
  <si>
    <t>Guaranteed ROI, certainty language, exaggerations</t>
  </si>
  <si>
    <t>LANG-05 (De-hype rewrite)</t>
  </si>
  <si>
    <t>COMP-03 (100% compliance objection)</t>
  </si>
  <si>
    <t>Rewrite 1 paragraph into “disciplined manifesto”</t>
  </si>
  <si>
    <t>“AITANNA as hardware vendor” framing</t>
  </si>
  <si>
    <t>“We sell sensors/routers”</t>
  </si>
  <si>
    <t>CORE-01 (Indivisible system)</t>
  </si>
  <si>
    <t>CORE-02 (Category definition)</t>
  </si>
  <si>
    <t>Explain Brain+Muscle in 60 seconds, then stop</t>
  </si>
  <si>
    <t>B. Compliance and ethics boundary failures</t>
  </si>
  <si>
    <t>Mentor micro-drill</t>
  </si>
  <si>
    <t>Identity implication</t>
  </si>
  <si>
    <t>Any hint of “who it is” or “reconstructing identity”</t>
  </si>
  <si>
    <t>DATA-08 (Aggregation vs identification boundary)</t>
  </si>
  <si>
    <t>COMP-01 (Privacy by Design architecture)</t>
  </si>
  <si>
    <t>Answer: “Can you know who it is?” in one sentence, twice</t>
  </si>
  <si>
    <t>Absolute compliance claims</t>
  </si>
  <si>
    <t>“Fully compliant”, “100% GDPR compliant”</t>
  </si>
  <si>
    <t>COMP-03</t>
  </si>
  <si>
    <t>COMP-02 (Legitimate interest vs consent)</t>
  </si>
  <si>
    <t>Simulate legal Q&amp;A: 3 questions, 30 seconds each</t>
  </si>
  <si>
    <t>Lawful basis confusion</t>
  </si>
  <si>
    <t>Treats consent as required for traffic insights, or mixes purposes</t>
  </si>
  <si>
    <t>COMP-02</t>
  </si>
  <si>
    <t>COMP-06 (Purpose separation)</t>
  </si>
  <si>
    <t>Draw 2 flows: Traffic Insights vs Join &amp; Connect</t>
  </si>
  <si>
    <t>Minimization weakness</t>
  </si>
  <si>
    <t>Wants to collect more “just in case”</t>
  </si>
  <si>
    <t>COMP-04 (Minimization)</t>
  </si>
  <si>
    <t>PROD-04 (Privacy risk assessment)</t>
  </si>
  <si>
    <t>“What data do we refuse to collect and why?”</t>
  </si>
  <si>
    <t>C. KPI and analytics reasoning failures</t>
  </si>
  <si>
    <t>Visit vs bounce confusion</t>
  </si>
  <si>
    <t>Misuses dwell threshold</t>
  </si>
  <si>
    <t>DATA-03</t>
  </si>
  <si>
    <t>DATA-02</t>
  </si>
  <si>
    <t>Classify 5 examples as visit/bounce with reason</t>
  </si>
  <si>
    <t>Capture Rate misrepresentation</t>
  </si>
  <si>
    <t>Presented as “accuracy guarantee”</t>
  </si>
  <si>
    <t>DATA-04</t>
  </si>
  <si>
    <t>LANG-05</t>
  </si>
  <si>
    <t>Explain Capture Rate limitations to a skeptical CFO</t>
  </si>
  <si>
    <t>KPI→decision weakness</t>
  </si>
  <si>
    <t>Can define metrics but not business actions</t>
  </si>
  <si>
    <t>DATA-05</t>
  </si>
  <si>
    <t>CORE-05 (Why now)</t>
  </si>
  <si>
    <t>Map 3 KPIs to 3 decisions in 3 minutes</t>
  </si>
  <si>
    <t>Zone logic confusion</t>
  </si>
  <si>
    <t>Misreads flows, zone performance</t>
  </si>
  <si>
    <t>DATA-07</t>
  </si>
  <si>
    <t>DATA-01</t>
  </si>
  <si>
    <t>Interpret a zone scenario: what action would you take?</t>
  </si>
  <si>
    <t>D. Technical execution failures (Tech track)</t>
  </si>
  <si>
    <t>RSSI overconfidence</t>
  </si>
  <si>
    <t>Treats RSSI as exact distance</t>
  </si>
  <si>
    <t>TECH-02</t>
  </si>
  <si>
    <t>TECH-01</t>
  </si>
  <si>
    <t>Explain RSSI limits in one minute</t>
  </si>
  <si>
    <t>Hash-at-origin misunderstanding</t>
  </si>
  <si>
    <t>Describes storing raw identifiers</t>
  </si>
  <si>
    <t>TECH-03</t>
  </si>
  <si>
    <t>COMP-01</t>
  </si>
  <si>
    <t>Draw “before storage” transformation flow</t>
  </si>
  <si>
    <t>Dedup logic confusion</t>
  </si>
  <si>
    <t>Uses “identification” language</t>
  </si>
  <si>
    <t>TECH-04</t>
  </si>
  <si>
    <t>Explain continuity without identity (two examples)</t>
  </si>
  <si>
    <t>Noise/staff filtering mistakes</t>
  </si>
  <si>
    <t>Wrong thresholds or staff inclusion</t>
  </si>
  <si>
    <t>TECH-05 / TECH-06 (choose one)</t>
  </si>
  <si>
    <t>Diagnose a “too many visits” symptom</t>
  </si>
  <si>
    <t>E. Strategic maturity failures (All roles)</t>
  </si>
  <si>
    <t>“Dashboard thinking”</t>
  </si>
  <si>
    <t>Reports metrics without insight/action</t>
  </si>
  <si>
    <t>CORE-06</t>
  </si>
  <si>
    <t>Turn one KPI into one decision + one experiment</t>
  </si>
  <si>
    <t>Solution-first selling</t>
  </si>
  <si>
    <t>Jumps to tech before problem</t>
  </si>
  <si>
    <t>SALES-01</t>
  </si>
  <si>
    <t>SALES-02</t>
  </si>
  <si>
    <t>5 discovery questions before mentioning technology</t>
  </si>
  <si>
    <t>Feature-first product</t>
  </si>
  <si>
    <t>Roadmap ignores constraints</t>
  </si>
  <si>
    <t>PROD-08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</si>
</sst>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3" numFmtId="2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A9D08E"/>
          <bgColor rgb="FFA9D08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12.0"/>
    <col customWidth="1" min="4" max="4" width="20.0"/>
    <col customWidth="1" min="5" max="6" width="14.0"/>
    <col customWidth="1" min="7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C2" s="2"/>
      <c r="E2" s="3"/>
      <c r="F2" s="2"/>
    </row>
    <row r="3">
      <c r="C3" s="2"/>
      <c r="E3" s="3"/>
      <c r="F3" s="2"/>
    </row>
    <row r="4">
      <c r="C4" s="2"/>
      <c r="E4" s="3"/>
      <c r="F4" s="2"/>
    </row>
    <row r="5">
      <c r="C5" s="2"/>
      <c r="E5" s="3"/>
      <c r="F5" s="2"/>
    </row>
    <row r="6">
      <c r="C6" s="2"/>
      <c r="E6" s="3"/>
      <c r="F6" s="2"/>
    </row>
    <row r="7">
      <c r="C7" s="2"/>
      <c r="E7" s="3"/>
      <c r="F7" s="2"/>
    </row>
    <row r="8">
      <c r="C8" s="2"/>
      <c r="E8" s="3"/>
      <c r="F8" s="2"/>
    </row>
    <row r="9">
      <c r="C9" s="2"/>
      <c r="E9" s="3"/>
      <c r="F9" s="2"/>
    </row>
    <row r="10">
      <c r="C10" s="2"/>
      <c r="E10" s="3"/>
      <c r="F10" s="2"/>
    </row>
    <row r="11">
      <c r="C11" s="2"/>
      <c r="E11" s="3"/>
      <c r="F11" s="2"/>
    </row>
    <row r="12">
      <c r="C12" s="2"/>
      <c r="E12" s="3"/>
      <c r="F12" s="2"/>
    </row>
    <row r="13">
      <c r="C13" s="2"/>
      <c r="E13" s="3"/>
      <c r="F13" s="2"/>
    </row>
    <row r="14">
      <c r="C14" s="2"/>
      <c r="E14" s="3"/>
      <c r="F14" s="2"/>
    </row>
    <row r="15">
      <c r="C15" s="2"/>
      <c r="E15" s="3"/>
      <c r="F15" s="2"/>
    </row>
    <row r="16">
      <c r="C16" s="2"/>
      <c r="E16" s="3"/>
      <c r="F16" s="2"/>
    </row>
    <row r="17">
      <c r="C17" s="2"/>
      <c r="E17" s="3"/>
      <c r="F17" s="2"/>
    </row>
    <row r="18">
      <c r="C18" s="2"/>
      <c r="E18" s="3"/>
      <c r="F18" s="2"/>
    </row>
    <row r="19">
      <c r="C19" s="2"/>
      <c r="E19" s="3"/>
      <c r="F19" s="2"/>
    </row>
    <row r="20">
      <c r="C20" s="2"/>
      <c r="E20" s="3"/>
      <c r="F20" s="2"/>
    </row>
    <row r="21" ht="15.75" customHeight="1">
      <c r="C21" s="2"/>
      <c r="E21" s="3"/>
      <c r="F21" s="2"/>
    </row>
    <row r="22" ht="15.75" customHeight="1">
      <c r="C22" s="2"/>
      <c r="E22" s="3"/>
      <c r="F22" s="2"/>
    </row>
    <row r="23" ht="15.75" customHeight="1">
      <c r="C23" s="2"/>
      <c r="E23" s="3"/>
      <c r="F23" s="2"/>
    </row>
    <row r="24" ht="15.75" customHeight="1">
      <c r="C24" s="2"/>
      <c r="E24" s="3"/>
      <c r="F24" s="2"/>
    </row>
    <row r="25" ht="15.75" customHeight="1">
      <c r="C25" s="2"/>
      <c r="E25" s="3"/>
      <c r="F25" s="2"/>
    </row>
    <row r="26" ht="15.75" customHeight="1">
      <c r="C26" s="2"/>
      <c r="E26" s="3"/>
      <c r="F26" s="2"/>
    </row>
    <row r="27" ht="15.75" customHeight="1">
      <c r="C27" s="2"/>
      <c r="E27" s="3"/>
      <c r="F27" s="2"/>
    </row>
    <row r="28" ht="15.75" customHeight="1">
      <c r="C28" s="2"/>
      <c r="E28" s="3"/>
      <c r="F28" s="2"/>
    </row>
    <row r="29" ht="15.75" customHeight="1">
      <c r="C29" s="2"/>
      <c r="E29" s="3"/>
      <c r="F29" s="2"/>
    </row>
    <row r="30" ht="15.75" customHeight="1">
      <c r="C30" s="2"/>
      <c r="E30" s="3"/>
      <c r="F30" s="2"/>
    </row>
    <row r="31" ht="15.75" customHeight="1">
      <c r="C31" s="2"/>
      <c r="E31" s="3"/>
      <c r="F31" s="2"/>
    </row>
    <row r="32" ht="15.75" customHeight="1">
      <c r="C32" s="2"/>
      <c r="E32" s="3"/>
      <c r="F32" s="2"/>
    </row>
    <row r="33" ht="15.75" customHeight="1">
      <c r="C33" s="2"/>
      <c r="E33" s="3"/>
      <c r="F33" s="2"/>
    </row>
    <row r="34" ht="15.75" customHeight="1">
      <c r="C34" s="2"/>
      <c r="E34" s="3"/>
      <c r="F34" s="2"/>
    </row>
    <row r="35" ht="15.75" customHeight="1">
      <c r="C35" s="2"/>
      <c r="E35" s="3"/>
      <c r="F35" s="2"/>
    </row>
    <row r="36" ht="15.75" customHeight="1">
      <c r="C36" s="2"/>
      <c r="E36" s="3"/>
      <c r="F36" s="2"/>
    </row>
    <row r="37" ht="15.75" customHeight="1">
      <c r="C37" s="2"/>
      <c r="E37" s="3"/>
      <c r="F37" s="2"/>
    </row>
    <row r="38" ht="15.75" customHeight="1">
      <c r="C38" s="2"/>
      <c r="E38" s="3"/>
      <c r="F38" s="2"/>
    </row>
    <row r="39" ht="15.75" customHeight="1">
      <c r="C39" s="2"/>
      <c r="E39" s="3"/>
      <c r="F39" s="2"/>
    </row>
    <row r="40" ht="15.75" customHeight="1">
      <c r="C40" s="2"/>
      <c r="E40" s="3"/>
      <c r="F40" s="2"/>
    </row>
    <row r="41" ht="15.75" customHeight="1">
      <c r="C41" s="2"/>
      <c r="E41" s="3"/>
      <c r="F41" s="2"/>
    </row>
    <row r="42" ht="15.75" customHeight="1">
      <c r="C42" s="2"/>
      <c r="E42" s="3"/>
      <c r="F42" s="2"/>
    </row>
    <row r="43" ht="15.75" customHeight="1">
      <c r="C43" s="2"/>
      <c r="E43" s="3"/>
      <c r="F43" s="2"/>
    </row>
    <row r="44" ht="15.75" customHeight="1">
      <c r="C44" s="2"/>
      <c r="E44" s="3"/>
      <c r="F44" s="2"/>
    </row>
    <row r="45" ht="15.75" customHeight="1">
      <c r="C45" s="2"/>
      <c r="E45" s="3"/>
      <c r="F45" s="2"/>
    </row>
    <row r="46" ht="15.75" customHeight="1">
      <c r="C46" s="2"/>
      <c r="E46" s="3"/>
      <c r="F46" s="2"/>
    </row>
    <row r="47" ht="15.75" customHeight="1">
      <c r="C47" s="2"/>
      <c r="E47" s="3"/>
      <c r="F47" s="2"/>
    </row>
    <row r="48" ht="15.75" customHeight="1">
      <c r="C48" s="2"/>
      <c r="E48" s="3"/>
      <c r="F48" s="2"/>
    </row>
    <row r="49" ht="15.75" customHeight="1">
      <c r="C49" s="2"/>
      <c r="E49" s="3"/>
      <c r="F49" s="2"/>
    </row>
    <row r="50" ht="15.75" customHeight="1">
      <c r="C50" s="2"/>
      <c r="E50" s="3"/>
      <c r="F50" s="2"/>
    </row>
    <row r="51" ht="15.75" customHeight="1">
      <c r="C51" s="2"/>
      <c r="E51" s="3"/>
      <c r="F51" s="2"/>
    </row>
    <row r="52" ht="15.75" customHeight="1">
      <c r="C52" s="2"/>
      <c r="E52" s="3"/>
      <c r="F52" s="2"/>
    </row>
    <row r="53" ht="15.75" customHeight="1">
      <c r="C53" s="2"/>
      <c r="E53" s="3"/>
      <c r="F53" s="2"/>
    </row>
    <row r="54" ht="15.75" customHeight="1">
      <c r="C54" s="2"/>
      <c r="E54" s="3"/>
      <c r="F54" s="2"/>
    </row>
    <row r="55" ht="15.75" customHeight="1">
      <c r="C55" s="2"/>
      <c r="E55" s="3"/>
      <c r="F55" s="2"/>
    </row>
    <row r="56" ht="15.75" customHeight="1">
      <c r="C56" s="2"/>
      <c r="E56" s="3"/>
      <c r="F56" s="2"/>
    </row>
    <row r="57" ht="15.75" customHeight="1">
      <c r="C57" s="2"/>
      <c r="E57" s="3"/>
      <c r="F57" s="2"/>
    </row>
    <row r="58" ht="15.75" customHeight="1">
      <c r="C58" s="2"/>
      <c r="E58" s="3"/>
      <c r="F58" s="2"/>
    </row>
    <row r="59" ht="15.75" customHeight="1">
      <c r="C59" s="2"/>
      <c r="E59" s="3"/>
      <c r="F59" s="2"/>
    </row>
    <row r="60" ht="15.75" customHeight="1">
      <c r="C60" s="2"/>
      <c r="E60" s="3"/>
      <c r="F60" s="2"/>
    </row>
    <row r="61" ht="15.75" customHeight="1">
      <c r="C61" s="2"/>
      <c r="E61" s="3"/>
      <c r="F61" s="2"/>
    </row>
    <row r="62" ht="15.75" customHeight="1">
      <c r="C62" s="2"/>
      <c r="E62" s="3"/>
      <c r="F62" s="2"/>
    </row>
    <row r="63" ht="15.75" customHeight="1">
      <c r="C63" s="2"/>
      <c r="E63" s="3"/>
      <c r="F63" s="2"/>
    </row>
    <row r="64" ht="15.75" customHeight="1">
      <c r="C64" s="2"/>
      <c r="E64" s="3"/>
      <c r="F64" s="2"/>
    </row>
    <row r="65" ht="15.75" customHeight="1">
      <c r="C65" s="2"/>
      <c r="E65" s="3"/>
      <c r="F65" s="2"/>
    </row>
    <row r="66" ht="15.75" customHeight="1">
      <c r="C66" s="2"/>
      <c r="E66" s="3"/>
      <c r="F66" s="2"/>
    </row>
    <row r="67" ht="15.75" customHeight="1">
      <c r="C67" s="2"/>
      <c r="E67" s="3"/>
      <c r="F67" s="2"/>
    </row>
    <row r="68" ht="15.75" customHeight="1">
      <c r="C68" s="2"/>
      <c r="E68" s="3"/>
      <c r="F68" s="2"/>
    </row>
    <row r="69" ht="15.75" customHeight="1">
      <c r="C69" s="2"/>
      <c r="E69" s="3"/>
      <c r="F69" s="2"/>
    </row>
    <row r="70" ht="15.75" customHeight="1">
      <c r="C70" s="2"/>
      <c r="E70" s="3"/>
      <c r="F70" s="2"/>
    </row>
    <row r="71" ht="15.75" customHeight="1">
      <c r="C71" s="2"/>
      <c r="E71" s="3"/>
      <c r="F71" s="2"/>
    </row>
    <row r="72" ht="15.75" customHeight="1">
      <c r="C72" s="2"/>
      <c r="E72" s="3"/>
      <c r="F72" s="2"/>
    </row>
    <row r="73" ht="15.75" customHeight="1">
      <c r="C73" s="2"/>
      <c r="E73" s="3"/>
      <c r="F73" s="2"/>
    </row>
    <row r="74" ht="15.75" customHeight="1">
      <c r="C74" s="2"/>
      <c r="E74" s="3"/>
      <c r="F74" s="2"/>
    </row>
    <row r="75" ht="15.75" customHeight="1">
      <c r="C75" s="2"/>
      <c r="E75" s="3"/>
      <c r="F75" s="2"/>
    </row>
    <row r="76" ht="15.75" customHeight="1">
      <c r="C76" s="2"/>
      <c r="E76" s="3"/>
      <c r="F76" s="2"/>
    </row>
    <row r="77" ht="15.75" customHeight="1">
      <c r="C77" s="2"/>
      <c r="E77" s="3"/>
      <c r="F77" s="2"/>
    </row>
    <row r="78" ht="15.75" customHeight="1">
      <c r="C78" s="2"/>
      <c r="E78" s="3"/>
      <c r="F78" s="2"/>
    </row>
    <row r="79" ht="15.75" customHeight="1">
      <c r="C79" s="2"/>
      <c r="E79" s="3"/>
      <c r="F79" s="2"/>
    </row>
    <row r="80" ht="15.75" customHeight="1">
      <c r="C80" s="2"/>
      <c r="E80" s="3"/>
      <c r="F80" s="2"/>
    </row>
    <row r="81" ht="15.75" customHeight="1">
      <c r="C81" s="2"/>
      <c r="E81" s="3"/>
      <c r="F81" s="2"/>
    </row>
    <row r="82" ht="15.75" customHeight="1">
      <c r="C82" s="2"/>
      <c r="E82" s="3"/>
      <c r="F82" s="2"/>
    </row>
    <row r="83" ht="15.75" customHeight="1">
      <c r="C83" s="2"/>
      <c r="E83" s="3"/>
      <c r="F83" s="2"/>
    </row>
    <row r="84" ht="15.75" customHeight="1">
      <c r="C84" s="2"/>
      <c r="E84" s="3"/>
      <c r="F84" s="2"/>
    </row>
    <row r="85" ht="15.75" customHeight="1">
      <c r="C85" s="2"/>
      <c r="E85" s="3"/>
      <c r="F85" s="2"/>
    </row>
    <row r="86" ht="15.75" customHeight="1">
      <c r="C86" s="2"/>
      <c r="E86" s="3"/>
      <c r="F86" s="2"/>
    </row>
    <row r="87" ht="15.75" customHeight="1">
      <c r="C87" s="2"/>
      <c r="E87" s="3"/>
      <c r="F87" s="2"/>
    </row>
    <row r="88" ht="15.75" customHeight="1">
      <c r="C88" s="2"/>
      <c r="E88" s="3"/>
      <c r="F88" s="2"/>
    </row>
    <row r="89" ht="15.75" customHeight="1">
      <c r="C89" s="2"/>
      <c r="E89" s="3"/>
      <c r="F89" s="2"/>
    </row>
    <row r="90" ht="15.75" customHeight="1">
      <c r="C90" s="2"/>
      <c r="E90" s="3"/>
      <c r="F90" s="2"/>
    </row>
    <row r="91" ht="15.75" customHeight="1">
      <c r="C91" s="2"/>
      <c r="E91" s="3"/>
      <c r="F91" s="2"/>
    </row>
    <row r="92" ht="15.75" customHeight="1">
      <c r="C92" s="2"/>
      <c r="E92" s="3"/>
      <c r="F92" s="2"/>
    </row>
    <row r="93" ht="15.75" customHeight="1">
      <c r="C93" s="2"/>
      <c r="E93" s="3"/>
      <c r="F93" s="2"/>
    </row>
    <row r="94" ht="15.75" customHeight="1">
      <c r="C94" s="2"/>
      <c r="E94" s="3"/>
      <c r="F94" s="2"/>
    </row>
    <row r="95" ht="15.75" customHeight="1">
      <c r="C95" s="2"/>
      <c r="E95" s="3"/>
      <c r="F95" s="2"/>
    </row>
    <row r="96" ht="15.75" customHeight="1">
      <c r="C96" s="2"/>
      <c r="E96" s="3"/>
      <c r="F96" s="2"/>
    </row>
    <row r="97" ht="15.75" customHeight="1">
      <c r="C97" s="2"/>
      <c r="E97" s="3"/>
      <c r="F97" s="2"/>
    </row>
    <row r="98" ht="15.75" customHeight="1">
      <c r="C98" s="2"/>
      <c r="E98" s="3"/>
      <c r="F98" s="2"/>
    </row>
    <row r="99" ht="15.75" customHeight="1">
      <c r="C99" s="2"/>
      <c r="E99" s="3"/>
      <c r="F99" s="2"/>
    </row>
    <row r="100" ht="15.75" customHeight="1">
      <c r="C100" s="2"/>
      <c r="E100" s="3"/>
      <c r="F100" s="2"/>
    </row>
    <row r="101" ht="15.75" customHeight="1">
      <c r="C101" s="2"/>
      <c r="E101" s="3"/>
      <c r="F101" s="2"/>
    </row>
    <row r="102" ht="15.75" customHeight="1">
      <c r="C102" s="2"/>
      <c r="E102" s="3"/>
      <c r="F102" s="2"/>
    </row>
    <row r="103" ht="15.75" customHeight="1">
      <c r="C103" s="2"/>
      <c r="E103" s="3"/>
      <c r="F103" s="2"/>
    </row>
    <row r="104" ht="15.75" customHeight="1">
      <c r="C104" s="2"/>
      <c r="E104" s="3"/>
      <c r="F104" s="2"/>
    </row>
    <row r="105" ht="15.75" customHeight="1">
      <c r="C105" s="2"/>
      <c r="E105" s="3"/>
      <c r="F105" s="2"/>
    </row>
    <row r="106" ht="15.75" customHeight="1">
      <c r="C106" s="2"/>
      <c r="E106" s="3"/>
      <c r="F106" s="2"/>
    </row>
    <row r="107" ht="15.75" customHeight="1">
      <c r="C107" s="2"/>
      <c r="E107" s="3"/>
      <c r="F107" s="2"/>
    </row>
    <row r="108" ht="15.75" customHeight="1">
      <c r="C108" s="2"/>
      <c r="E108" s="3"/>
      <c r="F108" s="2"/>
    </row>
    <row r="109" ht="15.75" customHeight="1">
      <c r="C109" s="2"/>
      <c r="E109" s="3"/>
      <c r="F109" s="2"/>
    </row>
    <row r="110" ht="15.75" customHeight="1">
      <c r="C110" s="2"/>
      <c r="E110" s="3"/>
      <c r="F110" s="2"/>
    </row>
    <row r="111" ht="15.75" customHeight="1">
      <c r="C111" s="2"/>
      <c r="E111" s="3"/>
      <c r="F111" s="2"/>
    </row>
    <row r="112" ht="15.75" customHeight="1">
      <c r="C112" s="2"/>
      <c r="E112" s="3"/>
      <c r="F112" s="2"/>
    </row>
    <row r="113" ht="15.75" customHeight="1">
      <c r="C113" s="2"/>
      <c r="E113" s="3"/>
      <c r="F113" s="2"/>
    </row>
    <row r="114" ht="15.75" customHeight="1">
      <c r="C114" s="2"/>
      <c r="E114" s="3"/>
      <c r="F114" s="2"/>
    </row>
    <row r="115" ht="15.75" customHeight="1">
      <c r="C115" s="2"/>
      <c r="E115" s="3"/>
      <c r="F115" s="2"/>
    </row>
    <row r="116" ht="15.75" customHeight="1">
      <c r="C116" s="2"/>
      <c r="E116" s="3"/>
      <c r="F116" s="2"/>
    </row>
    <row r="117" ht="15.75" customHeight="1">
      <c r="C117" s="2"/>
      <c r="E117" s="3"/>
      <c r="F117" s="2"/>
    </row>
    <row r="118" ht="15.75" customHeight="1">
      <c r="C118" s="2"/>
      <c r="E118" s="3"/>
      <c r="F118" s="2"/>
    </row>
    <row r="119" ht="15.75" customHeight="1">
      <c r="C119" s="2"/>
      <c r="E119" s="3"/>
      <c r="F119" s="2"/>
    </row>
    <row r="120" ht="15.75" customHeight="1">
      <c r="C120" s="2"/>
      <c r="E120" s="3"/>
      <c r="F120" s="2"/>
    </row>
    <row r="121" ht="15.75" customHeight="1">
      <c r="C121" s="2"/>
      <c r="E121" s="3"/>
      <c r="F121" s="2"/>
    </row>
    <row r="122" ht="15.75" customHeight="1">
      <c r="C122" s="2"/>
      <c r="E122" s="3"/>
      <c r="F122" s="2"/>
    </row>
    <row r="123" ht="15.75" customHeight="1">
      <c r="C123" s="2"/>
      <c r="E123" s="3"/>
      <c r="F123" s="2"/>
    </row>
    <row r="124" ht="15.75" customHeight="1">
      <c r="C124" s="2"/>
      <c r="E124" s="3"/>
      <c r="F124" s="2"/>
    </row>
    <row r="125" ht="15.75" customHeight="1">
      <c r="C125" s="2"/>
      <c r="E125" s="3"/>
      <c r="F125" s="2"/>
    </row>
    <row r="126" ht="15.75" customHeight="1">
      <c r="C126" s="2"/>
      <c r="E126" s="3"/>
      <c r="F126" s="2"/>
    </row>
    <row r="127" ht="15.75" customHeight="1">
      <c r="C127" s="2"/>
      <c r="E127" s="3"/>
      <c r="F127" s="2"/>
    </row>
    <row r="128" ht="15.75" customHeight="1">
      <c r="C128" s="2"/>
      <c r="E128" s="3"/>
      <c r="F128" s="2"/>
    </row>
    <row r="129" ht="15.75" customHeight="1">
      <c r="C129" s="2"/>
      <c r="E129" s="3"/>
      <c r="F129" s="2"/>
    </row>
    <row r="130" ht="15.75" customHeight="1">
      <c r="C130" s="2"/>
      <c r="E130" s="3"/>
      <c r="F130" s="2"/>
    </row>
    <row r="131" ht="15.75" customHeight="1">
      <c r="C131" s="2"/>
      <c r="E131" s="3"/>
      <c r="F131" s="2"/>
    </row>
    <row r="132" ht="15.75" customHeight="1">
      <c r="C132" s="2"/>
      <c r="E132" s="3"/>
      <c r="F132" s="2"/>
    </row>
    <row r="133" ht="15.75" customHeight="1">
      <c r="C133" s="2"/>
      <c r="E133" s="3"/>
      <c r="F133" s="2"/>
    </row>
    <row r="134" ht="15.75" customHeight="1">
      <c r="C134" s="2"/>
      <c r="E134" s="3"/>
      <c r="F134" s="2"/>
    </row>
    <row r="135" ht="15.75" customHeight="1">
      <c r="C135" s="2"/>
      <c r="E135" s="3"/>
      <c r="F135" s="2"/>
    </row>
    <row r="136" ht="15.75" customHeight="1">
      <c r="C136" s="2"/>
      <c r="E136" s="3"/>
      <c r="F136" s="2"/>
    </row>
    <row r="137" ht="15.75" customHeight="1">
      <c r="C137" s="2"/>
      <c r="E137" s="3"/>
      <c r="F137" s="2"/>
    </row>
    <row r="138" ht="15.75" customHeight="1">
      <c r="C138" s="2"/>
      <c r="E138" s="3"/>
      <c r="F138" s="2"/>
    </row>
    <row r="139" ht="15.75" customHeight="1">
      <c r="C139" s="2"/>
      <c r="E139" s="3"/>
      <c r="F139" s="2"/>
    </row>
    <row r="140" ht="15.75" customHeight="1">
      <c r="C140" s="2"/>
      <c r="E140" s="3"/>
      <c r="F140" s="2"/>
    </row>
    <row r="141" ht="15.75" customHeight="1">
      <c r="C141" s="2"/>
      <c r="E141" s="3"/>
      <c r="F141" s="2"/>
    </row>
    <row r="142" ht="15.75" customHeight="1">
      <c r="C142" s="2"/>
      <c r="E142" s="3"/>
      <c r="F142" s="2"/>
    </row>
    <row r="143" ht="15.75" customHeight="1">
      <c r="C143" s="2"/>
      <c r="E143" s="3"/>
      <c r="F143" s="2"/>
    </row>
    <row r="144" ht="15.75" customHeight="1">
      <c r="C144" s="2"/>
      <c r="E144" s="3"/>
      <c r="F144" s="2"/>
    </row>
    <row r="145" ht="15.75" customHeight="1">
      <c r="C145" s="2"/>
      <c r="E145" s="3"/>
      <c r="F145" s="2"/>
    </row>
    <row r="146" ht="15.75" customHeight="1">
      <c r="C146" s="2"/>
      <c r="E146" s="3"/>
      <c r="F146" s="2"/>
    </row>
    <row r="147" ht="15.75" customHeight="1">
      <c r="C147" s="2"/>
      <c r="E147" s="3"/>
      <c r="F147" s="2"/>
    </row>
    <row r="148" ht="15.75" customHeight="1">
      <c r="C148" s="2"/>
      <c r="E148" s="3"/>
      <c r="F148" s="2"/>
    </row>
    <row r="149" ht="15.75" customHeight="1">
      <c r="C149" s="2"/>
      <c r="E149" s="3"/>
      <c r="F149" s="2"/>
    </row>
    <row r="150" ht="15.75" customHeight="1">
      <c r="C150" s="2"/>
      <c r="E150" s="3"/>
      <c r="F150" s="2"/>
    </row>
    <row r="151" ht="15.75" customHeight="1">
      <c r="C151" s="2"/>
      <c r="E151" s="3"/>
      <c r="F151" s="2"/>
    </row>
    <row r="152" ht="15.75" customHeight="1">
      <c r="C152" s="2"/>
      <c r="E152" s="3"/>
      <c r="F152" s="2"/>
    </row>
    <row r="153" ht="15.75" customHeight="1">
      <c r="C153" s="2"/>
      <c r="E153" s="3"/>
      <c r="F153" s="2"/>
    </row>
    <row r="154" ht="15.75" customHeight="1">
      <c r="C154" s="2"/>
      <c r="E154" s="3"/>
      <c r="F154" s="2"/>
    </row>
    <row r="155" ht="15.75" customHeight="1">
      <c r="C155" s="2"/>
      <c r="E155" s="3"/>
      <c r="F155" s="2"/>
    </row>
    <row r="156" ht="15.75" customHeight="1">
      <c r="C156" s="2"/>
      <c r="E156" s="3"/>
      <c r="F156" s="2"/>
    </row>
    <row r="157" ht="15.75" customHeight="1">
      <c r="C157" s="2"/>
      <c r="E157" s="3"/>
      <c r="F157" s="2"/>
    </row>
    <row r="158" ht="15.75" customHeight="1">
      <c r="C158" s="2"/>
      <c r="E158" s="3"/>
      <c r="F158" s="2"/>
    </row>
    <row r="159" ht="15.75" customHeight="1">
      <c r="C159" s="2"/>
      <c r="E159" s="3"/>
      <c r="F159" s="2"/>
    </row>
    <row r="160" ht="15.75" customHeight="1">
      <c r="C160" s="2"/>
      <c r="E160" s="3"/>
      <c r="F160" s="2"/>
    </row>
    <row r="161" ht="15.75" customHeight="1">
      <c r="C161" s="2"/>
      <c r="E161" s="3"/>
      <c r="F161" s="2"/>
    </row>
    <row r="162" ht="15.75" customHeight="1">
      <c r="C162" s="2"/>
      <c r="E162" s="3"/>
      <c r="F162" s="2"/>
    </row>
    <row r="163" ht="15.75" customHeight="1">
      <c r="C163" s="2"/>
      <c r="E163" s="3"/>
      <c r="F163" s="2"/>
    </row>
    <row r="164" ht="15.75" customHeight="1">
      <c r="C164" s="2"/>
      <c r="E164" s="3"/>
      <c r="F164" s="2"/>
    </row>
    <row r="165" ht="15.75" customHeight="1">
      <c r="C165" s="2"/>
      <c r="E165" s="3"/>
      <c r="F165" s="2"/>
    </row>
    <row r="166" ht="15.75" customHeight="1">
      <c r="C166" s="2"/>
      <c r="E166" s="3"/>
      <c r="F166" s="2"/>
    </row>
    <row r="167" ht="15.75" customHeight="1">
      <c r="C167" s="2"/>
      <c r="E167" s="3"/>
      <c r="F167" s="2"/>
    </row>
    <row r="168" ht="15.75" customHeight="1">
      <c r="C168" s="2"/>
      <c r="E168" s="3"/>
      <c r="F168" s="2"/>
    </row>
    <row r="169" ht="15.75" customHeight="1">
      <c r="C169" s="2"/>
      <c r="E169" s="3"/>
      <c r="F169" s="2"/>
    </row>
    <row r="170" ht="15.75" customHeight="1">
      <c r="C170" s="2"/>
      <c r="E170" s="3"/>
      <c r="F170" s="2"/>
    </row>
    <row r="171" ht="15.75" customHeight="1">
      <c r="C171" s="2"/>
      <c r="E171" s="3"/>
      <c r="F171" s="2"/>
    </row>
    <row r="172" ht="15.75" customHeight="1">
      <c r="C172" s="2"/>
      <c r="E172" s="3"/>
      <c r="F172" s="2"/>
    </row>
    <row r="173" ht="15.75" customHeight="1">
      <c r="C173" s="2"/>
      <c r="E173" s="3"/>
      <c r="F173" s="2"/>
    </row>
    <row r="174" ht="15.75" customHeight="1">
      <c r="C174" s="2"/>
      <c r="E174" s="3"/>
      <c r="F174" s="2"/>
    </row>
    <row r="175" ht="15.75" customHeight="1">
      <c r="C175" s="2"/>
      <c r="E175" s="3"/>
      <c r="F175" s="2"/>
    </row>
    <row r="176" ht="15.75" customHeight="1">
      <c r="C176" s="2"/>
      <c r="E176" s="3"/>
      <c r="F176" s="2"/>
    </row>
    <row r="177" ht="15.75" customHeight="1">
      <c r="C177" s="2"/>
      <c r="E177" s="3"/>
      <c r="F177" s="2"/>
    </row>
    <row r="178" ht="15.75" customHeight="1">
      <c r="C178" s="2"/>
      <c r="E178" s="3"/>
      <c r="F178" s="2"/>
    </row>
    <row r="179" ht="15.75" customHeight="1">
      <c r="C179" s="2"/>
      <c r="E179" s="3"/>
      <c r="F179" s="2"/>
    </row>
    <row r="180" ht="15.75" customHeight="1">
      <c r="C180" s="2"/>
      <c r="E180" s="3"/>
      <c r="F180" s="2"/>
    </row>
    <row r="181" ht="15.75" customHeight="1">
      <c r="C181" s="2"/>
      <c r="E181" s="3"/>
      <c r="F181" s="2"/>
    </row>
    <row r="182" ht="15.75" customHeight="1">
      <c r="C182" s="2"/>
      <c r="E182" s="3"/>
      <c r="F182" s="2"/>
    </row>
    <row r="183" ht="15.75" customHeight="1">
      <c r="C183" s="2"/>
      <c r="E183" s="3"/>
      <c r="F183" s="2"/>
    </row>
    <row r="184" ht="15.75" customHeight="1">
      <c r="C184" s="2"/>
      <c r="E184" s="3"/>
      <c r="F184" s="2"/>
    </row>
    <row r="185" ht="15.75" customHeight="1">
      <c r="C185" s="2"/>
      <c r="E185" s="3"/>
      <c r="F185" s="2"/>
    </row>
    <row r="186" ht="15.75" customHeight="1">
      <c r="C186" s="2"/>
      <c r="E186" s="3"/>
      <c r="F186" s="2"/>
    </row>
    <row r="187" ht="15.75" customHeight="1">
      <c r="C187" s="2"/>
      <c r="E187" s="3"/>
      <c r="F187" s="2"/>
    </row>
    <row r="188" ht="15.75" customHeight="1">
      <c r="C188" s="2"/>
      <c r="E188" s="3"/>
      <c r="F188" s="2"/>
    </row>
    <row r="189" ht="15.75" customHeight="1">
      <c r="C189" s="2"/>
      <c r="E189" s="3"/>
      <c r="F189" s="2"/>
    </row>
    <row r="190" ht="15.75" customHeight="1">
      <c r="C190" s="2"/>
      <c r="E190" s="3"/>
      <c r="F190" s="2"/>
    </row>
    <row r="191" ht="15.75" customHeight="1">
      <c r="C191" s="2"/>
      <c r="E191" s="3"/>
      <c r="F191" s="2"/>
    </row>
    <row r="192" ht="15.75" customHeight="1">
      <c r="C192" s="2"/>
      <c r="E192" s="3"/>
      <c r="F192" s="2"/>
    </row>
    <row r="193" ht="15.75" customHeight="1">
      <c r="C193" s="2"/>
      <c r="E193" s="3"/>
      <c r="F193" s="2"/>
    </row>
    <row r="194" ht="15.75" customHeight="1">
      <c r="C194" s="2"/>
      <c r="E194" s="3"/>
      <c r="F194" s="2"/>
    </row>
    <row r="195" ht="15.75" customHeight="1">
      <c r="C195" s="2"/>
      <c r="E195" s="3"/>
      <c r="F195" s="2"/>
    </row>
    <row r="196" ht="15.75" customHeight="1">
      <c r="C196" s="2"/>
      <c r="E196" s="3"/>
      <c r="F196" s="2"/>
    </row>
    <row r="197" ht="15.75" customHeight="1">
      <c r="C197" s="2"/>
      <c r="E197" s="3"/>
      <c r="F197" s="2"/>
    </row>
    <row r="198" ht="15.75" customHeight="1">
      <c r="C198" s="2"/>
      <c r="E198" s="3"/>
      <c r="F198" s="2"/>
    </row>
    <row r="199" ht="15.75" customHeight="1">
      <c r="C199" s="2"/>
      <c r="E199" s="3"/>
      <c r="F199" s="2"/>
    </row>
    <row r="200" ht="15.75" customHeight="1">
      <c r="C200" s="2"/>
      <c r="E200" s="3"/>
      <c r="F200" s="2"/>
    </row>
    <row r="201" ht="15.75" customHeight="1">
      <c r="C201" s="2"/>
      <c r="E201" s="3"/>
      <c r="F201" s="2"/>
    </row>
    <row r="202" ht="15.75" customHeight="1">
      <c r="C202" s="2"/>
      <c r="E202" s="3"/>
      <c r="F202" s="2"/>
    </row>
    <row r="203" ht="15.75" customHeight="1">
      <c r="C203" s="2"/>
      <c r="E203" s="3"/>
      <c r="F203" s="2"/>
    </row>
    <row r="204" ht="15.75" customHeight="1">
      <c r="C204" s="2"/>
      <c r="E204" s="3"/>
      <c r="F204" s="2"/>
    </row>
    <row r="205" ht="15.75" customHeight="1">
      <c r="C205" s="2"/>
      <c r="E205" s="3"/>
      <c r="F205" s="2"/>
    </row>
    <row r="206" ht="15.75" customHeight="1">
      <c r="C206" s="2"/>
      <c r="E206" s="3"/>
      <c r="F206" s="2"/>
    </row>
    <row r="207" ht="15.75" customHeight="1">
      <c r="C207" s="2"/>
      <c r="E207" s="3"/>
      <c r="F207" s="2"/>
    </row>
    <row r="208" ht="15.75" customHeight="1">
      <c r="C208" s="2"/>
      <c r="E208" s="3"/>
      <c r="F208" s="2"/>
    </row>
    <row r="209" ht="15.75" customHeight="1">
      <c r="C209" s="2"/>
      <c r="E209" s="3"/>
      <c r="F209" s="2"/>
    </row>
    <row r="210" ht="15.75" customHeight="1">
      <c r="C210" s="2"/>
      <c r="E210" s="3"/>
      <c r="F210" s="2"/>
    </row>
    <row r="211" ht="15.75" customHeight="1">
      <c r="C211" s="2"/>
      <c r="E211" s="3"/>
      <c r="F211" s="2"/>
    </row>
    <row r="212" ht="15.75" customHeight="1">
      <c r="C212" s="2"/>
      <c r="E212" s="3"/>
      <c r="F212" s="2"/>
    </row>
    <row r="213" ht="15.75" customHeight="1">
      <c r="C213" s="2"/>
      <c r="E213" s="3"/>
      <c r="F213" s="2"/>
    </row>
    <row r="214" ht="15.75" customHeight="1">
      <c r="C214" s="2"/>
      <c r="E214" s="3"/>
      <c r="F214" s="2"/>
    </row>
    <row r="215" ht="15.75" customHeight="1">
      <c r="C215" s="2"/>
      <c r="E215" s="3"/>
      <c r="F215" s="2"/>
    </row>
    <row r="216" ht="15.75" customHeight="1">
      <c r="C216" s="2"/>
      <c r="E216" s="3"/>
      <c r="F216" s="2"/>
    </row>
    <row r="217" ht="15.75" customHeight="1">
      <c r="C217" s="2"/>
      <c r="E217" s="3"/>
      <c r="F217" s="2"/>
    </row>
    <row r="218" ht="15.75" customHeight="1">
      <c r="C218" s="2"/>
      <c r="E218" s="3"/>
      <c r="F218" s="2"/>
    </row>
    <row r="219" ht="15.75" customHeight="1">
      <c r="C219" s="2"/>
      <c r="E219" s="3"/>
      <c r="F219" s="2"/>
    </row>
    <row r="220" ht="15.75" customHeight="1">
      <c r="C220" s="2"/>
      <c r="E220" s="3"/>
      <c r="F220" s="2"/>
    </row>
    <row r="221" ht="15.75" customHeight="1">
      <c r="C221" s="2"/>
      <c r="F221" s="2"/>
    </row>
    <row r="222" ht="15.75" customHeight="1">
      <c r="C222" s="2"/>
      <c r="F222" s="2"/>
    </row>
    <row r="223" ht="15.75" customHeight="1">
      <c r="C223" s="2"/>
      <c r="F223" s="2"/>
    </row>
    <row r="224" ht="15.75" customHeight="1">
      <c r="C224" s="2"/>
      <c r="F224" s="2"/>
    </row>
    <row r="225" ht="15.75" customHeight="1">
      <c r="C225" s="2"/>
      <c r="F225" s="2"/>
    </row>
    <row r="226" ht="15.75" customHeight="1">
      <c r="C226" s="2"/>
      <c r="F226" s="2"/>
    </row>
    <row r="227" ht="15.75" customHeight="1">
      <c r="C227" s="2"/>
      <c r="F227" s="2"/>
    </row>
    <row r="228" ht="15.75" customHeight="1">
      <c r="C228" s="2"/>
      <c r="F228" s="2"/>
    </row>
    <row r="229" ht="15.75" customHeight="1">
      <c r="C229" s="2"/>
      <c r="F229" s="2"/>
    </row>
    <row r="230" ht="15.75" customHeight="1">
      <c r="C230" s="2"/>
      <c r="F230" s="2"/>
    </row>
    <row r="231" ht="15.75" customHeight="1">
      <c r="C231" s="2"/>
      <c r="F231" s="2"/>
    </row>
    <row r="232" ht="15.75" customHeight="1">
      <c r="C232" s="2"/>
      <c r="F232" s="2"/>
    </row>
    <row r="233" ht="15.75" customHeight="1">
      <c r="C233" s="2"/>
      <c r="F233" s="2"/>
    </row>
    <row r="234" ht="15.75" customHeight="1">
      <c r="C234" s="2"/>
      <c r="F234" s="2"/>
    </row>
    <row r="235" ht="15.75" customHeight="1">
      <c r="C235" s="2"/>
      <c r="F235" s="2"/>
    </row>
    <row r="236" ht="15.75" customHeight="1">
      <c r="C236" s="2"/>
      <c r="F236" s="2"/>
    </row>
    <row r="237" ht="15.75" customHeight="1">
      <c r="C237" s="2"/>
      <c r="F237" s="2"/>
    </row>
    <row r="238" ht="15.75" customHeight="1">
      <c r="C238" s="2"/>
      <c r="F238" s="2"/>
    </row>
    <row r="239" ht="15.75" customHeight="1">
      <c r="C239" s="2"/>
      <c r="F239" s="2"/>
    </row>
    <row r="240" ht="15.75" customHeight="1">
      <c r="C240" s="2"/>
      <c r="F240" s="2"/>
    </row>
    <row r="241" ht="15.75" customHeight="1">
      <c r="C241" s="2"/>
      <c r="F241" s="2"/>
    </row>
    <row r="242" ht="15.75" customHeight="1">
      <c r="C242" s="2"/>
      <c r="F242" s="2"/>
    </row>
    <row r="243" ht="15.75" customHeight="1">
      <c r="C243" s="2"/>
      <c r="F243" s="2"/>
    </row>
    <row r="244" ht="15.75" customHeight="1">
      <c r="C244" s="2"/>
      <c r="F244" s="2"/>
    </row>
    <row r="245" ht="15.75" customHeight="1">
      <c r="C245" s="2"/>
      <c r="F245" s="2"/>
    </row>
    <row r="246" ht="15.75" customHeight="1">
      <c r="C246" s="2"/>
      <c r="F246" s="2"/>
    </row>
    <row r="247" ht="15.75" customHeight="1">
      <c r="C247" s="2"/>
      <c r="F247" s="2"/>
    </row>
    <row r="248" ht="15.75" customHeight="1">
      <c r="C248" s="2"/>
      <c r="F248" s="2"/>
    </row>
    <row r="249" ht="15.75" customHeight="1">
      <c r="C249" s="2"/>
      <c r="F249" s="2"/>
    </row>
    <row r="250" ht="15.75" customHeight="1">
      <c r="C250" s="2"/>
      <c r="F250" s="2"/>
    </row>
    <row r="251" ht="15.75" customHeight="1">
      <c r="C251" s="2"/>
      <c r="F251" s="2"/>
    </row>
    <row r="252" ht="15.75" customHeight="1">
      <c r="C252" s="2"/>
      <c r="F252" s="2"/>
    </row>
    <row r="253" ht="15.75" customHeight="1">
      <c r="C253" s="2"/>
      <c r="F253" s="2"/>
    </row>
    <row r="254" ht="15.75" customHeight="1">
      <c r="C254" s="2"/>
      <c r="F254" s="2"/>
    </row>
    <row r="255" ht="15.75" customHeight="1">
      <c r="C255" s="2"/>
      <c r="F255" s="2"/>
    </row>
    <row r="256" ht="15.75" customHeight="1">
      <c r="C256" s="2"/>
      <c r="F256" s="2"/>
    </row>
    <row r="257" ht="15.75" customHeight="1">
      <c r="C257" s="2"/>
      <c r="F257" s="2"/>
    </row>
    <row r="258" ht="15.75" customHeight="1">
      <c r="C258" s="2"/>
      <c r="F258" s="2"/>
    </row>
    <row r="259" ht="15.75" customHeight="1">
      <c r="C259" s="2"/>
      <c r="F259" s="2"/>
    </row>
    <row r="260" ht="15.75" customHeight="1">
      <c r="C260" s="2"/>
      <c r="F260" s="2"/>
    </row>
    <row r="261" ht="15.75" customHeight="1">
      <c r="C261" s="2"/>
      <c r="F261" s="2"/>
    </row>
    <row r="262" ht="15.75" customHeight="1">
      <c r="C262" s="2"/>
      <c r="F262" s="2"/>
    </row>
    <row r="263" ht="15.75" customHeight="1">
      <c r="C263" s="2"/>
      <c r="F263" s="2"/>
    </row>
    <row r="264" ht="15.75" customHeight="1">
      <c r="C264" s="2"/>
      <c r="F264" s="2"/>
    </row>
    <row r="265" ht="15.75" customHeight="1">
      <c r="C265" s="2"/>
      <c r="F265" s="2"/>
    </row>
    <row r="266" ht="15.75" customHeight="1">
      <c r="C266" s="2"/>
      <c r="F266" s="2"/>
    </row>
    <row r="267" ht="15.75" customHeight="1">
      <c r="C267" s="2"/>
      <c r="F267" s="2"/>
    </row>
    <row r="268" ht="15.75" customHeight="1">
      <c r="C268" s="2"/>
      <c r="F268" s="2"/>
    </row>
    <row r="269" ht="15.75" customHeight="1">
      <c r="C269" s="2"/>
      <c r="F269" s="2"/>
    </row>
    <row r="270" ht="15.75" customHeight="1">
      <c r="C270" s="2"/>
      <c r="F270" s="2"/>
    </row>
    <row r="271" ht="15.75" customHeight="1">
      <c r="C271" s="2"/>
      <c r="F271" s="2"/>
    </row>
    <row r="272" ht="15.75" customHeight="1">
      <c r="C272" s="2"/>
      <c r="F272" s="2"/>
    </row>
    <row r="273" ht="15.75" customHeight="1">
      <c r="C273" s="2"/>
      <c r="F273" s="2"/>
    </row>
    <row r="274" ht="15.75" customHeight="1">
      <c r="C274" s="2"/>
      <c r="F274" s="2"/>
    </row>
    <row r="275" ht="15.75" customHeight="1">
      <c r="C275" s="2"/>
      <c r="F275" s="2"/>
    </row>
    <row r="276" ht="15.75" customHeight="1">
      <c r="C276" s="2"/>
      <c r="F276" s="2"/>
    </row>
    <row r="277" ht="15.75" customHeight="1">
      <c r="C277" s="2"/>
      <c r="F277" s="2"/>
    </row>
    <row r="278" ht="15.75" customHeight="1">
      <c r="C278" s="2"/>
      <c r="F278" s="2"/>
    </row>
    <row r="279" ht="15.75" customHeight="1">
      <c r="C279" s="2"/>
      <c r="F279" s="2"/>
    </row>
    <row r="280" ht="15.75" customHeight="1">
      <c r="C280" s="2"/>
      <c r="F280" s="2"/>
    </row>
    <row r="281" ht="15.75" customHeight="1">
      <c r="C281" s="2"/>
      <c r="F281" s="2"/>
    </row>
    <row r="282" ht="15.75" customHeight="1">
      <c r="C282" s="2"/>
      <c r="F282" s="2"/>
    </row>
    <row r="283" ht="15.75" customHeight="1">
      <c r="C283" s="2"/>
      <c r="F283" s="2"/>
    </row>
    <row r="284" ht="15.75" customHeight="1">
      <c r="C284" s="2"/>
      <c r="F284" s="2"/>
    </row>
    <row r="285" ht="15.75" customHeight="1">
      <c r="C285" s="2"/>
      <c r="F285" s="2"/>
    </row>
    <row r="286" ht="15.75" customHeight="1">
      <c r="C286" s="2"/>
      <c r="F286" s="2"/>
    </row>
    <row r="287" ht="15.75" customHeight="1">
      <c r="C287" s="2"/>
      <c r="F287" s="2"/>
    </row>
    <row r="288" ht="15.75" customHeight="1">
      <c r="C288" s="2"/>
      <c r="F288" s="2"/>
    </row>
    <row r="289" ht="15.75" customHeight="1">
      <c r="C289" s="2"/>
      <c r="F289" s="2"/>
    </row>
    <row r="290" ht="15.75" customHeight="1">
      <c r="C290" s="2"/>
      <c r="F290" s="2"/>
    </row>
    <row r="291" ht="15.75" customHeight="1">
      <c r="C291" s="2"/>
      <c r="F291" s="2"/>
    </row>
    <row r="292" ht="15.75" customHeight="1">
      <c r="C292" s="2"/>
      <c r="F292" s="2"/>
    </row>
    <row r="293" ht="15.75" customHeight="1">
      <c r="C293" s="2"/>
      <c r="F293" s="2"/>
    </row>
    <row r="294" ht="15.75" customHeight="1">
      <c r="C294" s="2"/>
      <c r="F294" s="2"/>
    </row>
    <row r="295" ht="15.75" customHeight="1">
      <c r="C295" s="2"/>
      <c r="F295" s="2"/>
    </row>
    <row r="296" ht="15.75" customHeight="1">
      <c r="C296" s="2"/>
      <c r="F296" s="2"/>
    </row>
    <row r="297" ht="15.75" customHeight="1">
      <c r="C297" s="2"/>
      <c r="F297" s="2"/>
    </row>
    <row r="298" ht="15.75" customHeight="1">
      <c r="C298" s="2"/>
      <c r="F298" s="2"/>
    </row>
    <row r="299" ht="15.75" customHeight="1">
      <c r="C299" s="2"/>
      <c r="F299" s="2"/>
    </row>
    <row r="300" ht="15.75" customHeight="1">
      <c r="C300" s="2"/>
      <c r="F300" s="2"/>
    </row>
    <row r="301" ht="15.75" customHeight="1">
      <c r="C301" s="2"/>
      <c r="F301" s="2"/>
    </row>
    <row r="302" ht="15.75" customHeight="1">
      <c r="C302" s="2"/>
      <c r="F302" s="2"/>
    </row>
    <row r="303" ht="15.75" customHeight="1">
      <c r="C303" s="2"/>
      <c r="F303" s="2"/>
    </row>
    <row r="304" ht="15.75" customHeight="1">
      <c r="C304" s="2"/>
      <c r="F304" s="2"/>
    </row>
    <row r="305" ht="15.75" customHeight="1">
      <c r="C305" s="2"/>
      <c r="F305" s="2"/>
    </row>
    <row r="306" ht="15.75" customHeight="1">
      <c r="C306" s="2"/>
      <c r="F306" s="2"/>
    </row>
    <row r="307" ht="15.75" customHeight="1">
      <c r="C307" s="2"/>
      <c r="F307" s="2"/>
    </row>
    <row r="308" ht="15.75" customHeight="1">
      <c r="C308" s="2"/>
      <c r="F308" s="2"/>
    </row>
    <row r="309" ht="15.75" customHeight="1">
      <c r="C309" s="2"/>
      <c r="F309" s="2"/>
    </row>
    <row r="310" ht="15.75" customHeight="1">
      <c r="C310" s="2"/>
      <c r="F310" s="2"/>
    </row>
    <row r="311" ht="15.75" customHeight="1">
      <c r="C311" s="2"/>
      <c r="F311" s="2"/>
    </row>
    <row r="312" ht="15.75" customHeight="1">
      <c r="C312" s="2"/>
      <c r="F312" s="2"/>
    </row>
    <row r="313" ht="15.75" customHeight="1">
      <c r="C313" s="2"/>
      <c r="F313" s="2"/>
    </row>
    <row r="314" ht="15.75" customHeight="1">
      <c r="C314" s="2"/>
      <c r="F314" s="2"/>
    </row>
    <row r="315" ht="15.75" customHeight="1">
      <c r="C315" s="2"/>
      <c r="F315" s="2"/>
    </row>
    <row r="316" ht="15.75" customHeight="1">
      <c r="C316" s="2"/>
      <c r="F316" s="2"/>
    </row>
    <row r="317" ht="15.75" customHeight="1">
      <c r="C317" s="2"/>
      <c r="F317" s="2"/>
    </row>
    <row r="318" ht="15.75" customHeight="1">
      <c r="C318" s="2"/>
      <c r="F318" s="2"/>
    </row>
    <row r="319" ht="15.75" customHeight="1">
      <c r="C319" s="2"/>
      <c r="F319" s="2"/>
    </row>
    <row r="320" ht="15.75" customHeight="1">
      <c r="C320" s="2"/>
      <c r="F320" s="2"/>
    </row>
    <row r="321" ht="15.75" customHeight="1">
      <c r="C321" s="2"/>
      <c r="F321" s="2"/>
    </row>
    <row r="322" ht="15.75" customHeight="1">
      <c r="C322" s="2"/>
      <c r="F322" s="2"/>
    </row>
    <row r="323" ht="15.75" customHeight="1">
      <c r="C323" s="2"/>
      <c r="F323" s="2"/>
    </row>
    <row r="324" ht="15.75" customHeight="1">
      <c r="C324" s="2"/>
      <c r="F324" s="2"/>
    </row>
    <row r="325" ht="15.75" customHeight="1">
      <c r="C325" s="2"/>
      <c r="F325" s="2"/>
    </row>
    <row r="326" ht="15.75" customHeight="1">
      <c r="C326" s="2"/>
      <c r="F326" s="2"/>
    </row>
    <row r="327" ht="15.75" customHeight="1">
      <c r="C327" s="2"/>
      <c r="F327" s="2"/>
    </row>
    <row r="328" ht="15.75" customHeight="1">
      <c r="C328" s="2"/>
      <c r="F328" s="2"/>
    </row>
    <row r="329" ht="15.75" customHeight="1">
      <c r="C329" s="2"/>
      <c r="F329" s="2"/>
    </row>
    <row r="330" ht="15.75" customHeight="1">
      <c r="C330" s="2"/>
      <c r="F330" s="2"/>
    </row>
    <row r="331" ht="15.75" customHeight="1">
      <c r="C331" s="2"/>
      <c r="F331" s="2"/>
    </row>
    <row r="332" ht="15.75" customHeight="1">
      <c r="C332" s="2"/>
      <c r="F332" s="2"/>
    </row>
    <row r="333" ht="15.75" customHeight="1">
      <c r="C333" s="2"/>
      <c r="F333" s="2"/>
    </row>
    <row r="334" ht="15.75" customHeight="1">
      <c r="C334" s="2"/>
      <c r="F334" s="2"/>
    </row>
    <row r="335" ht="15.75" customHeight="1">
      <c r="C335" s="2"/>
      <c r="F335" s="2"/>
    </row>
    <row r="336" ht="15.75" customHeight="1">
      <c r="C336" s="2"/>
      <c r="F336" s="2"/>
    </row>
    <row r="337" ht="15.75" customHeight="1">
      <c r="C337" s="2"/>
      <c r="F337" s="2"/>
    </row>
    <row r="338" ht="15.75" customHeight="1">
      <c r="C338" s="2"/>
      <c r="F338" s="2"/>
    </row>
    <row r="339" ht="15.75" customHeight="1">
      <c r="C339" s="2"/>
      <c r="F339" s="2"/>
    </row>
    <row r="340" ht="15.75" customHeight="1">
      <c r="C340" s="2"/>
      <c r="F340" s="2"/>
    </row>
    <row r="341" ht="15.75" customHeight="1">
      <c r="C341" s="2"/>
      <c r="F341" s="2"/>
    </row>
    <row r="342" ht="15.75" customHeight="1">
      <c r="C342" s="2"/>
      <c r="F342" s="2"/>
    </row>
    <row r="343" ht="15.75" customHeight="1">
      <c r="C343" s="2"/>
      <c r="F343" s="2"/>
    </row>
    <row r="344" ht="15.75" customHeight="1">
      <c r="C344" s="2"/>
      <c r="F344" s="2"/>
    </row>
    <row r="345" ht="15.75" customHeight="1">
      <c r="C345" s="2"/>
      <c r="F345" s="2"/>
    </row>
    <row r="346" ht="15.75" customHeight="1">
      <c r="C346" s="2"/>
      <c r="F346" s="2"/>
    </row>
    <row r="347" ht="15.75" customHeight="1">
      <c r="C347" s="2"/>
      <c r="F347" s="2"/>
    </row>
    <row r="348" ht="15.75" customHeight="1">
      <c r="C348" s="2"/>
      <c r="F348" s="2"/>
    </row>
    <row r="349" ht="15.75" customHeight="1">
      <c r="C349" s="2"/>
      <c r="F349" s="2"/>
    </row>
    <row r="350" ht="15.75" customHeight="1">
      <c r="C350" s="2"/>
      <c r="F350" s="2"/>
    </row>
    <row r="351" ht="15.75" customHeight="1">
      <c r="C351" s="2"/>
      <c r="F351" s="2"/>
    </row>
    <row r="352" ht="15.75" customHeight="1">
      <c r="C352" s="2"/>
      <c r="F352" s="2"/>
    </row>
    <row r="353" ht="15.75" customHeight="1">
      <c r="C353" s="2"/>
      <c r="F353" s="2"/>
    </row>
    <row r="354" ht="15.75" customHeight="1">
      <c r="C354" s="2"/>
      <c r="F354" s="2"/>
    </row>
    <row r="355" ht="15.75" customHeight="1">
      <c r="C355" s="2"/>
      <c r="F355" s="2"/>
    </row>
    <row r="356" ht="15.75" customHeight="1">
      <c r="C356" s="2"/>
      <c r="F356" s="2"/>
    </row>
    <row r="357" ht="15.75" customHeight="1">
      <c r="C357" s="2"/>
      <c r="F357" s="2"/>
    </row>
    <row r="358" ht="15.75" customHeight="1">
      <c r="C358" s="2"/>
      <c r="F358" s="2"/>
    </row>
    <row r="359" ht="15.75" customHeight="1">
      <c r="C359" s="2"/>
      <c r="F359" s="2"/>
    </row>
    <row r="360" ht="15.75" customHeight="1">
      <c r="C360" s="2"/>
      <c r="F360" s="2"/>
    </row>
    <row r="361" ht="15.75" customHeight="1">
      <c r="C361" s="2"/>
      <c r="F361" s="2"/>
    </row>
    <row r="362" ht="15.75" customHeight="1">
      <c r="C362" s="2"/>
      <c r="F362" s="2"/>
    </row>
    <row r="363" ht="15.75" customHeight="1">
      <c r="C363" s="2"/>
      <c r="F363" s="2"/>
    </row>
    <row r="364" ht="15.75" customHeight="1">
      <c r="C364" s="2"/>
      <c r="F364" s="2"/>
    </row>
    <row r="365" ht="15.75" customHeight="1">
      <c r="C365" s="2"/>
      <c r="F365" s="2"/>
    </row>
    <row r="366" ht="15.75" customHeight="1">
      <c r="C366" s="2"/>
      <c r="F366" s="2"/>
    </row>
    <row r="367" ht="15.75" customHeight="1">
      <c r="C367" s="2"/>
      <c r="F367" s="2"/>
    </row>
    <row r="368" ht="15.75" customHeight="1">
      <c r="C368" s="2"/>
      <c r="F368" s="2"/>
    </row>
    <row r="369" ht="15.75" customHeight="1">
      <c r="C369" s="2"/>
      <c r="F369" s="2"/>
    </row>
    <row r="370" ht="15.75" customHeight="1">
      <c r="C370" s="2"/>
      <c r="F370" s="2"/>
    </row>
    <row r="371" ht="15.75" customHeight="1">
      <c r="C371" s="2"/>
      <c r="F371" s="2"/>
    </row>
    <row r="372" ht="15.75" customHeight="1">
      <c r="C372" s="2"/>
      <c r="F372" s="2"/>
    </row>
    <row r="373" ht="15.75" customHeight="1">
      <c r="C373" s="2"/>
      <c r="F373" s="2"/>
    </row>
    <row r="374" ht="15.75" customHeight="1">
      <c r="C374" s="2"/>
      <c r="F374" s="2"/>
    </row>
    <row r="375" ht="15.75" customHeight="1">
      <c r="C375" s="2"/>
      <c r="F375" s="2"/>
    </row>
    <row r="376" ht="15.75" customHeight="1">
      <c r="C376" s="2"/>
      <c r="F376" s="2"/>
    </row>
    <row r="377" ht="15.75" customHeight="1">
      <c r="C377" s="2"/>
      <c r="F377" s="2"/>
    </row>
    <row r="378" ht="15.75" customHeight="1">
      <c r="C378" s="2"/>
      <c r="F378" s="2"/>
    </row>
    <row r="379" ht="15.75" customHeight="1">
      <c r="C379" s="2"/>
      <c r="F379" s="2"/>
    </row>
    <row r="380" ht="15.75" customHeight="1">
      <c r="C380" s="2"/>
      <c r="F380" s="2"/>
    </row>
    <row r="381" ht="15.75" customHeight="1">
      <c r="C381" s="2"/>
      <c r="F381" s="2"/>
    </row>
    <row r="382" ht="15.75" customHeight="1">
      <c r="C382" s="2"/>
      <c r="F382" s="2"/>
    </row>
    <row r="383" ht="15.75" customHeight="1">
      <c r="C383" s="2"/>
      <c r="F383" s="2"/>
    </row>
    <row r="384" ht="15.75" customHeight="1">
      <c r="C384" s="2"/>
      <c r="F384" s="2"/>
    </row>
    <row r="385" ht="15.75" customHeight="1">
      <c r="C385" s="2"/>
      <c r="F385" s="2"/>
    </row>
    <row r="386" ht="15.75" customHeight="1">
      <c r="C386" s="2"/>
      <c r="F386" s="2"/>
    </row>
    <row r="387" ht="15.75" customHeight="1">
      <c r="C387" s="2"/>
      <c r="F387" s="2"/>
    </row>
    <row r="388" ht="15.75" customHeight="1">
      <c r="C388" s="2"/>
      <c r="F388" s="2"/>
    </row>
    <row r="389" ht="15.75" customHeight="1">
      <c r="C389" s="2"/>
      <c r="F389" s="2"/>
    </row>
    <row r="390" ht="15.75" customHeight="1">
      <c r="C390" s="2"/>
      <c r="F390" s="2"/>
    </row>
    <row r="391" ht="15.75" customHeight="1">
      <c r="C391" s="2"/>
      <c r="F391" s="2"/>
    </row>
    <row r="392" ht="15.75" customHeight="1">
      <c r="C392" s="2"/>
      <c r="F392" s="2"/>
    </row>
    <row r="393" ht="15.75" customHeight="1">
      <c r="C393" s="2"/>
      <c r="F393" s="2"/>
    </row>
    <row r="394" ht="15.75" customHeight="1">
      <c r="C394" s="2"/>
      <c r="F394" s="2"/>
    </row>
    <row r="395" ht="15.75" customHeight="1">
      <c r="C395" s="2"/>
      <c r="F395" s="2"/>
    </row>
    <row r="396" ht="15.75" customHeight="1">
      <c r="C396" s="2"/>
      <c r="F396" s="2"/>
    </row>
    <row r="397" ht="15.75" customHeight="1">
      <c r="C397" s="2"/>
      <c r="F397" s="2"/>
    </row>
    <row r="398" ht="15.75" customHeight="1">
      <c r="C398" s="2"/>
      <c r="F398" s="2"/>
    </row>
    <row r="399" ht="15.75" customHeight="1">
      <c r="C399" s="2"/>
      <c r="F399" s="2"/>
    </row>
    <row r="400" ht="15.75" customHeight="1">
      <c r="C400" s="2"/>
      <c r="F400" s="2"/>
    </row>
    <row r="401" ht="15.75" customHeight="1">
      <c r="C401" s="2"/>
      <c r="F401" s="2"/>
    </row>
    <row r="402" ht="15.75" customHeight="1">
      <c r="C402" s="2"/>
      <c r="F402" s="2"/>
    </row>
    <row r="403" ht="15.75" customHeight="1">
      <c r="C403" s="2"/>
      <c r="F403" s="2"/>
    </row>
    <row r="404" ht="15.75" customHeight="1">
      <c r="C404" s="2"/>
      <c r="F404" s="2"/>
    </row>
    <row r="405" ht="15.75" customHeight="1">
      <c r="C405" s="2"/>
      <c r="F405" s="2"/>
    </row>
    <row r="406" ht="15.75" customHeight="1">
      <c r="C406" s="2"/>
      <c r="F406" s="2"/>
    </row>
    <row r="407" ht="15.75" customHeight="1">
      <c r="C407" s="2"/>
      <c r="F407" s="2"/>
    </row>
    <row r="408" ht="15.75" customHeight="1">
      <c r="C408" s="2"/>
      <c r="F408" s="2"/>
    </row>
    <row r="409" ht="15.75" customHeight="1">
      <c r="C409" s="2"/>
      <c r="F409" s="2"/>
    </row>
    <row r="410" ht="15.75" customHeight="1">
      <c r="C410" s="2"/>
      <c r="F410" s="2"/>
    </row>
    <row r="411" ht="15.75" customHeight="1">
      <c r="C411" s="2"/>
      <c r="F411" s="2"/>
    </row>
    <row r="412" ht="15.75" customHeight="1">
      <c r="C412" s="2"/>
      <c r="F412" s="2"/>
    </row>
    <row r="413" ht="15.75" customHeight="1">
      <c r="C413" s="2"/>
      <c r="F413" s="2"/>
    </row>
    <row r="414" ht="15.75" customHeight="1">
      <c r="C414" s="2"/>
      <c r="F414" s="2"/>
    </row>
    <row r="415" ht="15.75" customHeight="1">
      <c r="C415" s="2"/>
      <c r="F415" s="2"/>
    </row>
    <row r="416" ht="15.75" customHeight="1">
      <c r="C416" s="2"/>
      <c r="F416" s="2"/>
    </row>
    <row r="417" ht="15.75" customHeight="1">
      <c r="C417" s="2"/>
      <c r="F417" s="2"/>
    </row>
    <row r="418" ht="15.75" customHeight="1">
      <c r="C418" s="2"/>
      <c r="F418" s="2"/>
    </row>
    <row r="419" ht="15.75" customHeight="1">
      <c r="C419" s="2"/>
      <c r="F419" s="2"/>
    </row>
    <row r="420" ht="15.75" customHeight="1">
      <c r="C420" s="2"/>
      <c r="F420" s="2"/>
    </row>
    <row r="421" ht="15.75" customHeight="1">
      <c r="C421" s="2"/>
      <c r="F421" s="2"/>
    </row>
    <row r="422" ht="15.75" customHeight="1">
      <c r="C422" s="2"/>
      <c r="F422" s="2"/>
    </row>
    <row r="423" ht="15.75" customHeight="1">
      <c r="C423" s="2"/>
      <c r="F423" s="2"/>
    </row>
    <row r="424" ht="15.75" customHeight="1">
      <c r="C424" s="2"/>
      <c r="F424" s="2"/>
    </row>
    <row r="425" ht="15.75" customHeight="1">
      <c r="C425" s="2"/>
      <c r="F425" s="2"/>
    </row>
    <row r="426" ht="15.75" customHeight="1">
      <c r="C426" s="2"/>
      <c r="F426" s="2"/>
    </row>
    <row r="427" ht="15.75" customHeight="1">
      <c r="C427" s="2"/>
      <c r="F427" s="2"/>
    </row>
    <row r="428" ht="15.75" customHeight="1">
      <c r="C428" s="2"/>
      <c r="F428" s="2"/>
    </row>
    <row r="429" ht="15.75" customHeight="1">
      <c r="C429" s="2"/>
      <c r="F429" s="2"/>
    </row>
    <row r="430" ht="15.75" customHeight="1">
      <c r="C430" s="2"/>
      <c r="F430" s="2"/>
    </row>
    <row r="431" ht="15.75" customHeight="1">
      <c r="C431" s="2"/>
      <c r="F431" s="2"/>
    </row>
    <row r="432" ht="15.75" customHeight="1">
      <c r="C432" s="2"/>
      <c r="F432" s="2"/>
    </row>
    <row r="433" ht="15.75" customHeight="1">
      <c r="C433" s="2"/>
      <c r="F433" s="2"/>
    </row>
    <row r="434" ht="15.75" customHeight="1">
      <c r="C434" s="2"/>
      <c r="F434" s="2"/>
    </row>
    <row r="435" ht="15.75" customHeight="1">
      <c r="C435" s="2"/>
      <c r="F435" s="2"/>
    </row>
    <row r="436" ht="15.75" customHeight="1">
      <c r="C436" s="2"/>
      <c r="F436" s="2"/>
    </row>
    <row r="437" ht="15.75" customHeight="1">
      <c r="C437" s="2"/>
      <c r="F437" s="2"/>
    </row>
    <row r="438" ht="15.75" customHeight="1">
      <c r="C438" s="2"/>
      <c r="F438" s="2"/>
    </row>
    <row r="439" ht="15.75" customHeight="1">
      <c r="C439" s="2"/>
      <c r="F439" s="2"/>
    </row>
    <row r="440" ht="15.75" customHeight="1">
      <c r="C440" s="2"/>
      <c r="F440" s="2"/>
    </row>
    <row r="441" ht="15.75" customHeight="1">
      <c r="C441" s="2"/>
      <c r="F441" s="2"/>
    </row>
    <row r="442" ht="15.75" customHeight="1">
      <c r="C442" s="2"/>
      <c r="F442" s="2"/>
    </row>
    <row r="443" ht="15.75" customHeight="1">
      <c r="C443" s="2"/>
      <c r="F443" s="2"/>
    </row>
    <row r="444" ht="15.75" customHeight="1">
      <c r="C444" s="2"/>
      <c r="F444" s="2"/>
    </row>
    <row r="445" ht="15.75" customHeight="1">
      <c r="C445" s="2"/>
      <c r="F445" s="2"/>
    </row>
    <row r="446" ht="15.75" customHeight="1">
      <c r="C446" s="2"/>
      <c r="F446" s="2"/>
    </row>
    <row r="447" ht="15.75" customHeight="1">
      <c r="C447" s="2"/>
      <c r="F447" s="2"/>
    </row>
    <row r="448" ht="15.75" customHeight="1">
      <c r="C448" s="2"/>
      <c r="F448" s="2"/>
    </row>
    <row r="449" ht="15.75" customHeight="1">
      <c r="C449" s="2"/>
      <c r="F449" s="2"/>
    </row>
    <row r="450" ht="15.75" customHeight="1">
      <c r="C450" s="2"/>
      <c r="F450" s="2"/>
    </row>
    <row r="451" ht="15.75" customHeight="1">
      <c r="C451" s="2"/>
      <c r="F451" s="2"/>
    </row>
    <row r="452" ht="15.75" customHeight="1">
      <c r="C452" s="2"/>
      <c r="F452" s="2"/>
    </row>
    <row r="453" ht="15.75" customHeight="1">
      <c r="C453" s="2"/>
      <c r="F453" s="2"/>
    </row>
    <row r="454" ht="15.75" customHeight="1">
      <c r="C454" s="2"/>
      <c r="F454" s="2"/>
    </row>
    <row r="455" ht="15.75" customHeight="1">
      <c r="C455" s="2"/>
      <c r="F455" s="2"/>
    </row>
    <row r="456" ht="15.75" customHeight="1">
      <c r="C456" s="2"/>
      <c r="F456" s="2"/>
    </row>
    <row r="457" ht="15.75" customHeight="1">
      <c r="C457" s="2"/>
      <c r="F457" s="2"/>
    </row>
    <row r="458" ht="15.75" customHeight="1">
      <c r="C458" s="2"/>
      <c r="F458" s="2"/>
    </row>
    <row r="459" ht="15.75" customHeight="1">
      <c r="C459" s="2"/>
      <c r="F459" s="2"/>
    </row>
    <row r="460" ht="15.75" customHeight="1">
      <c r="C460" s="2"/>
      <c r="F460" s="2"/>
    </row>
    <row r="461" ht="15.75" customHeight="1">
      <c r="C461" s="2"/>
      <c r="F461" s="2"/>
    </row>
    <row r="462" ht="15.75" customHeight="1">
      <c r="C462" s="2"/>
      <c r="F462" s="2"/>
    </row>
    <row r="463" ht="15.75" customHeight="1">
      <c r="C463" s="2"/>
      <c r="F463" s="2"/>
    </row>
    <row r="464" ht="15.75" customHeight="1">
      <c r="C464" s="2"/>
      <c r="F464" s="2"/>
    </row>
    <row r="465" ht="15.75" customHeight="1">
      <c r="C465" s="2"/>
      <c r="F465" s="2"/>
    </row>
    <row r="466" ht="15.75" customHeight="1">
      <c r="C466" s="2"/>
      <c r="F466" s="2"/>
    </row>
    <row r="467" ht="15.75" customHeight="1">
      <c r="C467" s="2"/>
      <c r="F467" s="2"/>
    </row>
    <row r="468" ht="15.75" customHeight="1">
      <c r="C468" s="2"/>
      <c r="F468" s="2"/>
    </row>
    <row r="469" ht="15.75" customHeight="1">
      <c r="C469" s="2"/>
      <c r="F469" s="2"/>
    </row>
    <row r="470" ht="15.75" customHeight="1">
      <c r="C470" s="2"/>
      <c r="F470" s="2"/>
    </row>
    <row r="471" ht="15.75" customHeight="1">
      <c r="C471" s="2"/>
      <c r="F471" s="2"/>
    </row>
    <row r="472" ht="15.75" customHeight="1">
      <c r="C472" s="2"/>
      <c r="F472" s="2"/>
    </row>
    <row r="473" ht="15.75" customHeight="1">
      <c r="C473" s="2"/>
      <c r="F473" s="2"/>
    </row>
    <row r="474" ht="15.75" customHeight="1">
      <c r="C474" s="2"/>
      <c r="F474" s="2"/>
    </row>
    <row r="475" ht="15.75" customHeight="1">
      <c r="C475" s="2"/>
      <c r="F475" s="2"/>
    </row>
    <row r="476" ht="15.75" customHeight="1">
      <c r="C476" s="2"/>
      <c r="F476" s="2"/>
    </row>
    <row r="477" ht="15.75" customHeight="1">
      <c r="C477" s="2"/>
      <c r="F477" s="2"/>
    </row>
    <row r="478" ht="15.75" customHeight="1">
      <c r="C478" s="2"/>
      <c r="F478" s="2"/>
    </row>
    <row r="479" ht="15.75" customHeight="1">
      <c r="C479" s="2"/>
      <c r="F479" s="2"/>
    </row>
    <row r="480" ht="15.75" customHeight="1">
      <c r="C480" s="2"/>
      <c r="F480" s="2"/>
    </row>
    <row r="481" ht="15.75" customHeight="1">
      <c r="C481" s="2"/>
      <c r="F481" s="2"/>
    </row>
    <row r="482" ht="15.75" customHeight="1">
      <c r="C482" s="2"/>
      <c r="F482" s="2"/>
    </row>
    <row r="483" ht="15.75" customHeight="1">
      <c r="C483" s="2"/>
      <c r="F483" s="2"/>
    </row>
    <row r="484" ht="15.75" customHeight="1">
      <c r="C484" s="2"/>
      <c r="F484" s="2"/>
    </row>
    <row r="485" ht="15.75" customHeight="1">
      <c r="C485" s="2"/>
      <c r="F485" s="2"/>
    </row>
    <row r="486" ht="15.75" customHeight="1">
      <c r="C486" s="2"/>
      <c r="F486" s="2"/>
    </row>
    <row r="487" ht="15.75" customHeight="1">
      <c r="C487" s="2"/>
      <c r="F487" s="2"/>
    </row>
    <row r="488" ht="15.75" customHeight="1">
      <c r="C488" s="2"/>
      <c r="F488" s="2"/>
    </row>
    <row r="489" ht="15.75" customHeight="1">
      <c r="C489" s="2"/>
      <c r="F489" s="2"/>
    </row>
    <row r="490" ht="15.75" customHeight="1">
      <c r="C490" s="2"/>
      <c r="F490" s="2"/>
    </row>
    <row r="491" ht="15.75" customHeight="1">
      <c r="C491" s="2"/>
      <c r="F491" s="2"/>
    </row>
    <row r="492" ht="15.75" customHeight="1">
      <c r="C492" s="2"/>
      <c r="F492" s="2"/>
    </row>
    <row r="493" ht="15.75" customHeight="1">
      <c r="C493" s="2"/>
      <c r="F493" s="2"/>
    </row>
    <row r="494" ht="15.75" customHeight="1">
      <c r="C494" s="2"/>
      <c r="F494" s="2"/>
    </row>
    <row r="495" ht="15.75" customHeight="1">
      <c r="C495" s="2"/>
      <c r="F495" s="2"/>
    </row>
    <row r="496" ht="15.75" customHeight="1">
      <c r="C496" s="2"/>
      <c r="F496" s="2"/>
    </row>
    <row r="497" ht="15.75" customHeight="1">
      <c r="C497" s="2"/>
      <c r="F497" s="2"/>
    </row>
    <row r="498" ht="15.75" customHeight="1">
      <c r="C498" s="2"/>
      <c r="F498" s="2"/>
    </row>
    <row r="499" ht="15.75" customHeight="1">
      <c r="C499" s="2"/>
      <c r="F499" s="2"/>
    </row>
    <row r="500" ht="15.75" customHeight="1">
      <c r="C500" s="2"/>
      <c r="F500" s="2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"Sales,Product,Technical"</formula1>
    </dataValidation>
    <dataValidation type="list" allowBlank="1" sqref="F2:F500">
      <formula1>"Active,Remediation,Certified"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6.0"/>
    <col customWidth="1" min="4" max="5" width="12.0"/>
    <col customWidth="1" min="6" max="6" width="11.0"/>
    <col customWidth="1" min="7" max="7" width="10.0"/>
    <col customWidth="1" min="8" max="8" width="11.0"/>
    <col customWidth="1" min="9" max="11" width="10.0"/>
    <col customWidth="1" min="12" max="12" width="9.0"/>
    <col customWidth="1" min="13" max="13" width="13.0"/>
    <col customWidth="1" min="14" max="14" width="16.0"/>
    <col customWidth="1" min="15" max="15" width="38.0"/>
  </cols>
  <sheetData>
    <row r="1" ht="21.75" customHeight="1">
      <c r="A1" s="1" t="s">
        <v>6</v>
      </c>
      <c r="B1" s="1" t="s">
        <v>7</v>
      </c>
      <c r="C1" s="1" t="s">
        <v>0</v>
      </c>
      <c r="D1" s="1" t="s">
        <v>8</v>
      </c>
      <c r="E1" s="1" t="s">
        <v>2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</row>
    <row r="2">
      <c r="A2" s="3"/>
      <c r="B2" s="2" t="str">
        <f t="shared" ref="B2:B2000" si="1">IF(A2="","",TEXT(A2,"yyyy")&amp;"-W"&amp;TEXT(ISOWEEKNUM(A2),"00"))</f>
        <v/>
      </c>
      <c r="E2" s="2"/>
      <c r="F2" s="2"/>
      <c r="G2" s="2"/>
      <c r="H2" s="2"/>
      <c r="I2" s="2"/>
      <c r="J2" s="2"/>
      <c r="K2" s="2" t="str">
        <f t="shared" ref="K2:K2000" si="2">IF(COUNTA(F2:J2)=0,"",SUM(F2:J2))</f>
        <v/>
      </c>
      <c r="L2" s="2" t="str">
        <f t="shared" ref="L2:L2000" si="3">IF(OR(D2="CORE-01",D2="CORE-02",D2="DATA-08",D2="COMP-01",D2="COMP-02",D2="COMP-03",D2="SIM-08"),"Yes","No")</f>
        <v>No</v>
      </c>
      <c r="M2" s="2" t="str">
        <f>IF(K2="","",F2*VLOOKUP(E2,WEIGHTS!$A$2:$F$4,2,FALSE)+G2*VLOOKUP(E2,WEIGHTS!$A$2:$F$4,3,FALSE)+H2*VLOOKUP(E2,WEIGHTS!$A$2:$F$4,4,FALSE)+I2*VLOOKUP(E2,WEIGHTS!$A$2:$F$4,5,FALSE)+J2*VLOOKUP(E2,WEIGHTS!$A$2:$F$4,6,FALSE))</f>
        <v/>
      </c>
      <c r="N2" s="2" t="str">
        <f t="shared" ref="N2:N2000" si="4">IF(K2="","",IF(AND(L2="Yes",K2&lt;14),"CRITICAL FAIL",IF(K2&lt;12,"LOW SCORE","OK")))</f>
        <v/>
      </c>
    </row>
    <row r="3">
      <c r="A3" s="3"/>
      <c r="B3" s="2" t="str">
        <f t="shared" si="1"/>
        <v/>
      </c>
      <c r="E3" s="2"/>
      <c r="F3" s="2"/>
      <c r="G3" s="2"/>
      <c r="H3" s="2"/>
      <c r="I3" s="2"/>
      <c r="J3" s="2"/>
      <c r="K3" s="2" t="str">
        <f t="shared" si="2"/>
        <v/>
      </c>
      <c r="L3" s="2" t="str">
        <f t="shared" si="3"/>
        <v>No</v>
      </c>
      <c r="M3" s="2" t="str">
        <f>IF(K3="","",F3*VLOOKUP(E3,WEIGHTS!$A$2:$F$4,2,FALSE)+G3*VLOOKUP(E3,WEIGHTS!$A$2:$F$4,3,FALSE)+H3*VLOOKUP(E3,WEIGHTS!$A$2:$F$4,4,FALSE)+I3*VLOOKUP(E3,WEIGHTS!$A$2:$F$4,5,FALSE)+J3*VLOOKUP(E3,WEIGHTS!$A$2:$F$4,6,FALSE))</f>
        <v/>
      </c>
      <c r="N3" s="2" t="str">
        <f t="shared" si="4"/>
        <v/>
      </c>
    </row>
    <row r="4">
      <c r="A4" s="3"/>
      <c r="B4" s="2" t="str">
        <f t="shared" si="1"/>
        <v/>
      </c>
      <c r="E4" s="2"/>
      <c r="F4" s="2"/>
      <c r="G4" s="2"/>
      <c r="H4" s="2"/>
      <c r="I4" s="2"/>
      <c r="J4" s="2"/>
      <c r="K4" s="2" t="str">
        <f t="shared" si="2"/>
        <v/>
      </c>
      <c r="L4" s="2" t="str">
        <f t="shared" si="3"/>
        <v>No</v>
      </c>
      <c r="M4" s="2" t="str">
        <f>IF(K4="","",F4*VLOOKUP(E4,WEIGHTS!$A$2:$F$4,2,FALSE)+G4*VLOOKUP(E4,WEIGHTS!$A$2:$F$4,3,FALSE)+H4*VLOOKUP(E4,WEIGHTS!$A$2:$F$4,4,FALSE)+I4*VLOOKUP(E4,WEIGHTS!$A$2:$F$4,5,FALSE)+J4*VLOOKUP(E4,WEIGHTS!$A$2:$F$4,6,FALSE))</f>
        <v/>
      </c>
      <c r="N4" s="2" t="str">
        <f t="shared" si="4"/>
        <v/>
      </c>
    </row>
    <row r="5">
      <c r="A5" s="3"/>
      <c r="B5" s="2" t="str">
        <f t="shared" si="1"/>
        <v/>
      </c>
      <c r="E5" s="2"/>
      <c r="F5" s="2"/>
      <c r="G5" s="2"/>
      <c r="H5" s="2"/>
      <c r="I5" s="2"/>
      <c r="J5" s="2"/>
      <c r="K5" s="2" t="str">
        <f t="shared" si="2"/>
        <v/>
      </c>
      <c r="L5" s="2" t="str">
        <f t="shared" si="3"/>
        <v>No</v>
      </c>
      <c r="M5" s="2" t="str">
        <f>IF(K5="","",F5*VLOOKUP(E5,WEIGHTS!$A$2:$F$4,2,FALSE)+G5*VLOOKUP(E5,WEIGHTS!$A$2:$F$4,3,FALSE)+H5*VLOOKUP(E5,WEIGHTS!$A$2:$F$4,4,FALSE)+I5*VLOOKUP(E5,WEIGHTS!$A$2:$F$4,5,FALSE)+J5*VLOOKUP(E5,WEIGHTS!$A$2:$F$4,6,FALSE))</f>
        <v/>
      </c>
      <c r="N5" s="2" t="str">
        <f t="shared" si="4"/>
        <v/>
      </c>
    </row>
    <row r="6">
      <c r="A6" s="3"/>
      <c r="B6" s="2" t="str">
        <f t="shared" si="1"/>
        <v/>
      </c>
      <c r="E6" s="2"/>
      <c r="F6" s="2"/>
      <c r="G6" s="2"/>
      <c r="H6" s="2"/>
      <c r="I6" s="2"/>
      <c r="J6" s="2"/>
      <c r="K6" s="2" t="str">
        <f t="shared" si="2"/>
        <v/>
      </c>
      <c r="L6" s="2" t="str">
        <f t="shared" si="3"/>
        <v>No</v>
      </c>
      <c r="M6" s="2" t="str">
        <f>IF(K6="","",F6*VLOOKUP(E6,WEIGHTS!$A$2:$F$4,2,FALSE)+G6*VLOOKUP(E6,WEIGHTS!$A$2:$F$4,3,FALSE)+H6*VLOOKUP(E6,WEIGHTS!$A$2:$F$4,4,FALSE)+I6*VLOOKUP(E6,WEIGHTS!$A$2:$F$4,5,FALSE)+J6*VLOOKUP(E6,WEIGHTS!$A$2:$F$4,6,FALSE))</f>
        <v/>
      </c>
      <c r="N6" s="2" t="str">
        <f t="shared" si="4"/>
        <v/>
      </c>
    </row>
    <row r="7">
      <c r="A7" s="3"/>
      <c r="B7" s="2" t="str">
        <f t="shared" si="1"/>
        <v/>
      </c>
      <c r="E7" s="2"/>
      <c r="F7" s="2"/>
      <c r="G7" s="2"/>
      <c r="H7" s="2"/>
      <c r="I7" s="2"/>
      <c r="J7" s="2"/>
      <c r="K7" s="2" t="str">
        <f t="shared" si="2"/>
        <v/>
      </c>
      <c r="L7" s="2" t="str">
        <f t="shared" si="3"/>
        <v>No</v>
      </c>
      <c r="M7" s="2" t="str">
        <f>IF(K7="","",F7*VLOOKUP(E7,WEIGHTS!$A$2:$F$4,2,FALSE)+G7*VLOOKUP(E7,WEIGHTS!$A$2:$F$4,3,FALSE)+H7*VLOOKUP(E7,WEIGHTS!$A$2:$F$4,4,FALSE)+I7*VLOOKUP(E7,WEIGHTS!$A$2:$F$4,5,FALSE)+J7*VLOOKUP(E7,WEIGHTS!$A$2:$F$4,6,FALSE))</f>
        <v/>
      </c>
      <c r="N7" s="2" t="str">
        <f t="shared" si="4"/>
        <v/>
      </c>
    </row>
    <row r="8">
      <c r="A8" s="3"/>
      <c r="B8" s="2" t="str">
        <f t="shared" si="1"/>
        <v/>
      </c>
      <c r="E8" s="2"/>
      <c r="F8" s="2"/>
      <c r="G8" s="2"/>
      <c r="H8" s="2"/>
      <c r="I8" s="2"/>
      <c r="J8" s="2"/>
      <c r="K8" s="2" t="str">
        <f t="shared" si="2"/>
        <v/>
      </c>
      <c r="L8" s="2" t="str">
        <f t="shared" si="3"/>
        <v>No</v>
      </c>
      <c r="M8" s="2" t="str">
        <f>IF(K8="","",F8*VLOOKUP(E8,WEIGHTS!$A$2:$F$4,2,FALSE)+G8*VLOOKUP(E8,WEIGHTS!$A$2:$F$4,3,FALSE)+H8*VLOOKUP(E8,WEIGHTS!$A$2:$F$4,4,FALSE)+I8*VLOOKUP(E8,WEIGHTS!$A$2:$F$4,5,FALSE)+J8*VLOOKUP(E8,WEIGHTS!$A$2:$F$4,6,FALSE))</f>
        <v/>
      </c>
      <c r="N8" s="2" t="str">
        <f t="shared" si="4"/>
        <v/>
      </c>
    </row>
    <row r="9">
      <c r="A9" s="3"/>
      <c r="B9" s="2" t="str">
        <f t="shared" si="1"/>
        <v/>
      </c>
      <c r="E9" s="2"/>
      <c r="F9" s="2"/>
      <c r="G9" s="2"/>
      <c r="H9" s="2"/>
      <c r="I9" s="2"/>
      <c r="J9" s="2"/>
      <c r="K9" s="2" t="str">
        <f t="shared" si="2"/>
        <v/>
      </c>
      <c r="L9" s="2" t="str">
        <f t="shared" si="3"/>
        <v>No</v>
      </c>
      <c r="M9" s="2" t="str">
        <f>IF(K9="","",F9*VLOOKUP(E9,WEIGHTS!$A$2:$F$4,2,FALSE)+G9*VLOOKUP(E9,WEIGHTS!$A$2:$F$4,3,FALSE)+H9*VLOOKUP(E9,WEIGHTS!$A$2:$F$4,4,FALSE)+I9*VLOOKUP(E9,WEIGHTS!$A$2:$F$4,5,FALSE)+J9*VLOOKUP(E9,WEIGHTS!$A$2:$F$4,6,FALSE))</f>
        <v/>
      </c>
      <c r="N9" s="2" t="str">
        <f t="shared" si="4"/>
        <v/>
      </c>
    </row>
    <row r="10">
      <c r="A10" s="3"/>
      <c r="B10" s="2" t="str">
        <f t="shared" si="1"/>
        <v/>
      </c>
      <c r="E10" s="2"/>
      <c r="F10" s="2"/>
      <c r="G10" s="2"/>
      <c r="H10" s="2"/>
      <c r="I10" s="2"/>
      <c r="J10" s="2"/>
      <c r="K10" s="2" t="str">
        <f t="shared" si="2"/>
        <v/>
      </c>
      <c r="L10" s="2" t="str">
        <f t="shared" si="3"/>
        <v>No</v>
      </c>
      <c r="M10" s="2" t="str">
        <f>IF(K10="","",F10*VLOOKUP(E10,WEIGHTS!$A$2:$F$4,2,FALSE)+G10*VLOOKUP(E10,WEIGHTS!$A$2:$F$4,3,FALSE)+H10*VLOOKUP(E10,WEIGHTS!$A$2:$F$4,4,FALSE)+I10*VLOOKUP(E10,WEIGHTS!$A$2:$F$4,5,FALSE)+J10*VLOOKUP(E10,WEIGHTS!$A$2:$F$4,6,FALSE))</f>
        <v/>
      </c>
      <c r="N10" s="2" t="str">
        <f t="shared" si="4"/>
        <v/>
      </c>
    </row>
    <row r="11">
      <c r="A11" s="3"/>
      <c r="B11" s="2" t="str">
        <f t="shared" si="1"/>
        <v/>
      </c>
      <c r="E11" s="2"/>
      <c r="F11" s="2"/>
      <c r="G11" s="2"/>
      <c r="H11" s="2"/>
      <c r="I11" s="2"/>
      <c r="J11" s="2"/>
      <c r="K11" s="2" t="str">
        <f t="shared" si="2"/>
        <v/>
      </c>
      <c r="L11" s="2" t="str">
        <f t="shared" si="3"/>
        <v>No</v>
      </c>
      <c r="M11" s="2" t="str">
        <f>IF(K11="","",F11*VLOOKUP(E11,WEIGHTS!$A$2:$F$4,2,FALSE)+G11*VLOOKUP(E11,WEIGHTS!$A$2:$F$4,3,FALSE)+H11*VLOOKUP(E11,WEIGHTS!$A$2:$F$4,4,FALSE)+I11*VLOOKUP(E11,WEIGHTS!$A$2:$F$4,5,FALSE)+J11*VLOOKUP(E11,WEIGHTS!$A$2:$F$4,6,FALSE))</f>
        <v/>
      </c>
      <c r="N11" s="2" t="str">
        <f t="shared" si="4"/>
        <v/>
      </c>
    </row>
    <row r="12">
      <c r="A12" s="3"/>
      <c r="B12" s="2" t="str">
        <f t="shared" si="1"/>
        <v/>
      </c>
      <c r="E12" s="2"/>
      <c r="F12" s="2"/>
      <c r="G12" s="2"/>
      <c r="H12" s="2"/>
      <c r="I12" s="2"/>
      <c r="J12" s="2"/>
      <c r="K12" s="2" t="str">
        <f t="shared" si="2"/>
        <v/>
      </c>
      <c r="L12" s="2" t="str">
        <f t="shared" si="3"/>
        <v>No</v>
      </c>
      <c r="M12" s="2" t="str">
        <f>IF(K12="","",F12*VLOOKUP(E12,WEIGHTS!$A$2:$F$4,2,FALSE)+G12*VLOOKUP(E12,WEIGHTS!$A$2:$F$4,3,FALSE)+H12*VLOOKUP(E12,WEIGHTS!$A$2:$F$4,4,FALSE)+I12*VLOOKUP(E12,WEIGHTS!$A$2:$F$4,5,FALSE)+J12*VLOOKUP(E12,WEIGHTS!$A$2:$F$4,6,FALSE))</f>
        <v/>
      </c>
      <c r="N12" s="2" t="str">
        <f t="shared" si="4"/>
        <v/>
      </c>
    </row>
    <row r="13">
      <c r="A13" s="3"/>
      <c r="B13" s="2" t="str">
        <f t="shared" si="1"/>
        <v/>
      </c>
      <c r="E13" s="2"/>
      <c r="F13" s="2"/>
      <c r="G13" s="2"/>
      <c r="H13" s="2"/>
      <c r="I13" s="2"/>
      <c r="J13" s="2"/>
      <c r="K13" s="2" t="str">
        <f t="shared" si="2"/>
        <v/>
      </c>
      <c r="L13" s="2" t="str">
        <f t="shared" si="3"/>
        <v>No</v>
      </c>
      <c r="M13" s="2" t="str">
        <f>IF(K13="","",F13*VLOOKUP(E13,WEIGHTS!$A$2:$F$4,2,FALSE)+G13*VLOOKUP(E13,WEIGHTS!$A$2:$F$4,3,FALSE)+H13*VLOOKUP(E13,WEIGHTS!$A$2:$F$4,4,FALSE)+I13*VLOOKUP(E13,WEIGHTS!$A$2:$F$4,5,FALSE)+J13*VLOOKUP(E13,WEIGHTS!$A$2:$F$4,6,FALSE))</f>
        <v/>
      </c>
      <c r="N13" s="2" t="str">
        <f t="shared" si="4"/>
        <v/>
      </c>
    </row>
    <row r="14">
      <c r="A14" s="3"/>
      <c r="B14" s="2" t="str">
        <f t="shared" si="1"/>
        <v/>
      </c>
      <c r="E14" s="2"/>
      <c r="F14" s="2"/>
      <c r="G14" s="2"/>
      <c r="H14" s="2"/>
      <c r="I14" s="2"/>
      <c r="J14" s="2"/>
      <c r="K14" s="2" t="str">
        <f t="shared" si="2"/>
        <v/>
      </c>
      <c r="L14" s="2" t="str">
        <f t="shared" si="3"/>
        <v>No</v>
      </c>
      <c r="M14" s="2" t="str">
        <f>IF(K14="","",F14*VLOOKUP(E14,WEIGHTS!$A$2:$F$4,2,FALSE)+G14*VLOOKUP(E14,WEIGHTS!$A$2:$F$4,3,FALSE)+H14*VLOOKUP(E14,WEIGHTS!$A$2:$F$4,4,FALSE)+I14*VLOOKUP(E14,WEIGHTS!$A$2:$F$4,5,FALSE)+J14*VLOOKUP(E14,WEIGHTS!$A$2:$F$4,6,FALSE))</f>
        <v/>
      </c>
      <c r="N14" s="2" t="str">
        <f t="shared" si="4"/>
        <v/>
      </c>
    </row>
    <row r="15">
      <c r="A15" s="3"/>
      <c r="B15" s="2" t="str">
        <f t="shared" si="1"/>
        <v/>
      </c>
      <c r="E15" s="2"/>
      <c r="F15" s="2"/>
      <c r="G15" s="2"/>
      <c r="H15" s="2"/>
      <c r="I15" s="2"/>
      <c r="J15" s="2"/>
      <c r="K15" s="2" t="str">
        <f t="shared" si="2"/>
        <v/>
      </c>
      <c r="L15" s="2" t="str">
        <f t="shared" si="3"/>
        <v>No</v>
      </c>
      <c r="M15" s="2" t="str">
        <f>IF(K15="","",F15*VLOOKUP(E15,WEIGHTS!$A$2:$F$4,2,FALSE)+G15*VLOOKUP(E15,WEIGHTS!$A$2:$F$4,3,FALSE)+H15*VLOOKUP(E15,WEIGHTS!$A$2:$F$4,4,FALSE)+I15*VLOOKUP(E15,WEIGHTS!$A$2:$F$4,5,FALSE)+J15*VLOOKUP(E15,WEIGHTS!$A$2:$F$4,6,FALSE))</f>
        <v/>
      </c>
      <c r="N15" s="2" t="str">
        <f t="shared" si="4"/>
        <v/>
      </c>
    </row>
    <row r="16">
      <c r="A16" s="3"/>
      <c r="B16" s="2" t="str">
        <f t="shared" si="1"/>
        <v/>
      </c>
      <c r="E16" s="2"/>
      <c r="F16" s="2"/>
      <c r="G16" s="2"/>
      <c r="H16" s="2"/>
      <c r="I16" s="2"/>
      <c r="J16" s="2"/>
      <c r="K16" s="2" t="str">
        <f t="shared" si="2"/>
        <v/>
      </c>
      <c r="L16" s="2" t="str">
        <f t="shared" si="3"/>
        <v>No</v>
      </c>
      <c r="M16" s="2" t="str">
        <f>IF(K16="","",F16*VLOOKUP(E16,WEIGHTS!$A$2:$F$4,2,FALSE)+G16*VLOOKUP(E16,WEIGHTS!$A$2:$F$4,3,FALSE)+H16*VLOOKUP(E16,WEIGHTS!$A$2:$F$4,4,FALSE)+I16*VLOOKUP(E16,WEIGHTS!$A$2:$F$4,5,FALSE)+J16*VLOOKUP(E16,WEIGHTS!$A$2:$F$4,6,FALSE))</f>
        <v/>
      </c>
      <c r="N16" s="2" t="str">
        <f t="shared" si="4"/>
        <v/>
      </c>
    </row>
    <row r="17">
      <c r="A17" s="3"/>
      <c r="B17" s="2" t="str">
        <f t="shared" si="1"/>
        <v/>
      </c>
      <c r="E17" s="2"/>
      <c r="F17" s="2"/>
      <c r="G17" s="2"/>
      <c r="H17" s="2"/>
      <c r="I17" s="2"/>
      <c r="J17" s="2"/>
      <c r="K17" s="2" t="str">
        <f t="shared" si="2"/>
        <v/>
      </c>
      <c r="L17" s="2" t="str">
        <f t="shared" si="3"/>
        <v>No</v>
      </c>
      <c r="M17" s="2" t="str">
        <f>IF(K17="","",F17*VLOOKUP(E17,WEIGHTS!$A$2:$F$4,2,FALSE)+G17*VLOOKUP(E17,WEIGHTS!$A$2:$F$4,3,FALSE)+H17*VLOOKUP(E17,WEIGHTS!$A$2:$F$4,4,FALSE)+I17*VLOOKUP(E17,WEIGHTS!$A$2:$F$4,5,FALSE)+J17*VLOOKUP(E17,WEIGHTS!$A$2:$F$4,6,FALSE))</f>
        <v/>
      </c>
      <c r="N17" s="2" t="str">
        <f t="shared" si="4"/>
        <v/>
      </c>
    </row>
    <row r="18">
      <c r="A18" s="3"/>
      <c r="B18" s="2" t="str">
        <f t="shared" si="1"/>
        <v/>
      </c>
      <c r="E18" s="2"/>
      <c r="F18" s="2"/>
      <c r="G18" s="2"/>
      <c r="H18" s="2"/>
      <c r="I18" s="2"/>
      <c r="J18" s="2"/>
      <c r="K18" s="2" t="str">
        <f t="shared" si="2"/>
        <v/>
      </c>
      <c r="L18" s="2" t="str">
        <f t="shared" si="3"/>
        <v>No</v>
      </c>
      <c r="M18" s="2" t="str">
        <f>IF(K18="","",F18*VLOOKUP(E18,WEIGHTS!$A$2:$F$4,2,FALSE)+G18*VLOOKUP(E18,WEIGHTS!$A$2:$F$4,3,FALSE)+H18*VLOOKUP(E18,WEIGHTS!$A$2:$F$4,4,FALSE)+I18*VLOOKUP(E18,WEIGHTS!$A$2:$F$4,5,FALSE)+J18*VLOOKUP(E18,WEIGHTS!$A$2:$F$4,6,FALSE))</f>
        <v/>
      </c>
      <c r="N18" s="2" t="str">
        <f t="shared" si="4"/>
        <v/>
      </c>
    </row>
    <row r="19">
      <c r="A19" s="3"/>
      <c r="B19" s="2" t="str">
        <f t="shared" si="1"/>
        <v/>
      </c>
      <c r="E19" s="2"/>
      <c r="F19" s="2"/>
      <c r="G19" s="2"/>
      <c r="H19" s="2"/>
      <c r="I19" s="2"/>
      <c r="J19" s="2"/>
      <c r="K19" s="2" t="str">
        <f t="shared" si="2"/>
        <v/>
      </c>
      <c r="L19" s="2" t="str">
        <f t="shared" si="3"/>
        <v>No</v>
      </c>
      <c r="M19" s="2" t="str">
        <f>IF(K19="","",F19*VLOOKUP(E19,WEIGHTS!$A$2:$F$4,2,FALSE)+G19*VLOOKUP(E19,WEIGHTS!$A$2:$F$4,3,FALSE)+H19*VLOOKUP(E19,WEIGHTS!$A$2:$F$4,4,FALSE)+I19*VLOOKUP(E19,WEIGHTS!$A$2:$F$4,5,FALSE)+J19*VLOOKUP(E19,WEIGHTS!$A$2:$F$4,6,FALSE))</f>
        <v/>
      </c>
      <c r="N19" s="2" t="str">
        <f t="shared" si="4"/>
        <v/>
      </c>
    </row>
    <row r="20">
      <c r="A20" s="3"/>
      <c r="B20" s="2" t="str">
        <f t="shared" si="1"/>
        <v/>
      </c>
      <c r="E20" s="2"/>
      <c r="F20" s="2"/>
      <c r="G20" s="2"/>
      <c r="H20" s="2"/>
      <c r="I20" s="2"/>
      <c r="J20" s="2"/>
      <c r="K20" s="2" t="str">
        <f t="shared" si="2"/>
        <v/>
      </c>
      <c r="L20" s="2" t="str">
        <f t="shared" si="3"/>
        <v>No</v>
      </c>
      <c r="M20" s="2" t="str">
        <f>IF(K20="","",F20*VLOOKUP(E20,WEIGHTS!$A$2:$F$4,2,FALSE)+G20*VLOOKUP(E20,WEIGHTS!$A$2:$F$4,3,FALSE)+H20*VLOOKUP(E20,WEIGHTS!$A$2:$F$4,4,FALSE)+I20*VLOOKUP(E20,WEIGHTS!$A$2:$F$4,5,FALSE)+J20*VLOOKUP(E20,WEIGHTS!$A$2:$F$4,6,FALSE))</f>
        <v/>
      </c>
      <c r="N20" s="2" t="str">
        <f t="shared" si="4"/>
        <v/>
      </c>
    </row>
    <row r="21" ht="15.75" customHeight="1">
      <c r="A21" s="3"/>
      <c r="B21" s="2" t="str">
        <f t="shared" si="1"/>
        <v/>
      </c>
      <c r="E21" s="2"/>
      <c r="F21" s="2"/>
      <c r="G21" s="2"/>
      <c r="H21" s="2"/>
      <c r="I21" s="2"/>
      <c r="J21" s="2"/>
      <c r="K21" s="2" t="str">
        <f t="shared" si="2"/>
        <v/>
      </c>
      <c r="L21" s="2" t="str">
        <f t="shared" si="3"/>
        <v>No</v>
      </c>
      <c r="M21" s="2" t="str">
        <f>IF(K21="","",F21*VLOOKUP(E21,WEIGHTS!$A$2:$F$4,2,FALSE)+G21*VLOOKUP(E21,WEIGHTS!$A$2:$F$4,3,FALSE)+H21*VLOOKUP(E21,WEIGHTS!$A$2:$F$4,4,FALSE)+I21*VLOOKUP(E21,WEIGHTS!$A$2:$F$4,5,FALSE)+J21*VLOOKUP(E21,WEIGHTS!$A$2:$F$4,6,FALSE))</f>
        <v/>
      </c>
      <c r="N21" s="2" t="str">
        <f t="shared" si="4"/>
        <v/>
      </c>
    </row>
    <row r="22" ht="15.75" customHeight="1">
      <c r="A22" s="3"/>
      <c r="B22" s="2" t="str">
        <f t="shared" si="1"/>
        <v/>
      </c>
      <c r="E22" s="2"/>
      <c r="F22" s="2"/>
      <c r="G22" s="2"/>
      <c r="H22" s="2"/>
      <c r="I22" s="2"/>
      <c r="J22" s="2"/>
      <c r="K22" s="2" t="str">
        <f t="shared" si="2"/>
        <v/>
      </c>
      <c r="L22" s="2" t="str">
        <f t="shared" si="3"/>
        <v>No</v>
      </c>
      <c r="M22" s="2" t="str">
        <f>IF(K22="","",F22*VLOOKUP(E22,WEIGHTS!$A$2:$F$4,2,FALSE)+G22*VLOOKUP(E22,WEIGHTS!$A$2:$F$4,3,FALSE)+H22*VLOOKUP(E22,WEIGHTS!$A$2:$F$4,4,FALSE)+I22*VLOOKUP(E22,WEIGHTS!$A$2:$F$4,5,FALSE)+J22*VLOOKUP(E22,WEIGHTS!$A$2:$F$4,6,FALSE))</f>
        <v/>
      </c>
      <c r="N22" s="2" t="str">
        <f t="shared" si="4"/>
        <v/>
      </c>
    </row>
    <row r="23" ht="15.75" customHeight="1">
      <c r="A23" s="3"/>
      <c r="B23" s="2" t="str">
        <f t="shared" si="1"/>
        <v/>
      </c>
      <c r="E23" s="2"/>
      <c r="F23" s="2"/>
      <c r="G23" s="2"/>
      <c r="H23" s="2"/>
      <c r="I23" s="2"/>
      <c r="J23" s="2"/>
      <c r="K23" s="2" t="str">
        <f t="shared" si="2"/>
        <v/>
      </c>
      <c r="L23" s="2" t="str">
        <f t="shared" si="3"/>
        <v>No</v>
      </c>
      <c r="M23" s="2" t="str">
        <f>IF(K23="","",F23*VLOOKUP(E23,WEIGHTS!$A$2:$F$4,2,FALSE)+G23*VLOOKUP(E23,WEIGHTS!$A$2:$F$4,3,FALSE)+H23*VLOOKUP(E23,WEIGHTS!$A$2:$F$4,4,FALSE)+I23*VLOOKUP(E23,WEIGHTS!$A$2:$F$4,5,FALSE)+J23*VLOOKUP(E23,WEIGHTS!$A$2:$F$4,6,FALSE))</f>
        <v/>
      </c>
      <c r="N23" s="2" t="str">
        <f t="shared" si="4"/>
        <v/>
      </c>
    </row>
    <row r="24" ht="15.75" customHeight="1">
      <c r="A24" s="3"/>
      <c r="B24" s="2" t="str">
        <f t="shared" si="1"/>
        <v/>
      </c>
      <c r="E24" s="2"/>
      <c r="F24" s="2"/>
      <c r="G24" s="2"/>
      <c r="H24" s="2"/>
      <c r="I24" s="2"/>
      <c r="J24" s="2"/>
      <c r="K24" s="2" t="str">
        <f t="shared" si="2"/>
        <v/>
      </c>
      <c r="L24" s="2" t="str">
        <f t="shared" si="3"/>
        <v>No</v>
      </c>
      <c r="M24" s="2" t="str">
        <f>IF(K24="","",F24*VLOOKUP(E24,WEIGHTS!$A$2:$F$4,2,FALSE)+G24*VLOOKUP(E24,WEIGHTS!$A$2:$F$4,3,FALSE)+H24*VLOOKUP(E24,WEIGHTS!$A$2:$F$4,4,FALSE)+I24*VLOOKUP(E24,WEIGHTS!$A$2:$F$4,5,FALSE)+J24*VLOOKUP(E24,WEIGHTS!$A$2:$F$4,6,FALSE))</f>
        <v/>
      </c>
      <c r="N24" s="2" t="str">
        <f t="shared" si="4"/>
        <v/>
      </c>
    </row>
    <row r="25" ht="15.75" customHeight="1">
      <c r="A25" s="3"/>
      <c r="B25" s="2" t="str">
        <f t="shared" si="1"/>
        <v/>
      </c>
      <c r="E25" s="2"/>
      <c r="F25" s="2"/>
      <c r="G25" s="2"/>
      <c r="H25" s="2"/>
      <c r="I25" s="2"/>
      <c r="J25" s="2"/>
      <c r="K25" s="2" t="str">
        <f t="shared" si="2"/>
        <v/>
      </c>
      <c r="L25" s="2" t="str">
        <f t="shared" si="3"/>
        <v>No</v>
      </c>
      <c r="M25" s="2" t="str">
        <f>IF(K25="","",F25*VLOOKUP(E25,WEIGHTS!$A$2:$F$4,2,FALSE)+G25*VLOOKUP(E25,WEIGHTS!$A$2:$F$4,3,FALSE)+H25*VLOOKUP(E25,WEIGHTS!$A$2:$F$4,4,FALSE)+I25*VLOOKUP(E25,WEIGHTS!$A$2:$F$4,5,FALSE)+J25*VLOOKUP(E25,WEIGHTS!$A$2:$F$4,6,FALSE))</f>
        <v/>
      </c>
      <c r="N25" s="2" t="str">
        <f t="shared" si="4"/>
        <v/>
      </c>
    </row>
    <row r="26" ht="15.75" customHeight="1">
      <c r="A26" s="3"/>
      <c r="B26" s="2" t="str">
        <f t="shared" si="1"/>
        <v/>
      </c>
      <c r="E26" s="2"/>
      <c r="F26" s="2"/>
      <c r="G26" s="2"/>
      <c r="H26" s="2"/>
      <c r="I26" s="2"/>
      <c r="J26" s="2"/>
      <c r="K26" s="2" t="str">
        <f t="shared" si="2"/>
        <v/>
      </c>
      <c r="L26" s="2" t="str">
        <f t="shared" si="3"/>
        <v>No</v>
      </c>
      <c r="M26" s="2" t="str">
        <f>IF(K26="","",F26*VLOOKUP(E26,WEIGHTS!$A$2:$F$4,2,FALSE)+G26*VLOOKUP(E26,WEIGHTS!$A$2:$F$4,3,FALSE)+H26*VLOOKUP(E26,WEIGHTS!$A$2:$F$4,4,FALSE)+I26*VLOOKUP(E26,WEIGHTS!$A$2:$F$4,5,FALSE)+J26*VLOOKUP(E26,WEIGHTS!$A$2:$F$4,6,FALSE))</f>
        <v/>
      </c>
      <c r="N26" s="2" t="str">
        <f t="shared" si="4"/>
        <v/>
      </c>
    </row>
    <row r="27" ht="15.75" customHeight="1">
      <c r="A27" s="3"/>
      <c r="B27" s="2" t="str">
        <f t="shared" si="1"/>
        <v/>
      </c>
      <c r="E27" s="2"/>
      <c r="F27" s="2"/>
      <c r="G27" s="2"/>
      <c r="H27" s="2"/>
      <c r="I27" s="2"/>
      <c r="J27" s="2"/>
      <c r="K27" s="2" t="str">
        <f t="shared" si="2"/>
        <v/>
      </c>
      <c r="L27" s="2" t="str">
        <f t="shared" si="3"/>
        <v>No</v>
      </c>
      <c r="M27" s="2" t="str">
        <f>IF(K27="","",F27*VLOOKUP(E27,WEIGHTS!$A$2:$F$4,2,FALSE)+G27*VLOOKUP(E27,WEIGHTS!$A$2:$F$4,3,FALSE)+H27*VLOOKUP(E27,WEIGHTS!$A$2:$F$4,4,FALSE)+I27*VLOOKUP(E27,WEIGHTS!$A$2:$F$4,5,FALSE)+J27*VLOOKUP(E27,WEIGHTS!$A$2:$F$4,6,FALSE))</f>
        <v/>
      </c>
      <c r="N27" s="2" t="str">
        <f t="shared" si="4"/>
        <v/>
      </c>
    </row>
    <row r="28" ht="15.75" customHeight="1">
      <c r="A28" s="3"/>
      <c r="B28" s="2" t="str">
        <f t="shared" si="1"/>
        <v/>
      </c>
      <c r="E28" s="2"/>
      <c r="F28" s="2"/>
      <c r="G28" s="2"/>
      <c r="H28" s="2"/>
      <c r="I28" s="2"/>
      <c r="J28" s="2"/>
      <c r="K28" s="2" t="str">
        <f t="shared" si="2"/>
        <v/>
      </c>
      <c r="L28" s="2" t="str">
        <f t="shared" si="3"/>
        <v>No</v>
      </c>
      <c r="M28" s="2" t="str">
        <f>IF(K28="","",F28*VLOOKUP(E28,WEIGHTS!$A$2:$F$4,2,FALSE)+G28*VLOOKUP(E28,WEIGHTS!$A$2:$F$4,3,FALSE)+H28*VLOOKUP(E28,WEIGHTS!$A$2:$F$4,4,FALSE)+I28*VLOOKUP(E28,WEIGHTS!$A$2:$F$4,5,FALSE)+J28*VLOOKUP(E28,WEIGHTS!$A$2:$F$4,6,FALSE))</f>
        <v/>
      </c>
      <c r="N28" s="2" t="str">
        <f t="shared" si="4"/>
        <v/>
      </c>
    </row>
    <row r="29" ht="15.75" customHeight="1">
      <c r="A29" s="3"/>
      <c r="B29" s="2" t="str">
        <f t="shared" si="1"/>
        <v/>
      </c>
      <c r="E29" s="2"/>
      <c r="F29" s="2"/>
      <c r="G29" s="2"/>
      <c r="H29" s="2"/>
      <c r="I29" s="2"/>
      <c r="J29" s="2"/>
      <c r="K29" s="2" t="str">
        <f t="shared" si="2"/>
        <v/>
      </c>
      <c r="L29" s="2" t="str">
        <f t="shared" si="3"/>
        <v>No</v>
      </c>
      <c r="M29" s="2" t="str">
        <f>IF(K29="","",F29*VLOOKUP(E29,WEIGHTS!$A$2:$F$4,2,FALSE)+G29*VLOOKUP(E29,WEIGHTS!$A$2:$F$4,3,FALSE)+H29*VLOOKUP(E29,WEIGHTS!$A$2:$F$4,4,FALSE)+I29*VLOOKUP(E29,WEIGHTS!$A$2:$F$4,5,FALSE)+J29*VLOOKUP(E29,WEIGHTS!$A$2:$F$4,6,FALSE))</f>
        <v/>
      </c>
      <c r="N29" s="2" t="str">
        <f t="shared" si="4"/>
        <v/>
      </c>
    </row>
    <row r="30" ht="15.75" customHeight="1">
      <c r="A30" s="3"/>
      <c r="B30" s="2" t="str">
        <f t="shared" si="1"/>
        <v/>
      </c>
      <c r="E30" s="2"/>
      <c r="F30" s="2"/>
      <c r="G30" s="2"/>
      <c r="H30" s="2"/>
      <c r="I30" s="2"/>
      <c r="J30" s="2"/>
      <c r="K30" s="2" t="str">
        <f t="shared" si="2"/>
        <v/>
      </c>
      <c r="L30" s="2" t="str">
        <f t="shared" si="3"/>
        <v>No</v>
      </c>
      <c r="M30" s="2" t="str">
        <f>IF(K30="","",F30*VLOOKUP(E30,WEIGHTS!$A$2:$F$4,2,FALSE)+G30*VLOOKUP(E30,WEIGHTS!$A$2:$F$4,3,FALSE)+H30*VLOOKUP(E30,WEIGHTS!$A$2:$F$4,4,FALSE)+I30*VLOOKUP(E30,WEIGHTS!$A$2:$F$4,5,FALSE)+J30*VLOOKUP(E30,WEIGHTS!$A$2:$F$4,6,FALSE))</f>
        <v/>
      </c>
      <c r="N30" s="2" t="str">
        <f t="shared" si="4"/>
        <v/>
      </c>
    </row>
    <row r="31" ht="15.75" customHeight="1">
      <c r="A31" s="3"/>
      <c r="B31" s="2" t="str">
        <f t="shared" si="1"/>
        <v/>
      </c>
      <c r="E31" s="2"/>
      <c r="F31" s="2"/>
      <c r="G31" s="2"/>
      <c r="H31" s="2"/>
      <c r="I31" s="2"/>
      <c r="J31" s="2"/>
      <c r="K31" s="2" t="str">
        <f t="shared" si="2"/>
        <v/>
      </c>
      <c r="L31" s="2" t="str">
        <f t="shared" si="3"/>
        <v>No</v>
      </c>
      <c r="M31" s="2" t="str">
        <f>IF(K31="","",F31*VLOOKUP(E31,WEIGHTS!$A$2:$F$4,2,FALSE)+G31*VLOOKUP(E31,WEIGHTS!$A$2:$F$4,3,FALSE)+H31*VLOOKUP(E31,WEIGHTS!$A$2:$F$4,4,FALSE)+I31*VLOOKUP(E31,WEIGHTS!$A$2:$F$4,5,FALSE)+J31*VLOOKUP(E31,WEIGHTS!$A$2:$F$4,6,FALSE))</f>
        <v/>
      </c>
      <c r="N31" s="2" t="str">
        <f t="shared" si="4"/>
        <v/>
      </c>
    </row>
    <row r="32" ht="15.75" customHeight="1">
      <c r="A32" s="3"/>
      <c r="B32" s="2" t="str">
        <f t="shared" si="1"/>
        <v/>
      </c>
      <c r="E32" s="2"/>
      <c r="F32" s="2"/>
      <c r="G32" s="2"/>
      <c r="H32" s="2"/>
      <c r="I32" s="2"/>
      <c r="J32" s="2"/>
      <c r="K32" s="2" t="str">
        <f t="shared" si="2"/>
        <v/>
      </c>
      <c r="L32" s="2" t="str">
        <f t="shared" si="3"/>
        <v>No</v>
      </c>
      <c r="M32" s="2" t="str">
        <f>IF(K32="","",F32*VLOOKUP(E32,WEIGHTS!$A$2:$F$4,2,FALSE)+G32*VLOOKUP(E32,WEIGHTS!$A$2:$F$4,3,FALSE)+H32*VLOOKUP(E32,WEIGHTS!$A$2:$F$4,4,FALSE)+I32*VLOOKUP(E32,WEIGHTS!$A$2:$F$4,5,FALSE)+J32*VLOOKUP(E32,WEIGHTS!$A$2:$F$4,6,FALSE))</f>
        <v/>
      </c>
      <c r="N32" s="2" t="str">
        <f t="shared" si="4"/>
        <v/>
      </c>
    </row>
    <row r="33" ht="15.75" customHeight="1">
      <c r="A33" s="3"/>
      <c r="B33" s="2" t="str">
        <f t="shared" si="1"/>
        <v/>
      </c>
      <c r="E33" s="2"/>
      <c r="F33" s="2"/>
      <c r="G33" s="2"/>
      <c r="H33" s="2"/>
      <c r="I33" s="2"/>
      <c r="J33" s="2"/>
      <c r="K33" s="2" t="str">
        <f t="shared" si="2"/>
        <v/>
      </c>
      <c r="L33" s="2" t="str">
        <f t="shared" si="3"/>
        <v>No</v>
      </c>
      <c r="M33" s="2" t="str">
        <f>IF(K33="","",F33*VLOOKUP(E33,WEIGHTS!$A$2:$F$4,2,FALSE)+G33*VLOOKUP(E33,WEIGHTS!$A$2:$F$4,3,FALSE)+H33*VLOOKUP(E33,WEIGHTS!$A$2:$F$4,4,FALSE)+I33*VLOOKUP(E33,WEIGHTS!$A$2:$F$4,5,FALSE)+J33*VLOOKUP(E33,WEIGHTS!$A$2:$F$4,6,FALSE))</f>
        <v/>
      </c>
      <c r="N33" s="2" t="str">
        <f t="shared" si="4"/>
        <v/>
      </c>
    </row>
    <row r="34" ht="15.75" customHeight="1">
      <c r="A34" s="3"/>
      <c r="B34" s="2" t="str">
        <f t="shared" si="1"/>
        <v/>
      </c>
      <c r="E34" s="2"/>
      <c r="F34" s="2"/>
      <c r="G34" s="2"/>
      <c r="H34" s="2"/>
      <c r="I34" s="2"/>
      <c r="J34" s="2"/>
      <c r="K34" s="2" t="str">
        <f t="shared" si="2"/>
        <v/>
      </c>
      <c r="L34" s="2" t="str">
        <f t="shared" si="3"/>
        <v>No</v>
      </c>
      <c r="M34" s="2" t="str">
        <f>IF(K34="","",F34*VLOOKUP(E34,WEIGHTS!$A$2:$F$4,2,FALSE)+G34*VLOOKUP(E34,WEIGHTS!$A$2:$F$4,3,FALSE)+H34*VLOOKUP(E34,WEIGHTS!$A$2:$F$4,4,FALSE)+I34*VLOOKUP(E34,WEIGHTS!$A$2:$F$4,5,FALSE)+J34*VLOOKUP(E34,WEIGHTS!$A$2:$F$4,6,FALSE))</f>
        <v/>
      </c>
      <c r="N34" s="2" t="str">
        <f t="shared" si="4"/>
        <v/>
      </c>
    </row>
    <row r="35" ht="15.75" customHeight="1">
      <c r="A35" s="3"/>
      <c r="B35" s="2" t="str">
        <f t="shared" si="1"/>
        <v/>
      </c>
      <c r="E35" s="2"/>
      <c r="F35" s="2"/>
      <c r="G35" s="2"/>
      <c r="H35" s="2"/>
      <c r="I35" s="2"/>
      <c r="J35" s="2"/>
      <c r="K35" s="2" t="str">
        <f t="shared" si="2"/>
        <v/>
      </c>
      <c r="L35" s="2" t="str">
        <f t="shared" si="3"/>
        <v>No</v>
      </c>
      <c r="M35" s="2" t="str">
        <f>IF(K35="","",F35*VLOOKUP(E35,WEIGHTS!$A$2:$F$4,2,FALSE)+G35*VLOOKUP(E35,WEIGHTS!$A$2:$F$4,3,FALSE)+H35*VLOOKUP(E35,WEIGHTS!$A$2:$F$4,4,FALSE)+I35*VLOOKUP(E35,WEIGHTS!$A$2:$F$4,5,FALSE)+J35*VLOOKUP(E35,WEIGHTS!$A$2:$F$4,6,FALSE))</f>
        <v/>
      </c>
      <c r="N35" s="2" t="str">
        <f t="shared" si="4"/>
        <v/>
      </c>
    </row>
    <row r="36" ht="15.75" customHeight="1">
      <c r="A36" s="3"/>
      <c r="B36" s="2" t="str">
        <f t="shared" si="1"/>
        <v/>
      </c>
      <c r="E36" s="2"/>
      <c r="F36" s="2"/>
      <c r="G36" s="2"/>
      <c r="H36" s="2"/>
      <c r="I36" s="2"/>
      <c r="J36" s="2"/>
      <c r="K36" s="2" t="str">
        <f t="shared" si="2"/>
        <v/>
      </c>
      <c r="L36" s="2" t="str">
        <f t="shared" si="3"/>
        <v>No</v>
      </c>
      <c r="M36" s="2" t="str">
        <f>IF(K36="","",F36*VLOOKUP(E36,WEIGHTS!$A$2:$F$4,2,FALSE)+G36*VLOOKUP(E36,WEIGHTS!$A$2:$F$4,3,FALSE)+H36*VLOOKUP(E36,WEIGHTS!$A$2:$F$4,4,FALSE)+I36*VLOOKUP(E36,WEIGHTS!$A$2:$F$4,5,FALSE)+J36*VLOOKUP(E36,WEIGHTS!$A$2:$F$4,6,FALSE))</f>
        <v/>
      </c>
      <c r="N36" s="2" t="str">
        <f t="shared" si="4"/>
        <v/>
      </c>
    </row>
    <row r="37" ht="15.75" customHeight="1">
      <c r="A37" s="3"/>
      <c r="B37" s="2" t="str">
        <f t="shared" si="1"/>
        <v/>
      </c>
      <c r="E37" s="2"/>
      <c r="F37" s="2"/>
      <c r="G37" s="2"/>
      <c r="H37" s="2"/>
      <c r="I37" s="2"/>
      <c r="J37" s="2"/>
      <c r="K37" s="2" t="str">
        <f t="shared" si="2"/>
        <v/>
      </c>
      <c r="L37" s="2" t="str">
        <f t="shared" si="3"/>
        <v>No</v>
      </c>
      <c r="M37" s="2" t="str">
        <f>IF(K37="","",F37*VLOOKUP(E37,WEIGHTS!$A$2:$F$4,2,FALSE)+G37*VLOOKUP(E37,WEIGHTS!$A$2:$F$4,3,FALSE)+H37*VLOOKUP(E37,WEIGHTS!$A$2:$F$4,4,FALSE)+I37*VLOOKUP(E37,WEIGHTS!$A$2:$F$4,5,FALSE)+J37*VLOOKUP(E37,WEIGHTS!$A$2:$F$4,6,FALSE))</f>
        <v/>
      </c>
      <c r="N37" s="2" t="str">
        <f t="shared" si="4"/>
        <v/>
      </c>
    </row>
    <row r="38" ht="15.75" customHeight="1">
      <c r="A38" s="3"/>
      <c r="B38" s="2" t="str">
        <f t="shared" si="1"/>
        <v/>
      </c>
      <c r="E38" s="2"/>
      <c r="F38" s="2"/>
      <c r="G38" s="2"/>
      <c r="H38" s="2"/>
      <c r="I38" s="2"/>
      <c r="J38" s="2"/>
      <c r="K38" s="2" t="str">
        <f t="shared" si="2"/>
        <v/>
      </c>
      <c r="L38" s="2" t="str">
        <f t="shared" si="3"/>
        <v>No</v>
      </c>
      <c r="M38" s="2" t="str">
        <f>IF(K38="","",F38*VLOOKUP(E38,WEIGHTS!$A$2:$F$4,2,FALSE)+G38*VLOOKUP(E38,WEIGHTS!$A$2:$F$4,3,FALSE)+H38*VLOOKUP(E38,WEIGHTS!$A$2:$F$4,4,FALSE)+I38*VLOOKUP(E38,WEIGHTS!$A$2:$F$4,5,FALSE)+J38*VLOOKUP(E38,WEIGHTS!$A$2:$F$4,6,FALSE))</f>
        <v/>
      </c>
      <c r="N38" s="2" t="str">
        <f t="shared" si="4"/>
        <v/>
      </c>
    </row>
    <row r="39" ht="15.75" customHeight="1">
      <c r="A39" s="3"/>
      <c r="B39" s="2" t="str">
        <f t="shared" si="1"/>
        <v/>
      </c>
      <c r="E39" s="2"/>
      <c r="F39" s="2"/>
      <c r="G39" s="2"/>
      <c r="H39" s="2"/>
      <c r="I39" s="2"/>
      <c r="J39" s="2"/>
      <c r="K39" s="2" t="str">
        <f t="shared" si="2"/>
        <v/>
      </c>
      <c r="L39" s="2" t="str">
        <f t="shared" si="3"/>
        <v>No</v>
      </c>
      <c r="M39" s="2" t="str">
        <f>IF(K39="","",F39*VLOOKUP(E39,WEIGHTS!$A$2:$F$4,2,FALSE)+G39*VLOOKUP(E39,WEIGHTS!$A$2:$F$4,3,FALSE)+H39*VLOOKUP(E39,WEIGHTS!$A$2:$F$4,4,FALSE)+I39*VLOOKUP(E39,WEIGHTS!$A$2:$F$4,5,FALSE)+J39*VLOOKUP(E39,WEIGHTS!$A$2:$F$4,6,FALSE))</f>
        <v/>
      </c>
      <c r="N39" s="2" t="str">
        <f t="shared" si="4"/>
        <v/>
      </c>
    </row>
    <row r="40" ht="15.75" customHeight="1">
      <c r="A40" s="3"/>
      <c r="B40" s="2" t="str">
        <f t="shared" si="1"/>
        <v/>
      </c>
      <c r="E40" s="2"/>
      <c r="F40" s="2"/>
      <c r="G40" s="2"/>
      <c r="H40" s="2"/>
      <c r="I40" s="2"/>
      <c r="J40" s="2"/>
      <c r="K40" s="2" t="str">
        <f t="shared" si="2"/>
        <v/>
      </c>
      <c r="L40" s="2" t="str">
        <f t="shared" si="3"/>
        <v>No</v>
      </c>
      <c r="M40" s="2" t="str">
        <f>IF(K40="","",F40*VLOOKUP(E40,WEIGHTS!$A$2:$F$4,2,FALSE)+G40*VLOOKUP(E40,WEIGHTS!$A$2:$F$4,3,FALSE)+H40*VLOOKUP(E40,WEIGHTS!$A$2:$F$4,4,FALSE)+I40*VLOOKUP(E40,WEIGHTS!$A$2:$F$4,5,FALSE)+J40*VLOOKUP(E40,WEIGHTS!$A$2:$F$4,6,FALSE))</f>
        <v/>
      </c>
      <c r="N40" s="2" t="str">
        <f t="shared" si="4"/>
        <v/>
      </c>
    </row>
    <row r="41" ht="15.75" customHeight="1">
      <c r="A41" s="3"/>
      <c r="B41" s="2" t="str">
        <f t="shared" si="1"/>
        <v/>
      </c>
      <c r="E41" s="2"/>
      <c r="F41" s="2"/>
      <c r="G41" s="2"/>
      <c r="H41" s="2"/>
      <c r="I41" s="2"/>
      <c r="J41" s="2"/>
      <c r="K41" s="2" t="str">
        <f t="shared" si="2"/>
        <v/>
      </c>
      <c r="L41" s="2" t="str">
        <f t="shared" si="3"/>
        <v>No</v>
      </c>
      <c r="M41" s="2" t="str">
        <f>IF(K41="","",F41*VLOOKUP(E41,WEIGHTS!$A$2:$F$4,2,FALSE)+G41*VLOOKUP(E41,WEIGHTS!$A$2:$F$4,3,FALSE)+H41*VLOOKUP(E41,WEIGHTS!$A$2:$F$4,4,FALSE)+I41*VLOOKUP(E41,WEIGHTS!$A$2:$F$4,5,FALSE)+J41*VLOOKUP(E41,WEIGHTS!$A$2:$F$4,6,FALSE))</f>
        <v/>
      </c>
      <c r="N41" s="2" t="str">
        <f t="shared" si="4"/>
        <v/>
      </c>
    </row>
    <row r="42" ht="15.75" customHeight="1">
      <c r="A42" s="3"/>
      <c r="B42" s="2" t="str">
        <f t="shared" si="1"/>
        <v/>
      </c>
      <c r="E42" s="2"/>
      <c r="F42" s="2"/>
      <c r="G42" s="2"/>
      <c r="H42" s="2"/>
      <c r="I42" s="2"/>
      <c r="J42" s="2"/>
      <c r="K42" s="2" t="str">
        <f t="shared" si="2"/>
        <v/>
      </c>
      <c r="L42" s="2" t="str">
        <f t="shared" si="3"/>
        <v>No</v>
      </c>
      <c r="M42" s="2" t="str">
        <f>IF(K42="","",F42*VLOOKUP(E42,WEIGHTS!$A$2:$F$4,2,FALSE)+G42*VLOOKUP(E42,WEIGHTS!$A$2:$F$4,3,FALSE)+H42*VLOOKUP(E42,WEIGHTS!$A$2:$F$4,4,FALSE)+I42*VLOOKUP(E42,WEIGHTS!$A$2:$F$4,5,FALSE)+J42*VLOOKUP(E42,WEIGHTS!$A$2:$F$4,6,FALSE))</f>
        <v/>
      </c>
      <c r="N42" s="2" t="str">
        <f t="shared" si="4"/>
        <v/>
      </c>
    </row>
    <row r="43" ht="15.75" customHeight="1">
      <c r="A43" s="3"/>
      <c r="B43" s="2" t="str">
        <f t="shared" si="1"/>
        <v/>
      </c>
      <c r="E43" s="2"/>
      <c r="F43" s="2"/>
      <c r="G43" s="2"/>
      <c r="H43" s="2"/>
      <c r="I43" s="2"/>
      <c r="J43" s="2"/>
      <c r="K43" s="2" t="str">
        <f t="shared" si="2"/>
        <v/>
      </c>
      <c r="L43" s="2" t="str">
        <f t="shared" si="3"/>
        <v>No</v>
      </c>
      <c r="M43" s="2" t="str">
        <f>IF(K43="","",F43*VLOOKUP(E43,WEIGHTS!$A$2:$F$4,2,FALSE)+G43*VLOOKUP(E43,WEIGHTS!$A$2:$F$4,3,FALSE)+H43*VLOOKUP(E43,WEIGHTS!$A$2:$F$4,4,FALSE)+I43*VLOOKUP(E43,WEIGHTS!$A$2:$F$4,5,FALSE)+J43*VLOOKUP(E43,WEIGHTS!$A$2:$F$4,6,FALSE))</f>
        <v/>
      </c>
      <c r="N43" s="2" t="str">
        <f t="shared" si="4"/>
        <v/>
      </c>
    </row>
    <row r="44" ht="15.75" customHeight="1">
      <c r="A44" s="3"/>
      <c r="B44" s="2" t="str">
        <f t="shared" si="1"/>
        <v/>
      </c>
      <c r="E44" s="2"/>
      <c r="F44" s="2"/>
      <c r="G44" s="2"/>
      <c r="H44" s="2"/>
      <c r="I44" s="2"/>
      <c r="J44" s="2"/>
      <c r="K44" s="2" t="str">
        <f t="shared" si="2"/>
        <v/>
      </c>
      <c r="L44" s="2" t="str">
        <f t="shared" si="3"/>
        <v>No</v>
      </c>
      <c r="M44" s="2" t="str">
        <f>IF(K44="","",F44*VLOOKUP(E44,WEIGHTS!$A$2:$F$4,2,FALSE)+G44*VLOOKUP(E44,WEIGHTS!$A$2:$F$4,3,FALSE)+H44*VLOOKUP(E44,WEIGHTS!$A$2:$F$4,4,FALSE)+I44*VLOOKUP(E44,WEIGHTS!$A$2:$F$4,5,FALSE)+J44*VLOOKUP(E44,WEIGHTS!$A$2:$F$4,6,FALSE))</f>
        <v/>
      </c>
      <c r="N44" s="2" t="str">
        <f t="shared" si="4"/>
        <v/>
      </c>
    </row>
    <row r="45" ht="15.75" customHeight="1">
      <c r="A45" s="3"/>
      <c r="B45" s="2" t="str">
        <f t="shared" si="1"/>
        <v/>
      </c>
      <c r="E45" s="2"/>
      <c r="F45" s="2"/>
      <c r="G45" s="2"/>
      <c r="H45" s="2"/>
      <c r="I45" s="2"/>
      <c r="J45" s="2"/>
      <c r="K45" s="2" t="str">
        <f t="shared" si="2"/>
        <v/>
      </c>
      <c r="L45" s="2" t="str">
        <f t="shared" si="3"/>
        <v>No</v>
      </c>
      <c r="M45" s="2" t="str">
        <f>IF(K45="","",F45*VLOOKUP(E45,WEIGHTS!$A$2:$F$4,2,FALSE)+G45*VLOOKUP(E45,WEIGHTS!$A$2:$F$4,3,FALSE)+H45*VLOOKUP(E45,WEIGHTS!$A$2:$F$4,4,FALSE)+I45*VLOOKUP(E45,WEIGHTS!$A$2:$F$4,5,FALSE)+J45*VLOOKUP(E45,WEIGHTS!$A$2:$F$4,6,FALSE))</f>
        <v/>
      </c>
      <c r="N45" s="2" t="str">
        <f t="shared" si="4"/>
        <v/>
      </c>
    </row>
    <row r="46" ht="15.75" customHeight="1">
      <c r="A46" s="3"/>
      <c r="B46" s="2" t="str">
        <f t="shared" si="1"/>
        <v/>
      </c>
      <c r="E46" s="2"/>
      <c r="F46" s="2"/>
      <c r="G46" s="2"/>
      <c r="H46" s="2"/>
      <c r="I46" s="2"/>
      <c r="J46" s="2"/>
      <c r="K46" s="2" t="str">
        <f t="shared" si="2"/>
        <v/>
      </c>
      <c r="L46" s="2" t="str">
        <f t="shared" si="3"/>
        <v>No</v>
      </c>
      <c r="M46" s="2" t="str">
        <f>IF(K46="","",F46*VLOOKUP(E46,WEIGHTS!$A$2:$F$4,2,FALSE)+G46*VLOOKUP(E46,WEIGHTS!$A$2:$F$4,3,FALSE)+H46*VLOOKUP(E46,WEIGHTS!$A$2:$F$4,4,FALSE)+I46*VLOOKUP(E46,WEIGHTS!$A$2:$F$4,5,FALSE)+J46*VLOOKUP(E46,WEIGHTS!$A$2:$F$4,6,FALSE))</f>
        <v/>
      </c>
      <c r="N46" s="2" t="str">
        <f t="shared" si="4"/>
        <v/>
      </c>
    </row>
    <row r="47" ht="15.75" customHeight="1">
      <c r="A47" s="3"/>
      <c r="B47" s="2" t="str">
        <f t="shared" si="1"/>
        <v/>
      </c>
      <c r="E47" s="2"/>
      <c r="F47" s="2"/>
      <c r="G47" s="2"/>
      <c r="H47" s="2"/>
      <c r="I47" s="2"/>
      <c r="J47" s="2"/>
      <c r="K47" s="2" t="str">
        <f t="shared" si="2"/>
        <v/>
      </c>
      <c r="L47" s="2" t="str">
        <f t="shared" si="3"/>
        <v>No</v>
      </c>
      <c r="M47" s="2" t="str">
        <f>IF(K47="","",F47*VLOOKUP(E47,WEIGHTS!$A$2:$F$4,2,FALSE)+G47*VLOOKUP(E47,WEIGHTS!$A$2:$F$4,3,FALSE)+H47*VLOOKUP(E47,WEIGHTS!$A$2:$F$4,4,FALSE)+I47*VLOOKUP(E47,WEIGHTS!$A$2:$F$4,5,FALSE)+J47*VLOOKUP(E47,WEIGHTS!$A$2:$F$4,6,FALSE))</f>
        <v/>
      </c>
      <c r="N47" s="2" t="str">
        <f t="shared" si="4"/>
        <v/>
      </c>
    </row>
    <row r="48" ht="15.75" customHeight="1">
      <c r="A48" s="3"/>
      <c r="B48" s="2" t="str">
        <f t="shared" si="1"/>
        <v/>
      </c>
      <c r="E48" s="2"/>
      <c r="F48" s="2"/>
      <c r="G48" s="2"/>
      <c r="H48" s="2"/>
      <c r="I48" s="2"/>
      <c r="J48" s="2"/>
      <c r="K48" s="2" t="str">
        <f t="shared" si="2"/>
        <v/>
      </c>
      <c r="L48" s="2" t="str">
        <f t="shared" si="3"/>
        <v>No</v>
      </c>
      <c r="M48" s="2" t="str">
        <f>IF(K48="","",F48*VLOOKUP(E48,WEIGHTS!$A$2:$F$4,2,FALSE)+G48*VLOOKUP(E48,WEIGHTS!$A$2:$F$4,3,FALSE)+H48*VLOOKUP(E48,WEIGHTS!$A$2:$F$4,4,FALSE)+I48*VLOOKUP(E48,WEIGHTS!$A$2:$F$4,5,FALSE)+J48*VLOOKUP(E48,WEIGHTS!$A$2:$F$4,6,FALSE))</f>
        <v/>
      </c>
      <c r="N48" s="2" t="str">
        <f t="shared" si="4"/>
        <v/>
      </c>
    </row>
    <row r="49" ht="15.75" customHeight="1">
      <c r="A49" s="3"/>
      <c r="B49" s="2" t="str">
        <f t="shared" si="1"/>
        <v/>
      </c>
      <c r="E49" s="2"/>
      <c r="F49" s="2"/>
      <c r="G49" s="2"/>
      <c r="H49" s="2"/>
      <c r="I49" s="2"/>
      <c r="J49" s="2"/>
      <c r="K49" s="2" t="str">
        <f t="shared" si="2"/>
        <v/>
      </c>
      <c r="L49" s="2" t="str">
        <f t="shared" si="3"/>
        <v>No</v>
      </c>
      <c r="M49" s="2" t="str">
        <f>IF(K49="","",F49*VLOOKUP(E49,WEIGHTS!$A$2:$F$4,2,FALSE)+G49*VLOOKUP(E49,WEIGHTS!$A$2:$F$4,3,FALSE)+H49*VLOOKUP(E49,WEIGHTS!$A$2:$F$4,4,FALSE)+I49*VLOOKUP(E49,WEIGHTS!$A$2:$F$4,5,FALSE)+J49*VLOOKUP(E49,WEIGHTS!$A$2:$F$4,6,FALSE))</f>
        <v/>
      </c>
      <c r="N49" s="2" t="str">
        <f t="shared" si="4"/>
        <v/>
      </c>
    </row>
    <row r="50" ht="15.75" customHeight="1">
      <c r="A50" s="3"/>
      <c r="B50" s="2" t="str">
        <f t="shared" si="1"/>
        <v/>
      </c>
      <c r="E50" s="2"/>
      <c r="F50" s="2"/>
      <c r="G50" s="2"/>
      <c r="H50" s="2"/>
      <c r="I50" s="2"/>
      <c r="J50" s="2"/>
      <c r="K50" s="2" t="str">
        <f t="shared" si="2"/>
        <v/>
      </c>
      <c r="L50" s="2" t="str">
        <f t="shared" si="3"/>
        <v>No</v>
      </c>
      <c r="M50" s="2" t="str">
        <f>IF(K50="","",F50*VLOOKUP(E50,WEIGHTS!$A$2:$F$4,2,FALSE)+G50*VLOOKUP(E50,WEIGHTS!$A$2:$F$4,3,FALSE)+H50*VLOOKUP(E50,WEIGHTS!$A$2:$F$4,4,FALSE)+I50*VLOOKUP(E50,WEIGHTS!$A$2:$F$4,5,FALSE)+J50*VLOOKUP(E50,WEIGHTS!$A$2:$F$4,6,FALSE))</f>
        <v/>
      </c>
      <c r="N50" s="2" t="str">
        <f t="shared" si="4"/>
        <v/>
      </c>
    </row>
    <row r="51" ht="15.75" customHeight="1">
      <c r="A51" s="3"/>
      <c r="B51" s="2" t="str">
        <f t="shared" si="1"/>
        <v/>
      </c>
      <c r="E51" s="2"/>
      <c r="F51" s="2"/>
      <c r="G51" s="2"/>
      <c r="H51" s="2"/>
      <c r="I51" s="2"/>
      <c r="J51" s="2"/>
      <c r="K51" s="2" t="str">
        <f t="shared" si="2"/>
        <v/>
      </c>
      <c r="L51" s="2" t="str">
        <f t="shared" si="3"/>
        <v>No</v>
      </c>
      <c r="M51" s="2" t="str">
        <f>IF(K51="","",F51*VLOOKUP(E51,WEIGHTS!$A$2:$F$4,2,FALSE)+G51*VLOOKUP(E51,WEIGHTS!$A$2:$F$4,3,FALSE)+H51*VLOOKUP(E51,WEIGHTS!$A$2:$F$4,4,FALSE)+I51*VLOOKUP(E51,WEIGHTS!$A$2:$F$4,5,FALSE)+J51*VLOOKUP(E51,WEIGHTS!$A$2:$F$4,6,FALSE))</f>
        <v/>
      </c>
      <c r="N51" s="2" t="str">
        <f t="shared" si="4"/>
        <v/>
      </c>
    </row>
    <row r="52" ht="15.75" customHeight="1">
      <c r="A52" s="3"/>
      <c r="B52" s="2" t="str">
        <f t="shared" si="1"/>
        <v/>
      </c>
      <c r="E52" s="2"/>
      <c r="F52" s="2"/>
      <c r="G52" s="2"/>
      <c r="H52" s="2"/>
      <c r="I52" s="2"/>
      <c r="J52" s="2"/>
      <c r="K52" s="2" t="str">
        <f t="shared" si="2"/>
        <v/>
      </c>
      <c r="L52" s="2" t="str">
        <f t="shared" si="3"/>
        <v>No</v>
      </c>
      <c r="M52" s="2" t="str">
        <f>IF(K52="","",F52*VLOOKUP(E52,WEIGHTS!$A$2:$F$4,2,FALSE)+G52*VLOOKUP(E52,WEIGHTS!$A$2:$F$4,3,FALSE)+H52*VLOOKUP(E52,WEIGHTS!$A$2:$F$4,4,FALSE)+I52*VLOOKUP(E52,WEIGHTS!$A$2:$F$4,5,FALSE)+J52*VLOOKUP(E52,WEIGHTS!$A$2:$F$4,6,FALSE))</f>
        <v/>
      </c>
      <c r="N52" s="2" t="str">
        <f t="shared" si="4"/>
        <v/>
      </c>
    </row>
    <row r="53" ht="15.75" customHeight="1">
      <c r="A53" s="3"/>
      <c r="B53" s="2" t="str">
        <f t="shared" si="1"/>
        <v/>
      </c>
      <c r="E53" s="2"/>
      <c r="F53" s="2"/>
      <c r="G53" s="2"/>
      <c r="H53" s="2"/>
      <c r="I53" s="2"/>
      <c r="J53" s="2"/>
      <c r="K53" s="2" t="str">
        <f t="shared" si="2"/>
        <v/>
      </c>
      <c r="L53" s="2" t="str">
        <f t="shared" si="3"/>
        <v>No</v>
      </c>
      <c r="M53" s="2" t="str">
        <f>IF(K53="","",F53*VLOOKUP(E53,WEIGHTS!$A$2:$F$4,2,FALSE)+G53*VLOOKUP(E53,WEIGHTS!$A$2:$F$4,3,FALSE)+H53*VLOOKUP(E53,WEIGHTS!$A$2:$F$4,4,FALSE)+I53*VLOOKUP(E53,WEIGHTS!$A$2:$F$4,5,FALSE)+J53*VLOOKUP(E53,WEIGHTS!$A$2:$F$4,6,FALSE))</f>
        <v/>
      </c>
      <c r="N53" s="2" t="str">
        <f t="shared" si="4"/>
        <v/>
      </c>
    </row>
    <row r="54" ht="15.75" customHeight="1">
      <c r="A54" s="3"/>
      <c r="B54" s="2" t="str">
        <f t="shared" si="1"/>
        <v/>
      </c>
      <c r="E54" s="2"/>
      <c r="F54" s="2"/>
      <c r="G54" s="2"/>
      <c r="H54" s="2"/>
      <c r="I54" s="2"/>
      <c r="J54" s="2"/>
      <c r="K54" s="2" t="str">
        <f t="shared" si="2"/>
        <v/>
      </c>
      <c r="L54" s="2" t="str">
        <f t="shared" si="3"/>
        <v>No</v>
      </c>
      <c r="M54" s="2" t="str">
        <f>IF(K54="","",F54*VLOOKUP(E54,WEIGHTS!$A$2:$F$4,2,FALSE)+G54*VLOOKUP(E54,WEIGHTS!$A$2:$F$4,3,FALSE)+H54*VLOOKUP(E54,WEIGHTS!$A$2:$F$4,4,FALSE)+I54*VLOOKUP(E54,WEIGHTS!$A$2:$F$4,5,FALSE)+J54*VLOOKUP(E54,WEIGHTS!$A$2:$F$4,6,FALSE))</f>
        <v/>
      </c>
      <c r="N54" s="2" t="str">
        <f t="shared" si="4"/>
        <v/>
      </c>
    </row>
    <row r="55" ht="15.75" customHeight="1">
      <c r="A55" s="3"/>
      <c r="B55" s="2" t="str">
        <f t="shared" si="1"/>
        <v/>
      </c>
      <c r="E55" s="2"/>
      <c r="F55" s="2"/>
      <c r="G55" s="2"/>
      <c r="H55" s="2"/>
      <c r="I55" s="2"/>
      <c r="J55" s="2"/>
      <c r="K55" s="2" t="str">
        <f t="shared" si="2"/>
        <v/>
      </c>
      <c r="L55" s="2" t="str">
        <f t="shared" si="3"/>
        <v>No</v>
      </c>
      <c r="M55" s="2" t="str">
        <f>IF(K55="","",F55*VLOOKUP(E55,WEIGHTS!$A$2:$F$4,2,FALSE)+G55*VLOOKUP(E55,WEIGHTS!$A$2:$F$4,3,FALSE)+H55*VLOOKUP(E55,WEIGHTS!$A$2:$F$4,4,FALSE)+I55*VLOOKUP(E55,WEIGHTS!$A$2:$F$4,5,FALSE)+J55*VLOOKUP(E55,WEIGHTS!$A$2:$F$4,6,FALSE))</f>
        <v/>
      </c>
      <c r="N55" s="2" t="str">
        <f t="shared" si="4"/>
        <v/>
      </c>
    </row>
    <row r="56" ht="15.75" customHeight="1">
      <c r="A56" s="3"/>
      <c r="B56" s="2" t="str">
        <f t="shared" si="1"/>
        <v/>
      </c>
      <c r="E56" s="2"/>
      <c r="F56" s="2"/>
      <c r="G56" s="2"/>
      <c r="H56" s="2"/>
      <c r="I56" s="2"/>
      <c r="J56" s="2"/>
      <c r="K56" s="2" t="str">
        <f t="shared" si="2"/>
        <v/>
      </c>
      <c r="L56" s="2" t="str">
        <f t="shared" si="3"/>
        <v>No</v>
      </c>
      <c r="M56" s="2" t="str">
        <f>IF(K56="","",F56*VLOOKUP(E56,WEIGHTS!$A$2:$F$4,2,FALSE)+G56*VLOOKUP(E56,WEIGHTS!$A$2:$F$4,3,FALSE)+H56*VLOOKUP(E56,WEIGHTS!$A$2:$F$4,4,FALSE)+I56*VLOOKUP(E56,WEIGHTS!$A$2:$F$4,5,FALSE)+J56*VLOOKUP(E56,WEIGHTS!$A$2:$F$4,6,FALSE))</f>
        <v/>
      </c>
      <c r="N56" s="2" t="str">
        <f t="shared" si="4"/>
        <v/>
      </c>
    </row>
    <row r="57" ht="15.75" customHeight="1">
      <c r="A57" s="3"/>
      <c r="B57" s="2" t="str">
        <f t="shared" si="1"/>
        <v/>
      </c>
      <c r="E57" s="2"/>
      <c r="F57" s="2"/>
      <c r="G57" s="2"/>
      <c r="H57" s="2"/>
      <c r="I57" s="2"/>
      <c r="J57" s="2"/>
      <c r="K57" s="2" t="str">
        <f t="shared" si="2"/>
        <v/>
      </c>
      <c r="L57" s="2" t="str">
        <f t="shared" si="3"/>
        <v>No</v>
      </c>
      <c r="M57" s="2" t="str">
        <f>IF(K57="","",F57*VLOOKUP(E57,WEIGHTS!$A$2:$F$4,2,FALSE)+G57*VLOOKUP(E57,WEIGHTS!$A$2:$F$4,3,FALSE)+H57*VLOOKUP(E57,WEIGHTS!$A$2:$F$4,4,FALSE)+I57*VLOOKUP(E57,WEIGHTS!$A$2:$F$4,5,FALSE)+J57*VLOOKUP(E57,WEIGHTS!$A$2:$F$4,6,FALSE))</f>
        <v/>
      </c>
      <c r="N57" s="2" t="str">
        <f t="shared" si="4"/>
        <v/>
      </c>
    </row>
    <row r="58" ht="15.75" customHeight="1">
      <c r="A58" s="3"/>
      <c r="B58" s="2" t="str">
        <f t="shared" si="1"/>
        <v/>
      </c>
      <c r="E58" s="2"/>
      <c r="F58" s="2"/>
      <c r="G58" s="2"/>
      <c r="H58" s="2"/>
      <c r="I58" s="2"/>
      <c r="J58" s="2"/>
      <c r="K58" s="2" t="str">
        <f t="shared" si="2"/>
        <v/>
      </c>
      <c r="L58" s="2" t="str">
        <f t="shared" si="3"/>
        <v>No</v>
      </c>
      <c r="M58" s="2" t="str">
        <f>IF(K58="","",F58*VLOOKUP(E58,WEIGHTS!$A$2:$F$4,2,FALSE)+G58*VLOOKUP(E58,WEIGHTS!$A$2:$F$4,3,FALSE)+H58*VLOOKUP(E58,WEIGHTS!$A$2:$F$4,4,FALSE)+I58*VLOOKUP(E58,WEIGHTS!$A$2:$F$4,5,FALSE)+J58*VLOOKUP(E58,WEIGHTS!$A$2:$F$4,6,FALSE))</f>
        <v/>
      </c>
      <c r="N58" s="2" t="str">
        <f t="shared" si="4"/>
        <v/>
      </c>
    </row>
    <row r="59" ht="15.75" customHeight="1">
      <c r="A59" s="3"/>
      <c r="B59" s="2" t="str">
        <f t="shared" si="1"/>
        <v/>
      </c>
      <c r="E59" s="2"/>
      <c r="F59" s="2"/>
      <c r="G59" s="2"/>
      <c r="H59" s="2"/>
      <c r="I59" s="2"/>
      <c r="J59" s="2"/>
      <c r="K59" s="2" t="str">
        <f t="shared" si="2"/>
        <v/>
      </c>
      <c r="L59" s="2" t="str">
        <f t="shared" si="3"/>
        <v>No</v>
      </c>
      <c r="M59" s="2" t="str">
        <f>IF(K59="","",F59*VLOOKUP(E59,WEIGHTS!$A$2:$F$4,2,FALSE)+G59*VLOOKUP(E59,WEIGHTS!$A$2:$F$4,3,FALSE)+H59*VLOOKUP(E59,WEIGHTS!$A$2:$F$4,4,FALSE)+I59*VLOOKUP(E59,WEIGHTS!$A$2:$F$4,5,FALSE)+J59*VLOOKUP(E59,WEIGHTS!$A$2:$F$4,6,FALSE))</f>
        <v/>
      </c>
      <c r="N59" s="2" t="str">
        <f t="shared" si="4"/>
        <v/>
      </c>
    </row>
    <row r="60" ht="15.75" customHeight="1">
      <c r="A60" s="3"/>
      <c r="B60" s="2" t="str">
        <f t="shared" si="1"/>
        <v/>
      </c>
      <c r="E60" s="2"/>
      <c r="F60" s="2"/>
      <c r="G60" s="2"/>
      <c r="H60" s="2"/>
      <c r="I60" s="2"/>
      <c r="J60" s="2"/>
      <c r="K60" s="2" t="str">
        <f t="shared" si="2"/>
        <v/>
      </c>
      <c r="L60" s="2" t="str">
        <f t="shared" si="3"/>
        <v>No</v>
      </c>
      <c r="M60" s="2" t="str">
        <f>IF(K60="","",F60*VLOOKUP(E60,WEIGHTS!$A$2:$F$4,2,FALSE)+G60*VLOOKUP(E60,WEIGHTS!$A$2:$F$4,3,FALSE)+H60*VLOOKUP(E60,WEIGHTS!$A$2:$F$4,4,FALSE)+I60*VLOOKUP(E60,WEIGHTS!$A$2:$F$4,5,FALSE)+J60*VLOOKUP(E60,WEIGHTS!$A$2:$F$4,6,FALSE))</f>
        <v/>
      </c>
      <c r="N60" s="2" t="str">
        <f t="shared" si="4"/>
        <v/>
      </c>
    </row>
    <row r="61" ht="15.75" customHeight="1">
      <c r="A61" s="3"/>
      <c r="B61" s="2" t="str">
        <f t="shared" si="1"/>
        <v/>
      </c>
      <c r="E61" s="2"/>
      <c r="F61" s="2"/>
      <c r="G61" s="2"/>
      <c r="H61" s="2"/>
      <c r="I61" s="2"/>
      <c r="J61" s="2"/>
      <c r="K61" s="2" t="str">
        <f t="shared" si="2"/>
        <v/>
      </c>
      <c r="L61" s="2" t="str">
        <f t="shared" si="3"/>
        <v>No</v>
      </c>
      <c r="M61" s="2" t="str">
        <f>IF(K61="","",F61*VLOOKUP(E61,WEIGHTS!$A$2:$F$4,2,FALSE)+G61*VLOOKUP(E61,WEIGHTS!$A$2:$F$4,3,FALSE)+H61*VLOOKUP(E61,WEIGHTS!$A$2:$F$4,4,FALSE)+I61*VLOOKUP(E61,WEIGHTS!$A$2:$F$4,5,FALSE)+J61*VLOOKUP(E61,WEIGHTS!$A$2:$F$4,6,FALSE))</f>
        <v/>
      </c>
      <c r="N61" s="2" t="str">
        <f t="shared" si="4"/>
        <v/>
      </c>
    </row>
    <row r="62" ht="15.75" customHeight="1">
      <c r="A62" s="3"/>
      <c r="B62" s="2" t="str">
        <f t="shared" si="1"/>
        <v/>
      </c>
      <c r="E62" s="2"/>
      <c r="F62" s="2"/>
      <c r="G62" s="2"/>
      <c r="H62" s="2"/>
      <c r="I62" s="2"/>
      <c r="J62" s="2"/>
      <c r="K62" s="2" t="str">
        <f t="shared" si="2"/>
        <v/>
      </c>
      <c r="L62" s="2" t="str">
        <f t="shared" si="3"/>
        <v>No</v>
      </c>
      <c r="M62" s="2" t="str">
        <f>IF(K62="","",F62*VLOOKUP(E62,WEIGHTS!$A$2:$F$4,2,FALSE)+G62*VLOOKUP(E62,WEIGHTS!$A$2:$F$4,3,FALSE)+H62*VLOOKUP(E62,WEIGHTS!$A$2:$F$4,4,FALSE)+I62*VLOOKUP(E62,WEIGHTS!$A$2:$F$4,5,FALSE)+J62*VLOOKUP(E62,WEIGHTS!$A$2:$F$4,6,FALSE))</f>
        <v/>
      </c>
      <c r="N62" s="2" t="str">
        <f t="shared" si="4"/>
        <v/>
      </c>
    </row>
    <row r="63" ht="15.75" customHeight="1">
      <c r="A63" s="3"/>
      <c r="B63" s="2" t="str">
        <f t="shared" si="1"/>
        <v/>
      </c>
      <c r="E63" s="2"/>
      <c r="F63" s="2"/>
      <c r="G63" s="2"/>
      <c r="H63" s="2"/>
      <c r="I63" s="2"/>
      <c r="J63" s="2"/>
      <c r="K63" s="2" t="str">
        <f t="shared" si="2"/>
        <v/>
      </c>
      <c r="L63" s="2" t="str">
        <f t="shared" si="3"/>
        <v>No</v>
      </c>
      <c r="M63" s="2" t="str">
        <f>IF(K63="","",F63*VLOOKUP(E63,WEIGHTS!$A$2:$F$4,2,FALSE)+G63*VLOOKUP(E63,WEIGHTS!$A$2:$F$4,3,FALSE)+H63*VLOOKUP(E63,WEIGHTS!$A$2:$F$4,4,FALSE)+I63*VLOOKUP(E63,WEIGHTS!$A$2:$F$4,5,FALSE)+J63*VLOOKUP(E63,WEIGHTS!$A$2:$F$4,6,FALSE))</f>
        <v/>
      </c>
      <c r="N63" s="2" t="str">
        <f t="shared" si="4"/>
        <v/>
      </c>
    </row>
    <row r="64" ht="15.75" customHeight="1">
      <c r="A64" s="3"/>
      <c r="B64" s="2" t="str">
        <f t="shared" si="1"/>
        <v/>
      </c>
      <c r="E64" s="2"/>
      <c r="F64" s="2"/>
      <c r="G64" s="2"/>
      <c r="H64" s="2"/>
      <c r="I64" s="2"/>
      <c r="J64" s="2"/>
      <c r="K64" s="2" t="str">
        <f t="shared" si="2"/>
        <v/>
      </c>
      <c r="L64" s="2" t="str">
        <f t="shared" si="3"/>
        <v>No</v>
      </c>
      <c r="M64" s="2" t="str">
        <f>IF(K64="","",F64*VLOOKUP(E64,WEIGHTS!$A$2:$F$4,2,FALSE)+G64*VLOOKUP(E64,WEIGHTS!$A$2:$F$4,3,FALSE)+H64*VLOOKUP(E64,WEIGHTS!$A$2:$F$4,4,FALSE)+I64*VLOOKUP(E64,WEIGHTS!$A$2:$F$4,5,FALSE)+J64*VLOOKUP(E64,WEIGHTS!$A$2:$F$4,6,FALSE))</f>
        <v/>
      </c>
      <c r="N64" s="2" t="str">
        <f t="shared" si="4"/>
        <v/>
      </c>
    </row>
    <row r="65" ht="15.75" customHeight="1">
      <c r="A65" s="3"/>
      <c r="B65" s="2" t="str">
        <f t="shared" si="1"/>
        <v/>
      </c>
      <c r="E65" s="2"/>
      <c r="F65" s="2"/>
      <c r="G65" s="2"/>
      <c r="H65" s="2"/>
      <c r="I65" s="2"/>
      <c r="J65" s="2"/>
      <c r="K65" s="2" t="str">
        <f t="shared" si="2"/>
        <v/>
      </c>
      <c r="L65" s="2" t="str">
        <f t="shared" si="3"/>
        <v>No</v>
      </c>
      <c r="M65" s="2" t="str">
        <f>IF(K65="","",F65*VLOOKUP(E65,WEIGHTS!$A$2:$F$4,2,FALSE)+G65*VLOOKUP(E65,WEIGHTS!$A$2:$F$4,3,FALSE)+H65*VLOOKUP(E65,WEIGHTS!$A$2:$F$4,4,FALSE)+I65*VLOOKUP(E65,WEIGHTS!$A$2:$F$4,5,FALSE)+J65*VLOOKUP(E65,WEIGHTS!$A$2:$F$4,6,FALSE))</f>
        <v/>
      </c>
      <c r="N65" s="2" t="str">
        <f t="shared" si="4"/>
        <v/>
      </c>
    </row>
    <row r="66" ht="15.75" customHeight="1">
      <c r="A66" s="3"/>
      <c r="B66" s="2" t="str">
        <f t="shared" si="1"/>
        <v/>
      </c>
      <c r="E66" s="2"/>
      <c r="F66" s="2"/>
      <c r="G66" s="2"/>
      <c r="H66" s="2"/>
      <c r="I66" s="2"/>
      <c r="J66" s="2"/>
      <c r="K66" s="2" t="str">
        <f t="shared" si="2"/>
        <v/>
      </c>
      <c r="L66" s="2" t="str">
        <f t="shared" si="3"/>
        <v>No</v>
      </c>
      <c r="M66" s="2" t="str">
        <f>IF(K66="","",F66*VLOOKUP(E66,WEIGHTS!$A$2:$F$4,2,FALSE)+G66*VLOOKUP(E66,WEIGHTS!$A$2:$F$4,3,FALSE)+H66*VLOOKUP(E66,WEIGHTS!$A$2:$F$4,4,FALSE)+I66*VLOOKUP(E66,WEIGHTS!$A$2:$F$4,5,FALSE)+J66*VLOOKUP(E66,WEIGHTS!$A$2:$F$4,6,FALSE))</f>
        <v/>
      </c>
      <c r="N66" s="2" t="str">
        <f t="shared" si="4"/>
        <v/>
      </c>
    </row>
    <row r="67" ht="15.75" customHeight="1">
      <c r="A67" s="3"/>
      <c r="B67" s="2" t="str">
        <f t="shared" si="1"/>
        <v/>
      </c>
      <c r="E67" s="2"/>
      <c r="F67" s="2"/>
      <c r="G67" s="2"/>
      <c r="H67" s="2"/>
      <c r="I67" s="2"/>
      <c r="J67" s="2"/>
      <c r="K67" s="2" t="str">
        <f t="shared" si="2"/>
        <v/>
      </c>
      <c r="L67" s="2" t="str">
        <f t="shared" si="3"/>
        <v>No</v>
      </c>
      <c r="M67" s="2" t="str">
        <f>IF(K67="","",F67*VLOOKUP(E67,WEIGHTS!$A$2:$F$4,2,FALSE)+G67*VLOOKUP(E67,WEIGHTS!$A$2:$F$4,3,FALSE)+H67*VLOOKUP(E67,WEIGHTS!$A$2:$F$4,4,FALSE)+I67*VLOOKUP(E67,WEIGHTS!$A$2:$F$4,5,FALSE)+J67*VLOOKUP(E67,WEIGHTS!$A$2:$F$4,6,FALSE))</f>
        <v/>
      </c>
      <c r="N67" s="2" t="str">
        <f t="shared" si="4"/>
        <v/>
      </c>
    </row>
    <row r="68" ht="15.75" customHeight="1">
      <c r="A68" s="3"/>
      <c r="B68" s="2" t="str">
        <f t="shared" si="1"/>
        <v/>
      </c>
      <c r="E68" s="2"/>
      <c r="F68" s="2"/>
      <c r="G68" s="2"/>
      <c r="H68" s="2"/>
      <c r="I68" s="2"/>
      <c r="J68" s="2"/>
      <c r="K68" s="2" t="str">
        <f t="shared" si="2"/>
        <v/>
      </c>
      <c r="L68" s="2" t="str">
        <f t="shared" si="3"/>
        <v>No</v>
      </c>
      <c r="M68" s="2" t="str">
        <f>IF(K68="","",F68*VLOOKUP(E68,WEIGHTS!$A$2:$F$4,2,FALSE)+G68*VLOOKUP(E68,WEIGHTS!$A$2:$F$4,3,FALSE)+H68*VLOOKUP(E68,WEIGHTS!$A$2:$F$4,4,FALSE)+I68*VLOOKUP(E68,WEIGHTS!$A$2:$F$4,5,FALSE)+J68*VLOOKUP(E68,WEIGHTS!$A$2:$F$4,6,FALSE))</f>
        <v/>
      </c>
      <c r="N68" s="2" t="str">
        <f t="shared" si="4"/>
        <v/>
      </c>
    </row>
    <row r="69" ht="15.75" customHeight="1">
      <c r="A69" s="3"/>
      <c r="B69" s="2" t="str">
        <f t="shared" si="1"/>
        <v/>
      </c>
      <c r="E69" s="2"/>
      <c r="F69" s="2"/>
      <c r="G69" s="2"/>
      <c r="H69" s="2"/>
      <c r="I69" s="2"/>
      <c r="J69" s="2"/>
      <c r="K69" s="2" t="str">
        <f t="shared" si="2"/>
        <v/>
      </c>
      <c r="L69" s="2" t="str">
        <f t="shared" si="3"/>
        <v>No</v>
      </c>
      <c r="M69" s="2" t="str">
        <f>IF(K69="","",F69*VLOOKUP(E69,WEIGHTS!$A$2:$F$4,2,FALSE)+G69*VLOOKUP(E69,WEIGHTS!$A$2:$F$4,3,FALSE)+H69*VLOOKUP(E69,WEIGHTS!$A$2:$F$4,4,FALSE)+I69*VLOOKUP(E69,WEIGHTS!$A$2:$F$4,5,FALSE)+J69*VLOOKUP(E69,WEIGHTS!$A$2:$F$4,6,FALSE))</f>
        <v/>
      </c>
      <c r="N69" s="2" t="str">
        <f t="shared" si="4"/>
        <v/>
      </c>
    </row>
    <row r="70" ht="15.75" customHeight="1">
      <c r="A70" s="3"/>
      <c r="B70" s="2" t="str">
        <f t="shared" si="1"/>
        <v/>
      </c>
      <c r="E70" s="2"/>
      <c r="F70" s="2"/>
      <c r="G70" s="2"/>
      <c r="H70" s="2"/>
      <c r="I70" s="2"/>
      <c r="J70" s="2"/>
      <c r="K70" s="2" t="str">
        <f t="shared" si="2"/>
        <v/>
      </c>
      <c r="L70" s="2" t="str">
        <f t="shared" si="3"/>
        <v>No</v>
      </c>
      <c r="M70" s="2" t="str">
        <f>IF(K70="","",F70*VLOOKUP(E70,WEIGHTS!$A$2:$F$4,2,FALSE)+G70*VLOOKUP(E70,WEIGHTS!$A$2:$F$4,3,FALSE)+H70*VLOOKUP(E70,WEIGHTS!$A$2:$F$4,4,FALSE)+I70*VLOOKUP(E70,WEIGHTS!$A$2:$F$4,5,FALSE)+J70*VLOOKUP(E70,WEIGHTS!$A$2:$F$4,6,FALSE))</f>
        <v/>
      </c>
      <c r="N70" s="2" t="str">
        <f t="shared" si="4"/>
        <v/>
      </c>
    </row>
    <row r="71" ht="15.75" customHeight="1">
      <c r="A71" s="3"/>
      <c r="B71" s="2" t="str">
        <f t="shared" si="1"/>
        <v/>
      </c>
      <c r="E71" s="2"/>
      <c r="F71" s="2"/>
      <c r="G71" s="2"/>
      <c r="H71" s="2"/>
      <c r="I71" s="2"/>
      <c r="J71" s="2"/>
      <c r="K71" s="2" t="str">
        <f t="shared" si="2"/>
        <v/>
      </c>
      <c r="L71" s="2" t="str">
        <f t="shared" si="3"/>
        <v>No</v>
      </c>
      <c r="M71" s="2" t="str">
        <f>IF(K71="","",F71*VLOOKUP(E71,WEIGHTS!$A$2:$F$4,2,FALSE)+G71*VLOOKUP(E71,WEIGHTS!$A$2:$F$4,3,FALSE)+H71*VLOOKUP(E71,WEIGHTS!$A$2:$F$4,4,FALSE)+I71*VLOOKUP(E71,WEIGHTS!$A$2:$F$4,5,FALSE)+J71*VLOOKUP(E71,WEIGHTS!$A$2:$F$4,6,FALSE))</f>
        <v/>
      </c>
      <c r="N71" s="2" t="str">
        <f t="shared" si="4"/>
        <v/>
      </c>
    </row>
    <row r="72" ht="15.75" customHeight="1">
      <c r="A72" s="3"/>
      <c r="B72" s="2" t="str">
        <f t="shared" si="1"/>
        <v/>
      </c>
      <c r="E72" s="2"/>
      <c r="F72" s="2"/>
      <c r="G72" s="2"/>
      <c r="H72" s="2"/>
      <c r="I72" s="2"/>
      <c r="J72" s="2"/>
      <c r="K72" s="2" t="str">
        <f t="shared" si="2"/>
        <v/>
      </c>
      <c r="L72" s="2" t="str">
        <f t="shared" si="3"/>
        <v>No</v>
      </c>
      <c r="M72" s="2" t="str">
        <f>IF(K72="","",F72*VLOOKUP(E72,WEIGHTS!$A$2:$F$4,2,FALSE)+G72*VLOOKUP(E72,WEIGHTS!$A$2:$F$4,3,FALSE)+H72*VLOOKUP(E72,WEIGHTS!$A$2:$F$4,4,FALSE)+I72*VLOOKUP(E72,WEIGHTS!$A$2:$F$4,5,FALSE)+J72*VLOOKUP(E72,WEIGHTS!$A$2:$F$4,6,FALSE))</f>
        <v/>
      </c>
      <c r="N72" s="2" t="str">
        <f t="shared" si="4"/>
        <v/>
      </c>
    </row>
    <row r="73" ht="15.75" customHeight="1">
      <c r="A73" s="3"/>
      <c r="B73" s="2" t="str">
        <f t="shared" si="1"/>
        <v/>
      </c>
      <c r="E73" s="2"/>
      <c r="F73" s="2"/>
      <c r="G73" s="2"/>
      <c r="H73" s="2"/>
      <c r="I73" s="2"/>
      <c r="J73" s="2"/>
      <c r="K73" s="2" t="str">
        <f t="shared" si="2"/>
        <v/>
      </c>
      <c r="L73" s="2" t="str">
        <f t="shared" si="3"/>
        <v>No</v>
      </c>
      <c r="M73" s="2" t="str">
        <f>IF(K73="","",F73*VLOOKUP(E73,WEIGHTS!$A$2:$F$4,2,FALSE)+G73*VLOOKUP(E73,WEIGHTS!$A$2:$F$4,3,FALSE)+H73*VLOOKUP(E73,WEIGHTS!$A$2:$F$4,4,FALSE)+I73*VLOOKUP(E73,WEIGHTS!$A$2:$F$4,5,FALSE)+J73*VLOOKUP(E73,WEIGHTS!$A$2:$F$4,6,FALSE))</f>
        <v/>
      </c>
      <c r="N73" s="2" t="str">
        <f t="shared" si="4"/>
        <v/>
      </c>
    </row>
    <row r="74" ht="15.75" customHeight="1">
      <c r="A74" s="3"/>
      <c r="B74" s="2" t="str">
        <f t="shared" si="1"/>
        <v/>
      </c>
      <c r="E74" s="2"/>
      <c r="F74" s="2"/>
      <c r="G74" s="2"/>
      <c r="H74" s="2"/>
      <c r="I74" s="2"/>
      <c r="J74" s="2"/>
      <c r="K74" s="2" t="str">
        <f t="shared" si="2"/>
        <v/>
      </c>
      <c r="L74" s="2" t="str">
        <f t="shared" si="3"/>
        <v>No</v>
      </c>
      <c r="M74" s="2" t="str">
        <f>IF(K74="","",F74*VLOOKUP(E74,WEIGHTS!$A$2:$F$4,2,FALSE)+G74*VLOOKUP(E74,WEIGHTS!$A$2:$F$4,3,FALSE)+H74*VLOOKUP(E74,WEIGHTS!$A$2:$F$4,4,FALSE)+I74*VLOOKUP(E74,WEIGHTS!$A$2:$F$4,5,FALSE)+J74*VLOOKUP(E74,WEIGHTS!$A$2:$F$4,6,FALSE))</f>
        <v/>
      </c>
      <c r="N74" s="2" t="str">
        <f t="shared" si="4"/>
        <v/>
      </c>
    </row>
    <row r="75" ht="15.75" customHeight="1">
      <c r="A75" s="3"/>
      <c r="B75" s="2" t="str">
        <f t="shared" si="1"/>
        <v/>
      </c>
      <c r="E75" s="2"/>
      <c r="F75" s="2"/>
      <c r="G75" s="2"/>
      <c r="H75" s="2"/>
      <c r="I75" s="2"/>
      <c r="J75" s="2"/>
      <c r="K75" s="2" t="str">
        <f t="shared" si="2"/>
        <v/>
      </c>
      <c r="L75" s="2" t="str">
        <f t="shared" si="3"/>
        <v>No</v>
      </c>
      <c r="M75" s="2" t="str">
        <f>IF(K75="","",F75*VLOOKUP(E75,WEIGHTS!$A$2:$F$4,2,FALSE)+G75*VLOOKUP(E75,WEIGHTS!$A$2:$F$4,3,FALSE)+H75*VLOOKUP(E75,WEIGHTS!$A$2:$F$4,4,FALSE)+I75*VLOOKUP(E75,WEIGHTS!$A$2:$F$4,5,FALSE)+J75*VLOOKUP(E75,WEIGHTS!$A$2:$F$4,6,FALSE))</f>
        <v/>
      </c>
      <c r="N75" s="2" t="str">
        <f t="shared" si="4"/>
        <v/>
      </c>
    </row>
    <row r="76" ht="15.75" customHeight="1">
      <c r="A76" s="3"/>
      <c r="B76" s="2" t="str">
        <f t="shared" si="1"/>
        <v/>
      </c>
      <c r="E76" s="2"/>
      <c r="F76" s="2"/>
      <c r="G76" s="2"/>
      <c r="H76" s="2"/>
      <c r="I76" s="2"/>
      <c r="J76" s="2"/>
      <c r="K76" s="2" t="str">
        <f t="shared" si="2"/>
        <v/>
      </c>
      <c r="L76" s="2" t="str">
        <f t="shared" si="3"/>
        <v>No</v>
      </c>
      <c r="M76" s="2" t="str">
        <f>IF(K76="","",F76*VLOOKUP(E76,WEIGHTS!$A$2:$F$4,2,FALSE)+G76*VLOOKUP(E76,WEIGHTS!$A$2:$F$4,3,FALSE)+H76*VLOOKUP(E76,WEIGHTS!$A$2:$F$4,4,FALSE)+I76*VLOOKUP(E76,WEIGHTS!$A$2:$F$4,5,FALSE)+J76*VLOOKUP(E76,WEIGHTS!$A$2:$F$4,6,FALSE))</f>
        <v/>
      </c>
      <c r="N76" s="2" t="str">
        <f t="shared" si="4"/>
        <v/>
      </c>
    </row>
    <row r="77" ht="15.75" customHeight="1">
      <c r="A77" s="3"/>
      <c r="B77" s="2" t="str">
        <f t="shared" si="1"/>
        <v/>
      </c>
      <c r="E77" s="2"/>
      <c r="F77" s="2"/>
      <c r="G77" s="2"/>
      <c r="H77" s="2"/>
      <c r="I77" s="2"/>
      <c r="J77" s="2"/>
      <c r="K77" s="2" t="str">
        <f t="shared" si="2"/>
        <v/>
      </c>
      <c r="L77" s="2" t="str">
        <f t="shared" si="3"/>
        <v>No</v>
      </c>
      <c r="M77" s="2" t="str">
        <f>IF(K77="","",F77*VLOOKUP(E77,WEIGHTS!$A$2:$F$4,2,FALSE)+G77*VLOOKUP(E77,WEIGHTS!$A$2:$F$4,3,FALSE)+H77*VLOOKUP(E77,WEIGHTS!$A$2:$F$4,4,FALSE)+I77*VLOOKUP(E77,WEIGHTS!$A$2:$F$4,5,FALSE)+J77*VLOOKUP(E77,WEIGHTS!$A$2:$F$4,6,FALSE))</f>
        <v/>
      </c>
      <c r="N77" s="2" t="str">
        <f t="shared" si="4"/>
        <v/>
      </c>
    </row>
    <row r="78" ht="15.75" customHeight="1">
      <c r="A78" s="3"/>
      <c r="B78" s="2" t="str">
        <f t="shared" si="1"/>
        <v/>
      </c>
      <c r="E78" s="2"/>
      <c r="F78" s="2"/>
      <c r="G78" s="2"/>
      <c r="H78" s="2"/>
      <c r="I78" s="2"/>
      <c r="J78" s="2"/>
      <c r="K78" s="2" t="str">
        <f t="shared" si="2"/>
        <v/>
      </c>
      <c r="L78" s="2" t="str">
        <f t="shared" si="3"/>
        <v>No</v>
      </c>
      <c r="M78" s="2" t="str">
        <f>IF(K78="","",F78*VLOOKUP(E78,WEIGHTS!$A$2:$F$4,2,FALSE)+G78*VLOOKUP(E78,WEIGHTS!$A$2:$F$4,3,FALSE)+H78*VLOOKUP(E78,WEIGHTS!$A$2:$F$4,4,FALSE)+I78*VLOOKUP(E78,WEIGHTS!$A$2:$F$4,5,FALSE)+J78*VLOOKUP(E78,WEIGHTS!$A$2:$F$4,6,FALSE))</f>
        <v/>
      </c>
      <c r="N78" s="2" t="str">
        <f t="shared" si="4"/>
        <v/>
      </c>
    </row>
    <row r="79" ht="15.75" customHeight="1">
      <c r="A79" s="3"/>
      <c r="B79" s="2" t="str">
        <f t="shared" si="1"/>
        <v/>
      </c>
      <c r="E79" s="2"/>
      <c r="F79" s="2"/>
      <c r="G79" s="2"/>
      <c r="H79" s="2"/>
      <c r="I79" s="2"/>
      <c r="J79" s="2"/>
      <c r="K79" s="2" t="str">
        <f t="shared" si="2"/>
        <v/>
      </c>
      <c r="L79" s="2" t="str">
        <f t="shared" si="3"/>
        <v>No</v>
      </c>
      <c r="M79" s="2" t="str">
        <f>IF(K79="","",F79*VLOOKUP(E79,WEIGHTS!$A$2:$F$4,2,FALSE)+G79*VLOOKUP(E79,WEIGHTS!$A$2:$F$4,3,FALSE)+H79*VLOOKUP(E79,WEIGHTS!$A$2:$F$4,4,FALSE)+I79*VLOOKUP(E79,WEIGHTS!$A$2:$F$4,5,FALSE)+J79*VLOOKUP(E79,WEIGHTS!$A$2:$F$4,6,FALSE))</f>
        <v/>
      </c>
      <c r="N79" s="2" t="str">
        <f t="shared" si="4"/>
        <v/>
      </c>
    </row>
    <row r="80" ht="15.75" customHeight="1">
      <c r="A80" s="3"/>
      <c r="B80" s="2" t="str">
        <f t="shared" si="1"/>
        <v/>
      </c>
      <c r="E80" s="2"/>
      <c r="F80" s="2"/>
      <c r="G80" s="2"/>
      <c r="H80" s="2"/>
      <c r="I80" s="2"/>
      <c r="J80" s="2"/>
      <c r="K80" s="2" t="str">
        <f t="shared" si="2"/>
        <v/>
      </c>
      <c r="L80" s="2" t="str">
        <f t="shared" si="3"/>
        <v>No</v>
      </c>
      <c r="M80" s="2" t="str">
        <f>IF(K80="","",F80*VLOOKUP(E80,WEIGHTS!$A$2:$F$4,2,FALSE)+G80*VLOOKUP(E80,WEIGHTS!$A$2:$F$4,3,FALSE)+H80*VLOOKUP(E80,WEIGHTS!$A$2:$F$4,4,FALSE)+I80*VLOOKUP(E80,WEIGHTS!$A$2:$F$4,5,FALSE)+J80*VLOOKUP(E80,WEIGHTS!$A$2:$F$4,6,FALSE))</f>
        <v/>
      </c>
      <c r="N80" s="2" t="str">
        <f t="shared" si="4"/>
        <v/>
      </c>
    </row>
    <row r="81" ht="15.75" customHeight="1">
      <c r="A81" s="3"/>
      <c r="B81" s="2" t="str">
        <f t="shared" si="1"/>
        <v/>
      </c>
      <c r="E81" s="2"/>
      <c r="F81" s="2"/>
      <c r="G81" s="2"/>
      <c r="H81" s="2"/>
      <c r="I81" s="2"/>
      <c r="J81" s="2"/>
      <c r="K81" s="2" t="str">
        <f t="shared" si="2"/>
        <v/>
      </c>
      <c r="L81" s="2" t="str">
        <f t="shared" si="3"/>
        <v>No</v>
      </c>
      <c r="M81" s="2" t="str">
        <f>IF(K81="","",F81*VLOOKUP(E81,WEIGHTS!$A$2:$F$4,2,FALSE)+G81*VLOOKUP(E81,WEIGHTS!$A$2:$F$4,3,FALSE)+H81*VLOOKUP(E81,WEIGHTS!$A$2:$F$4,4,FALSE)+I81*VLOOKUP(E81,WEIGHTS!$A$2:$F$4,5,FALSE)+J81*VLOOKUP(E81,WEIGHTS!$A$2:$F$4,6,FALSE))</f>
        <v/>
      </c>
      <c r="N81" s="2" t="str">
        <f t="shared" si="4"/>
        <v/>
      </c>
    </row>
    <row r="82" ht="15.75" customHeight="1">
      <c r="A82" s="3"/>
      <c r="B82" s="2" t="str">
        <f t="shared" si="1"/>
        <v/>
      </c>
      <c r="E82" s="2"/>
      <c r="F82" s="2"/>
      <c r="G82" s="2"/>
      <c r="H82" s="2"/>
      <c r="I82" s="2"/>
      <c r="J82" s="2"/>
      <c r="K82" s="2" t="str">
        <f t="shared" si="2"/>
        <v/>
      </c>
      <c r="L82" s="2" t="str">
        <f t="shared" si="3"/>
        <v>No</v>
      </c>
      <c r="M82" s="2" t="str">
        <f>IF(K82="","",F82*VLOOKUP(E82,WEIGHTS!$A$2:$F$4,2,FALSE)+G82*VLOOKUP(E82,WEIGHTS!$A$2:$F$4,3,FALSE)+H82*VLOOKUP(E82,WEIGHTS!$A$2:$F$4,4,FALSE)+I82*VLOOKUP(E82,WEIGHTS!$A$2:$F$4,5,FALSE)+J82*VLOOKUP(E82,WEIGHTS!$A$2:$F$4,6,FALSE))</f>
        <v/>
      </c>
      <c r="N82" s="2" t="str">
        <f t="shared" si="4"/>
        <v/>
      </c>
    </row>
    <row r="83" ht="15.75" customHeight="1">
      <c r="A83" s="3"/>
      <c r="B83" s="2" t="str">
        <f t="shared" si="1"/>
        <v/>
      </c>
      <c r="E83" s="2"/>
      <c r="F83" s="2"/>
      <c r="G83" s="2"/>
      <c r="H83" s="2"/>
      <c r="I83" s="2"/>
      <c r="J83" s="2"/>
      <c r="K83" s="2" t="str">
        <f t="shared" si="2"/>
        <v/>
      </c>
      <c r="L83" s="2" t="str">
        <f t="shared" si="3"/>
        <v>No</v>
      </c>
      <c r="M83" s="2" t="str">
        <f>IF(K83="","",F83*VLOOKUP(E83,WEIGHTS!$A$2:$F$4,2,FALSE)+G83*VLOOKUP(E83,WEIGHTS!$A$2:$F$4,3,FALSE)+H83*VLOOKUP(E83,WEIGHTS!$A$2:$F$4,4,FALSE)+I83*VLOOKUP(E83,WEIGHTS!$A$2:$F$4,5,FALSE)+J83*VLOOKUP(E83,WEIGHTS!$A$2:$F$4,6,FALSE))</f>
        <v/>
      </c>
      <c r="N83" s="2" t="str">
        <f t="shared" si="4"/>
        <v/>
      </c>
    </row>
    <row r="84" ht="15.75" customHeight="1">
      <c r="A84" s="3"/>
      <c r="B84" s="2" t="str">
        <f t="shared" si="1"/>
        <v/>
      </c>
      <c r="E84" s="2"/>
      <c r="F84" s="2"/>
      <c r="G84" s="2"/>
      <c r="H84" s="2"/>
      <c r="I84" s="2"/>
      <c r="J84" s="2"/>
      <c r="K84" s="2" t="str">
        <f t="shared" si="2"/>
        <v/>
      </c>
      <c r="L84" s="2" t="str">
        <f t="shared" si="3"/>
        <v>No</v>
      </c>
      <c r="M84" s="2" t="str">
        <f>IF(K84="","",F84*VLOOKUP(E84,WEIGHTS!$A$2:$F$4,2,FALSE)+G84*VLOOKUP(E84,WEIGHTS!$A$2:$F$4,3,FALSE)+H84*VLOOKUP(E84,WEIGHTS!$A$2:$F$4,4,FALSE)+I84*VLOOKUP(E84,WEIGHTS!$A$2:$F$4,5,FALSE)+J84*VLOOKUP(E84,WEIGHTS!$A$2:$F$4,6,FALSE))</f>
        <v/>
      </c>
      <c r="N84" s="2" t="str">
        <f t="shared" si="4"/>
        <v/>
      </c>
    </row>
    <row r="85" ht="15.75" customHeight="1">
      <c r="A85" s="3"/>
      <c r="B85" s="2" t="str">
        <f t="shared" si="1"/>
        <v/>
      </c>
      <c r="E85" s="2"/>
      <c r="F85" s="2"/>
      <c r="G85" s="2"/>
      <c r="H85" s="2"/>
      <c r="I85" s="2"/>
      <c r="J85" s="2"/>
      <c r="K85" s="2" t="str">
        <f t="shared" si="2"/>
        <v/>
      </c>
      <c r="L85" s="2" t="str">
        <f t="shared" si="3"/>
        <v>No</v>
      </c>
      <c r="M85" s="2" t="str">
        <f>IF(K85="","",F85*VLOOKUP(E85,WEIGHTS!$A$2:$F$4,2,FALSE)+G85*VLOOKUP(E85,WEIGHTS!$A$2:$F$4,3,FALSE)+H85*VLOOKUP(E85,WEIGHTS!$A$2:$F$4,4,FALSE)+I85*VLOOKUP(E85,WEIGHTS!$A$2:$F$4,5,FALSE)+J85*VLOOKUP(E85,WEIGHTS!$A$2:$F$4,6,FALSE))</f>
        <v/>
      </c>
      <c r="N85" s="2" t="str">
        <f t="shared" si="4"/>
        <v/>
      </c>
    </row>
    <row r="86" ht="15.75" customHeight="1">
      <c r="A86" s="3"/>
      <c r="B86" s="2" t="str">
        <f t="shared" si="1"/>
        <v/>
      </c>
      <c r="E86" s="2"/>
      <c r="F86" s="2"/>
      <c r="G86" s="2"/>
      <c r="H86" s="2"/>
      <c r="I86" s="2"/>
      <c r="J86" s="2"/>
      <c r="K86" s="2" t="str">
        <f t="shared" si="2"/>
        <v/>
      </c>
      <c r="L86" s="2" t="str">
        <f t="shared" si="3"/>
        <v>No</v>
      </c>
      <c r="M86" s="2" t="str">
        <f>IF(K86="","",F86*VLOOKUP(E86,WEIGHTS!$A$2:$F$4,2,FALSE)+G86*VLOOKUP(E86,WEIGHTS!$A$2:$F$4,3,FALSE)+H86*VLOOKUP(E86,WEIGHTS!$A$2:$F$4,4,FALSE)+I86*VLOOKUP(E86,WEIGHTS!$A$2:$F$4,5,FALSE)+J86*VLOOKUP(E86,WEIGHTS!$A$2:$F$4,6,FALSE))</f>
        <v/>
      </c>
      <c r="N86" s="2" t="str">
        <f t="shared" si="4"/>
        <v/>
      </c>
    </row>
    <row r="87" ht="15.75" customHeight="1">
      <c r="A87" s="3"/>
      <c r="B87" s="2" t="str">
        <f t="shared" si="1"/>
        <v/>
      </c>
      <c r="E87" s="2"/>
      <c r="F87" s="2"/>
      <c r="G87" s="2"/>
      <c r="H87" s="2"/>
      <c r="I87" s="2"/>
      <c r="J87" s="2"/>
      <c r="K87" s="2" t="str">
        <f t="shared" si="2"/>
        <v/>
      </c>
      <c r="L87" s="2" t="str">
        <f t="shared" si="3"/>
        <v>No</v>
      </c>
      <c r="M87" s="2" t="str">
        <f>IF(K87="","",F87*VLOOKUP(E87,WEIGHTS!$A$2:$F$4,2,FALSE)+G87*VLOOKUP(E87,WEIGHTS!$A$2:$F$4,3,FALSE)+H87*VLOOKUP(E87,WEIGHTS!$A$2:$F$4,4,FALSE)+I87*VLOOKUP(E87,WEIGHTS!$A$2:$F$4,5,FALSE)+J87*VLOOKUP(E87,WEIGHTS!$A$2:$F$4,6,FALSE))</f>
        <v/>
      </c>
      <c r="N87" s="2" t="str">
        <f t="shared" si="4"/>
        <v/>
      </c>
    </row>
    <row r="88" ht="15.75" customHeight="1">
      <c r="A88" s="3"/>
      <c r="B88" s="2" t="str">
        <f t="shared" si="1"/>
        <v/>
      </c>
      <c r="E88" s="2"/>
      <c r="F88" s="2"/>
      <c r="G88" s="2"/>
      <c r="H88" s="2"/>
      <c r="I88" s="2"/>
      <c r="J88" s="2"/>
      <c r="K88" s="2" t="str">
        <f t="shared" si="2"/>
        <v/>
      </c>
      <c r="L88" s="2" t="str">
        <f t="shared" si="3"/>
        <v>No</v>
      </c>
      <c r="M88" s="2" t="str">
        <f>IF(K88="","",F88*VLOOKUP(E88,WEIGHTS!$A$2:$F$4,2,FALSE)+G88*VLOOKUP(E88,WEIGHTS!$A$2:$F$4,3,FALSE)+H88*VLOOKUP(E88,WEIGHTS!$A$2:$F$4,4,FALSE)+I88*VLOOKUP(E88,WEIGHTS!$A$2:$F$4,5,FALSE)+J88*VLOOKUP(E88,WEIGHTS!$A$2:$F$4,6,FALSE))</f>
        <v/>
      </c>
      <c r="N88" s="2" t="str">
        <f t="shared" si="4"/>
        <v/>
      </c>
    </row>
    <row r="89" ht="15.75" customHeight="1">
      <c r="A89" s="3"/>
      <c r="B89" s="2" t="str">
        <f t="shared" si="1"/>
        <v/>
      </c>
      <c r="E89" s="2"/>
      <c r="F89" s="2"/>
      <c r="G89" s="2"/>
      <c r="H89" s="2"/>
      <c r="I89" s="2"/>
      <c r="J89" s="2"/>
      <c r="K89" s="2" t="str">
        <f t="shared" si="2"/>
        <v/>
      </c>
      <c r="L89" s="2" t="str">
        <f t="shared" si="3"/>
        <v>No</v>
      </c>
      <c r="M89" s="2" t="str">
        <f>IF(K89="","",F89*VLOOKUP(E89,WEIGHTS!$A$2:$F$4,2,FALSE)+G89*VLOOKUP(E89,WEIGHTS!$A$2:$F$4,3,FALSE)+H89*VLOOKUP(E89,WEIGHTS!$A$2:$F$4,4,FALSE)+I89*VLOOKUP(E89,WEIGHTS!$A$2:$F$4,5,FALSE)+J89*VLOOKUP(E89,WEIGHTS!$A$2:$F$4,6,FALSE))</f>
        <v/>
      </c>
      <c r="N89" s="2" t="str">
        <f t="shared" si="4"/>
        <v/>
      </c>
    </row>
    <row r="90" ht="15.75" customHeight="1">
      <c r="A90" s="3"/>
      <c r="B90" s="2" t="str">
        <f t="shared" si="1"/>
        <v/>
      </c>
      <c r="E90" s="2"/>
      <c r="F90" s="2"/>
      <c r="G90" s="2"/>
      <c r="H90" s="2"/>
      <c r="I90" s="2"/>
      <c r="J90" s="2"/>
      <c r="K90" s="2" t="str">
        <f t="shared" si="2"/>
        <v/>
      </c>
      <c r="L90" s="2" t="str">
        <f t="shared" si="3"/>
        <v>No</v>
      </c>
      <c r="M90" s="2" t="str">
        <f>IF(K90="","",F90*VLOOKUP(E90,WEIGHTS!$A$2:$F$4,2,FALSE)+G90*VLOOKUP(E90,WEIGHTS!$A$2:$F$4,3,FALSE)+H90*VLOOKUP(E90,WEIGHTS!$A$2:$F$4,4,FALSE)+I90*VLOOKUP(E90,WEIGHTS!$A$2:$F$4,5,FALSE)+J90*VLOOKUP(E90,WEIGHTS!$A$2:$F$4,6,FALSE))</f>
        <v/>
      </c>
      <c r="N90" s="2" t="str">
        <f t="shared" si="4"/>
        <v/>
      </c>
    </row>
    <row r="91" ht="15.75" customHeight="1">
      <c r="A91" s="3"/>
      <c r="B91" s="2" t="str">
        <f t="shared" si="1"/>
        <v/>
      </c>
      <c r="E91" s="2"/>
      <c r="F91" s="2"/>
      <c r="G91" s="2"/>
      <c r="H91" s="2"/>
      <c r="I91" s="2"/>
      <c r="J91" s="2"/>
      <c r="K91" s="2" t="str">
        <f t="shared" si="2"/>
        <v/>
      </c>
      <c r="L91" s="2" t="str">
        <f t="shared" si="3"/>
        <v>No</v>
      </c>
      <c r="M91" s="2" t="str">
        <f>IF(K91="","",F91*VLOOKUP(E91,WEIGHTS!$A$2:$F$4,2,FALSE)+G91*VLOOKUP(E91,WEIGHTS!$A$2:$F$4,3,FALSE)+H91*VLOOKUP(E91,WEIGHTS!$A$2:$F$4,4,FALSE)+I91*VLOOKUP(E91,WEIGHTS!$A$2:$F$4,5,FALSE)+J91*VLOOKUP(E91,WEIGHTS!$A$2:$F$4,6,FALSE))</f>
        <v/>
      </c>
      <c r="N91" s="2" t="str">
        <f t="shared" si="4"/>
        <v/>
      </c>
    </row>
    <row r="92" ht="15.75" customHeight="1">
      <c r="A92" s="3"/>
      <c r="B92" s="2" t="str">
        <f t="shared" si="1"/>
        <v/>
      </c>
      <c r="E92" s="2"/>
      <c r="F92" s="2"/>
      <c r="G92" s="2"/>
      <c r="H92" s="2"/>
      <c r="I92" s="2"/>
      <c r="J92" s="2"/>
      <c r="K92" s="2" t="str">
        <f t="shared" si="2"/>
        <v/>
      </c>
      <c r="L92" s="2" t="str">
        <f t="shared" si="3"/>
        <v>No</v>
      </c>
      <c r="M92" s="2" t="str">
        <f>IF(K92="","",F92*VLOOKUP(E92,WEIGHTS!$A$2:$F$4,2,FALSE)+G92*VLOOKUP(E92,WEIGHTS!$A$2:$F$4,3,FALSE)+H92*VLOOKUP(E92,WEIGHTS!$A$2:$F$4,4,FALSE)+I92*VLOOKUP(E92,WEIGHTS!$A$2:$F$4,5,FALSE)+J92*VLOOKUP(E92,WEIGHTS!$A$2:$F$4,6,FALSE))</f>
        <v/>
      </c>
      <c r="N92" s="2" t="str">
        <f t="shared" si="4"/>
        <v/>
      </c>
    </row>
    <row r="93" ht="15.75" customHeight="1">
      <c r="A93" s="3"/>
      <c r="B93" s="2" t="str">
        <f t="shared" si="1"/>
        <v/>
      </c>
      <c r="E93" s="2"/>
      <c r="F93" s="2"/>
      <c r="G93" s="2"/>
      <c r="H93" s="2"/>
      <c r="I93" s="2"/>
      <c r="J93" s="2"/>
      <c r="K93" s="2" t="str">
        <f t="shared" si="2"/>
        <v/>
      </c>
      <c r="L93" s="2" t="str">
        <f t="shared" si="3"/>
        <v>No</v>
      </c>
      <c r="M93" s="2" t="str">
        <f>IF(K93="","",F93*VLOOKUP(E93,WEIGHTS!$A$2:$F$4,2,FALSE)+G93*VLOOKUP(E93,WEIGHTS!$A$2:$F$4,3,FALSE)+H93*VLOOKUP(E93,WEIGHTS!$A$2:$F$4,4,FALSE)+I93*VLOOKUP(E93,WEIGHTS!$A$2:$F$4,5,FALSE)+J93*VLOOKUP(E93,WEIGHTS!$A$2:$F$4,6,FALSE))</f>
        <v/>
      </c>
      <c r="N93" s="2" t="str">
        <f t="shared" si="4"/>
        <v/>
      </c>
    </row>
    <row r="94" ht="15.75" customHeight="1">
      <c r="A94" s="3"/>
      <c r="B94" s="2" t="str">
        <f t="shared" si="1"/>
        <v/>
      </c>
      <c r="E94" s="2"/>
      <c r="F94" s="2"/>
      <c r="G94" s="2"/>
      <c r="H94" s="2"/>
      <c r="I94" s="2"/>
      <c r="J94" s="2"/>
      <c r="K94" s="2" t="str">
        <f t="shared" si="2"/>
        <v/>
      </c>
      <c r="L94" s="2" t="str">
        <f t="shared" si="3"/>
        <v>No</v>
      </c>
      <c r="M94" s="2" t="str">
        <f>IF(K94="","",F94*VLOOKUP(E94,WEIGHTS!$A$2:$F$4,2,FALSE)+G94*VLOOKUP(E94,WEIGHTS!$A$2:$F$4,3,FALSE)+H94*VLOOKUP(E94,WEIGHTS!$A$2:$F$4,4,FALSE)+I94*VLOOKUP(E94,WEIGHTS!$A$2:$F$4,5,FALSE)+J94*VLOOKUP(E94,WEIGHTS!$A$2:$F$4,6,FALSE))</f>
        <v/>
      </c>
      <c r="N94" s="2" t="str">
        <f t="shared" si="4"/>
        <v/>
      </c>
    </row>
    <row r="95" ht="15.75" customHeight="1">
      <c r="A95" s="3"/>
      <c r="B95" s="2" t="str">
        <f t="shared" si="1"/>
        <v/>
      </c>
      <c r="E95" s="2"/>
      <c r="F95" s="2"/>
      <c r="G95" s="2"/>
      <c r="H95" s="2"/>
      <c r="I95" s="2"/>
      <c r="J95" s="2"/>
      <c r="K95" s="2" t="str">
        <f t="shared" si="2"/>
        <v/>
      </c>
      <c r="L95" s="2" t="str">
        <f t="shared" si="3"/>
        <v>No</v>
      </c>
      <c r="M95" s="2" t="str">
        <f>IF(K95="","",F95*VLOOKUP(E95,WEIGHTS!$A$2:$F$4,2,FALSE)+G95*VLOOKUP(E95,WEIGHTS!$A$2:$F$4,3,FALSE)+H95*VLOOKUP(E95,WEIGHTS!$A$2:$F$4,4,FALSE)+I95*VLOOKUP(E95,WEIGHTS!$A$2:$F$4,5,FALSE)+J95*VLOOKUP(E95,WEIGHTS!$A$2:$F$4,6,FALSE))</f>
        <v/>
      </c>
      <c r="N95" s="2" t="str">
        <f t="shared" si="4"/>
        <v/>
      </c>
    </row>
    <row r="96" ht="15.75" customHeight="1">
      <c r="A96" s="3"/>
      <c r="B96" s="2" t="str">
        <f t="shared" si="1"/>
        <v/>
      </c>
      <c r="E96" s="2"/>
      <c r="F96" s="2"/>
      <c r="G96" s="2"/>
      <c r="H96" s="2"/>
      <c r="I96" s="2"/>
      <c r="J96" s="2"/>
      <c r="K96" s="2" t="str">
        <f t="shared" si="2"/>
        <v/>
      </c>
      <c r="L96" s="2" t="str">
        <f t="shared" si="3"/>
        <v>No</v>
      </c>
      <c r="M96" s="2" t="str">
        <f>IF(K96="","",F96*VLOOKUP(E96,WEIGHTS!$A$2:$F$4,2,FALSE)+G96*VLOOKUP(E96,WEIGHTS!$A$2:$F$4,3,FALSE)+H96*VLOOKUP(E96,WEIGHTS!$A$2:$F$4,4,FALSE)+I96*VLOOKUP(E96,WEIGHTS!$A$2:$F$4,5,FALSE)+J96*VLOOKUP(E96,WEIGHTS!$A$2:$F$4,6,FALSE))</f>
        <v/>
      </c>
      <c r="N96" s="2" t="str">
        <f t="shared" si="4"/>
        <v/>
      </c>
    </row>
    <row r="97" ht="15.75" customHeight="1">
      <c r="A97" s="3"/>
      <c r="B97" s="2" t="str">
        <f t="shared" si="1"/>
        <v/>
      </c>
      <c r="E97" s="2"/>
      <c r="F97" s="2"/>
      <c r="G97" s="2"/>
      <c r="H97" s="2"/>
      <c r="I97" s="2"/>
      <c r="J97" s="2"/>
      <c r="K97" s="2" t="str">
        <f t="shared" si="2"/>
        <v/>
      </c>
      <c r="L97" s="2" t="str">
        <f t="shared" si="3"/>
        <v>No</v>
      </c>
      <c r="M97" s="2" t="str">
        <f>IF(K97="","",F97*VLOOKUP(E97,WEIGHTS!$A$2:$F$4,2,FALSE)+G97*VLOOKUP(E97,WEIGHTS!$A$2:$F$4,3,FALSE)+H97*VLOOKUP(E97,WEIGHTS!$A$2:$F$4,4,FALSE)+I97*VLOOKUP(E97,WEIGHTS!$A$2:$F$4,5,FALSE)+J97*VLOOKUP(E97,WEIGHTS!$A$2:$F$4,6,FALSE))</f>
        <v/>
      </c>
      <c r="N97" s="2" t="str">
        <f t="shared" si="4"/>
        <v/>
      </c>
    </row>
    <row r="98" ht="15.75" customHeight="1">
      <c r="A98" s="3"/>
      <c r="B98" s="2" t="str">
        <f t="shared" si="1"/>
        <v/>
      </c>
      <c r="E98" s="2"/>
      <c r="F98" s="2"/>
      <c r="G98" s="2"/>
      <c r="H98" s="2"/>
      <c r="I98" s="2"/>
      <c r="J98" s="2"/>
      <c r="K98" s="2" t="str">
        <f t="shared" si="2"/>
        <v/>
      </c>
      <c r="L98" s="2" t="str">
        <f t="shared" si="3"/>
        <v>No</v>
      </c>
      <c r="M98" s="2" t="str">
        <f>IF(K98="","",F98*VLOOKUP(E98,WEIGHTS!$A$2:$F$4,2,FALSE)+G98*VLOOKUP(E98,WEIGHTS!$A$2:$F$4,3,FALSE)+H98*VLOOKUP(E98,WEIGHTS!$A$2:$F$4,4,FALSE)+I98*VLOOKUP(E98,WEIGHTS!$A$2:$F$4,5,FALSE)+J98*VLOOKUP(E98,WEIGHTS!$A$2:$F$4,6,FALSE))</f>
        <v/>
      </c>
      <c r="N98" s="2" t="str">
        <f t="shared" si="4"/>
        <v/>
      </c>
    </row>
    <row r="99" ht="15.75" customHeight="1">
      <c r="A99" s="3"/>
      <c r="B99" s="2" t="str">
        <f t="shared" si="1"/>
        <v/>
      </c>
      <c r="E99" s="2"/>
      <c r="F99" s="2"/>
      <c r="G99" s="2"/>
      <c r="H99" s="2"/>
      <c r="I99" s="2"/>
      <c r="J99" s="2"/>
      <c r="K99" s="2" t="str">
        <f t="shared" si="2"/>
        <v/>
      </c>
      <c r="L99" s="2" t="str">
        <f t="shared" si="3"/>
        <v>No</v>
      </c>
      <c r="M99" s="2" t="str">
        <f>IF(K99="","",F99*VLOOKUP(E99,WEIGHTS!$A$2:$F$4,2,FALSE)+G99*VLOOKUP(E99,WEIGHTS!$A$2:$F$4,3,FALSE)+H99*VLOOKUP(E99,WEIGHTS!$A$2:$F$4,4,FALSE)+I99*VLOOKUP(E99,WEIGHTS!$A$2:$F$4,5,FALSE)+J99*VLOOKUP(E99,WEIGHTS!$A$2:$F$4,6,FALSE))</f>
        <v/>
      </c>
      <c r="N99" s="2" t="str">
        <f t="shared" si="4"/>
        <v/>
      </c>
    </row>
    <row r="100" ht="15.75" customHeight="1">
      <c r="A100" s="3"/>
      <c r="B100" s="2" t="str">
        <f t="shared" si="1"/>
        <v/>
      </c>
      <c r="E100" s="2"/>
      <c r="F100" s="2"/>
      <c r="G100" s="2"/>
      <c r="H100" s="2"/>
      <c r="I100" s="2"/>
      <c r="J100" s="2"/>
      <c r="K100" s="2" t="str">
        <f t="shared" si="2"/>
        <v/>
      </c>
      <c r="L100" s="2" t="str">
        <f t="shared" si="3"/>
        <v>No</v>
      </c>
      <c r="M100" s="2" t="str">
        <f>IF(K100="","",F100*VLOOKUP(E100,WEIGHTS!$A$2:$F$4,2,FALSE)+G100*VLOOKUP(E100,WEIGHTS!$A$2:$F$4,3,FALSE)+H100*VLOOKUP(E100,WEIGHTS!$A$2:$F$4,4,FALSE)+I100*VLOOKUP(E100,WEIGHTS!$A$2:$F$4,5,FALSE)+J100*VLOOKUP(E100,WEIGHTS!$A$2:$F$4,6,FALSE))</f>
        <v/>
      </c>
      <c r="N100" s="2" t="str">
        <f t="shared" si="4"/>
        <v/>
      </c>
    </row>
    <row r="101" ht="15.75" customHeight="1">
      <c r="A101" s="3"/>
      <c r="B101" s="2" t="str">
        <f t="shared" si="1"/>
        <v/>
      </c>
      <c r="E101" s="2"/>
      <c r="F101" s="2"/>
      <c r="G101" s="2"/>
      <c r="H101" s="2"/>
      <c r="I101" s="2"/>
      <c r="J101" s="2"/>
      <c r="K101" s="2" t="str">
        <f t="shared" si="2"/>
        <v/>
      </c>
      <c r="L101" s="2" t="str">
        <f t="shared" si="3"/>
        <v>No</v>
      </c>
      <c r="M101" s="2" t="str">
        <f>IF(K101="","",F101*VLOOKUP(E101,WEIGHTS!$A$2:$F$4,2,FALSE)+G101*VLOOKUP(E101,WEIGHTS!$A$2:$F$4,3,FALSE)+H101*VLOOKUP(E101,WEIGHTS!$A$2:$F$4,4,FALSE)+I101*VLOOKUP(E101,WEIGHTS!$A$2:$F$4,5,FALSE)+J101*VLOOKUP(E101,WEIGHTS!$A$2:$F$4,6,FALSE))</f>
        <v/>
      </c>
      <c r="N101" s="2" t="str">
        <f t="shared" si="4"/>
        <v/>
      </c>
    </row>
    <row r="102" ht="15.75" customHeight="1">
      <c r="A102" s="3"/>
      <c r="B102" s="2" t="str">
        <f t="shared" si="1"/>
        <v/>
      </c>
      <c r="E102" s="2"/>
      <c r="F102" s="2"/>
      <c r="G102" s="2"/>
      <c r="H102" s="2"/>
      <c r="I102" s="2"/>
      <c r="J102" s="2"/>
      <c r="K102" s="2" t="str">
        <f t="shared" si="2"/>
        <v/>
      </c>
      <c r="L102" s="2" t="str">
        <f t="shared" si="3"/>
        <v>No</v>
      </c>
      <c r="M102" s="2" t="str">
        <f>IF(K102="","",F102*VLOOKUP(E102,WEIGHTS!$A$2:$F$4,2,FALSE)+G102*VLOOKUP(E102,WEIGHTS!$A$2:$F$4,3,FALSE)+H102*VLOOKUP(E102,WEIGHTS!$A$2:$F$4,4,FALSE)+I102*VLOOKUP(E102,WEIGHTS!$A$2:$F$4,5,FALSE)+J102*VLOOKUP(E102,WEIGHTS!$A$2:$F$4,6,FALSE))</f>
        <v/>
      </c>
      <c r="N102" s="2" t="str">
        <f t="shared" si="4"/>
        <v/>
      </c>
    </row>
    <row r="103" ht="15.75" customHeight="1">
      <c r="A103" s="3"/>
      <c r="B103" s="2" t="str">
        <f t="shared" si="1"/>
        <v/>
      </c>
      <c r="E103" s="2"/>
      <c r="F103" s="2"/>
      <c r="G103" s="2"/>
      <c r="H103" s="2"/>
      <c r="I103" s="2"/>
      <c r="J103" s="2"/>
      <c r="K103" s="2" t="str">
        <f t="shared" si="2"/>
        <v/>
      </c>
      <c r="L103" s="2" t="str">
        <f t="shared" si="3"/>
        <v>No</v>
      </c>
      <c r="M103" s="2" t="str">
        <f>IF(K103="","",F103*VLOOKUP(E103,WEIGHTS!$A$2:$F$4,2,FALSE)+G103*VLOOKUP(E103,WEIGHTS!$A$2:$F$4,3,FALSE)+H103*VLOOKUP(E103,WEIGHTS!$A$2:$F$4,4,FALSE)+I103*VLOOKUP(E103,WEIGHTS!$A$2:$F$4,5,FALSE)+J103*VLOOKUP(E103,WEIGHTS!$A$2:$F$4,6,FALSE))</f>
        <v/>
      </c>
      <c r="N103" s="2" t="str">
        <f t="shared" si="4"/>
        <v/>
      </c>
    </row>
    <row r="104" ht="15.75" customHeight="1">
      <c r="A104" s="3"/>
      <c r="B104" s="2" t="str">
        <f t="shared" si="1"/>
        <v/>
      </c>
      <c r="E104" s="2"/>
      <c r="F104" s="2"/>
      <c r="G104" s="2"/>
      <c r="H104" s="2"/>
      <c r="I104" s="2"/>
      <c r="J104" s="2"/>
      <c r="K104" s="2" t="str">
        <f t="shared" si="2"/>
        <v/>
      </c>
      <c r="L104" s="2" t="str">
        <f t="shared" si="3"/>
        <v>No</v>
      </c>
      <c r="M104" s="2" t="str">
        <f>IF(K104="","",F104*VLOOKUP(E104,WEIGHTS!$A$2:$F$4,2,FALSE)+G104*VLOOKUP(E104,WEIGHTS!$A$2:$F$4,3,FALSE)+H104*VLOOKUP(E104,WEIGHTS!$A$2:$F$4,4,FALSE)+I104*VLOOKUP(E104,WEIGHTS!$A$2:$F$4,5,FALSE)+J104*VLOOKUP(E104,WEIGHTS!$A$2:$F$4,6,FALSE))</f>
        <v/>
      </c>
      <c r="N104" s="2" t="str">
        <f t="shared" si="4"/>
        <v/>
      </c>
    </row>
    <row r="105" ht="15.75" customHeight="1">
      <c r="A105" s="3"/>
      <c r="B105" s="2" t="str">
        <f t="shared" si="1"/>
        <v/>
      </c>
      <c r="E105" s="2"/>
      <c r="F105" s="2"/>
      <c r="G105" s="2"/>
      <c r="H105" s="2"/>
      <c r="I105" s="2"/>
      <c r="J105" s="2"/>
      <c r="K105" s="2" t="str">
        <f t="shared" si="2"/>
        <v/>
      </c>
      <c r="L105" s="2" t="str">
        <f t="shared" si="3"/>
        <v>No</v>
      </c>
      <c r="M105" s="2" t="str">
        <f>IF(K105="","",F105*VLOOKUP(E105,WEIGHTS!$A$2:$F$4,2,FALSE)+G105*VLOOKUP(E105,WEIGHTS!$A$2:$F$4,3,FALSE)+H105*VLOOKUP(E105,WEIGHTS!$A$2:$F$4,4,FALSE)+I105*VLOOKUP(E105,WEIGHTS!$A$2:$F$4,5,FALSE)+J105*VLOOKUP(E105,WEIGHTS!$A$2:$F$4,6,FALSE))</f>
        <v/>
      </c>
      <c r="N105" s="2" t="str">
        <f t="shared" si="4"/>
        <v/>
      </c>
    </row>
    <row r="106" ht="15.75" customHeight="1">
      <c r="A106" s="3"/>
      <c r="B106" s="2" t="str">
        <f t="shared" si="1"/>
        <v/>
      </c>
      <c r="E106" s="2"/>
      <c r="F106" s="2"/>
      <c r="G106" s="2"/>
      <c r="H106" s="2"/>
      <c r="I106" s="2"/>
      <c r="J106" s="2"/>
      <c r="K106" s="2" t="str">
        <f t="shared" si="2"/>
        <v/>
      </c>
      <c r="L106" s="2" t="str">
        <f t="shared" si="3"/>
        <v>No</v>
      </c>
      <c r="M106" s="2" t="str">
        <f>IF(K106="","",F106*VLOOKUP(E106,WEIGHTS!$A$2:$F$4,2,FALSE)+G106*VLOOKUP(E106,WEIGHTS!$A$2:$F$4,3,FALSE)+H106*VLOOKUP(E106,WEIGHTS!$A$2:$F$4,4,FALSE)+I106*VLOOKUP(E106,WEIGHTS!$A$2:$F$4,5,FALSE)+J106*VLOOKUP(E106,WEIGHTS!$A$2:$F$4,6,FALSE))</f>
        <v/>
      </c>
      <c r="N106" s="2" t="str">
        <f t="shared" si="4"/>
        <v/>
      </c>
    </row>
    <row r="107" ht="15.75" customHeight="1">
      <c r="A107" s="3"/>
      <c r="B107" s="2" t="str">
        <f t="shared" si="1"/>
        <v/>
      </c>
      <c r="E107" s="2"/>
      <c r="F107" s="2"/>
      <c r="G107" s="2"/>
      <c r="H107" s="2"/>
      <c r="I107" s="2"/>
      <c r="J107" s="2"/>
      <c r="K107" s="2" t="str">
        <f t="shared" si="2"/>
        <v/>
      </c>
      <c r="L107" s="2" t="str">
        <f t="shared" si="3"/>
        <v>No</v>
      </c>
      <c r="M107" s="2" t="str">
        <f>IF(K107="","",F107*VLOOKUP(E107,WEIGHTS!$A$2:$F$4,2,FALSE)+G107*VLOOKUP(E107,WEIGHTS!$A$2:$F$4,3,FALSE)+H107*VLOOKUP(E107,WEIGHTS!$A$2:$F$4,4,FALSE)+I107*VLOOKUP(E107,WEIGHTS!$A$2:$F$4,5,FALSE)+J107*VLOOKUP(E107,WEIGHTS!$A$2:$F$4,6,FALSE))</f>
        <v/>
      </c>
      <c r="N107" s="2" t="str">
        <f t="shared" si="4"/>
        <v/>
      </c>
    </row>
    <row r="108" ht="15.75" customHeight="1">
      <c r="A108" s="3"/>
      <c r="B108" s="2" t="str">
        <f t="shared" si="1"/>
        <v/>
      </c>
      <c r="E108" s="2"/>
      <c r="F108" s="2"/>
      <c r="G108" s="2"/>
      <c r="H108" s="2"/>
      <c r="I108" s="2"/>
      <c r="J108" s="2"/>
      <c r="K108" s="2" t="str">
        <f t="shared" si="2"/>
        <v/>
      </c>
      <c r="L108" s="2" t="str">
        <f t="shared" si="3"/>
        <v>No</v>
      </c>
      <c r="M108" s="2" t="str">
        <f>IF(K108="","",F108*VLOOKUP(E108,WEIGHTS!$A$2:$F$4,2,FALSE)+G108*VLOOKUP(E108,WEIGHTS!$A$2:$F$4,3,FALSE)+H108*VLOOKUP(E108,WEIGHTS!$A$2:$F$4,4,FALSE)+I108*VLOOKUP(E108,WEIGHTS!$A$2:$F$4,5,FALSE)+J108*VLOOKUP(E108,WEIGHTS!$A$2:$F$4,6,FALSE))</f>
        <v/>
      </c>
      <c r="N108" s="2" t="str">
        <f t="shared" si="4"/>
        <v/>
      </c>
    </row>
    <row r="109" ht="15.75" customHeight="1">
      <c r="A109" s="3"/>
      <c r="B109" s="2" t="str">
        <f t="shared" si="1"/>
        <v/>
      </c>
      <c r="E109" s="2"/>
      <c r="F109" s="2"/>
      <c r="G109" s="2"/>
      <c r="H109" s="2"/>
      <c r="I109" s="2"/>
      <c r="J109" s="2"/>
      <c r="K109" s="2" t="str">
        <f t="shared" si="2"/>
        <v/>
      </c>
      <c r="L109" s="2" t="str">
        <f t="shared" si="3"/>
        <v>No</v>
      </c>
      <c r="M109" s="2" t="str">
        <f>IF(K109="","",F109*VLOOKUP(E109,WEIGHTS!$A$2:$F$4,2,FALSE)+G109*VLOOKUP(E109,WEIGHTS!$A$2:$F$4,3,FALSE)+H109*VLOOKUP(E109,WEIGHTS!$A$2:$F$4,4,FALSE)+I109*VLOOKUP(E109,WEIGHTS!$A$2:$F$4,5,FALSE)+J109*VLOOKUP(E109,WEIGHTS!$A$2:$F$4,6,FALSE))</f>
        <v/>
      </c>
      <c r="N109" s="2" t="str">
        <f t="shared" si="4"/>
        <v/>
      </c>
    </row>
    <row r="110" ht="15.75" customHeight="1">
      <c r="A110" s="3"/>
      <c r="B110" s="2" t="str">
        <f t="shared" si="1"/>
        <v/>
      </c>
      <c r="E110" s="2"/>
      <c r="F110" s="2"/>
      <c r="G110" s="2"/>
      <c r="H110" s="2"/>
      <c r="I110" s="2"/>
      <c r="J110" s="2"/>
      <c r="K110" s="2" t="str">
        <f t="shared" si="2"/>
        <v/>
      </c>
      <c r="L110" s="2" t="str">
        <f t="shared" si="3"/>
        <v>No</v>
      </c>
      <c r="M110" s="2" t="str">
        <f>IF(K110="","",F110*VLOOKUP(E110,WEIGHTS!$A$2:$F$4,2,FALSE)+G110*VLOOKUP(E110,WEIGHTS!$A$2:$F$4,3,FALSE)+H110*VLOOKUP(E110,WEIGHTS!$A$2:$F$4,4,FALSE)+I110*VLOOKUP(E110,WEIGHTS!$A$2:$F$4,5,FALSE)+J110*VLOOKUP(E110,WEIGHTS!$A$2:$F$4,6,FALSE))</f>
        <v/>
      </c>
      <c r="N110" s="2" t="str">
        <f t="shared" si="4"/>
        <v/>
      </c>
    </row>
    <row r="111" ht="15.75" customHeight="1">
      <c r="A111" s="3"/>
      <c r="B111" s="2" t="str">
        <f t="shared" si="1"/>
        <v/>
      </c>
      <c r="E111" s="2"/>
      <c r="F111" s="2"/>
      <c r="G111" s="2"/>
      <c r="H111" s="2"/>
      <c r="I111" s="2"/>
      <c r="J111" s="2"/>
      <c r="K111" s="2" t="str">
        <f t="shared" si="2"/>
        <v/>
      </c>
      <c r="L111" s="2" t="str">
        <f t="shared" si="3"/>
        <v>No</v>
      </c>
      <c r="M111" s="2" t="str">
        <f>IF(K111="","",F111*VLOOKUP(E111,WEIGHTS!$A$2:$F$4,2,FALSE)+G111*VLOOKUP(E111,WEIGHTS!$A$2:$F$4,3,FALSE)+H111*VLOOKUP(E111,WEIGHTS!$A$2:$F$4,4,FALSE)+I111*VLOOKUP(E111,WEIGHTS!$A$2:$F$4,5,FALSE)+J111*VLOOKUP(E111,WEIGHTS!$A$2:$F$4,6,FALSE))</f>
        <v/>
      </c>
      <c r="N111" s="2" t="str">
        <f t="shared" si="4"/>
        <v/>
      </c>
    </row>
    <row r="112" ht="15.75" customHeight="1">
      <c r="A112" s="3"/>
      <c r="B112" s="2" t="str">
        <f t="shared" si="1"/>
        <v/>
      </c>
      <c r="E112" s="2"/>
      <c r="F112" s="2"/>
      <c r="G112" s="2"/>
      <c r="H112" s="2"/>
      <c r="I112" s="2"/>
      <c r="J112" s="2"/>
      <c r="K112" s="2" t="str">
        <f t="shared" si="2"/>
        <v/>
      </c>
      <c r="L112" s="2" t="str">
        <f t="shared" si="3"/>
        <v>No</v>
      </c>
      <c r="M112" s="2" t="str">
        <f>IF(K112="","",F112*VLOOKUP(E112,WEIGHTS!$A$2:$F$4,2,FALSE)+G112*VLOOKUP(E112,WEIGHTS!$A$2:$F$4,3,FALSE)+H112*VLOOKUP(E112,WEIGHTS!$A$2:$F$4,4,FALSE)+I112*VLOOKUP(E112,WEIGHTS!$A$2:$F$4,5,FALSE)+J112*VLOOKUP(E112,WEIGHTS!$A$2:$F$4,6,FALSE))</f>
        <v/>
      </c>
      <c r="N112" s="2" t="str">
        <f t="shared" si="4"/>
        <v/>
      </c>
    </row>
    <row r="113" ht="15.75" customHeight="1">
      <c r="A113" s="3"/>
      <c r="B113" s="2" t="str">
        <f t="shared" si="1"/>
        <v/>
      </c>
      <c r="E113" s="2"/>
      <c r="F113" s="2"/>
      <c r="G113" s="2"/>
      <c r="H113" s="2"/>
      <c r="I113" s="2"/>
      <c r="J113" s="2"/>
      <c r="K113" s="2" t="str">
        <f t="shared" si="2"/>
        <v/>
      </c>
      <c r="L113" s="2" t="str">
        <f t="shared" si="3"/>
        <v>No</v>
      </c>
      <c r="M113" s="2" t="str">
        <f>IF(K113="","",F113*VLOOKUP(E113,WEIGHTS!$A$2:$F$4,2,FALSE)+G113*VLOOKUP(E113,WEIGHTS!$A$2:$F$4,3,FALSE)+H113*VLOOKUP(E113,WEIGHTS!$A$2:$F$4,4,FALSE)+I113*VLOOKUP(E113,WEIGHTS!$A$2:$F$4,5,FALSE)+J113*VLOOKUP(E113,WEIGHTS!$A$2:$F$4,6,FALSE))</f>
        <v/>
      </c>
      <c r="N113" s="2" t="str">
        <f t="shared" si="4"/>
        <v/>
      </c>
    </row>
    <row r="114" ht="15.75" customHeight="1">
      <c r="A114" s="3"/>
      <c r="B114" s="2" t="str">
        <f t="shared" si="1"/>
        <v/>
      </c>
      <c r="E114" s="2"/>
      <c r="F114" s="2"/>
      <c r="G114" s="2"/>
      <c r="H114" s="2"/>
      <c r="I114" s="2"/>
      <c r="J114" s="2"/>
      <c r="K114" s="2" t="str">
        <f t="shared" si="2"/>
        <v/>
      </c>
      <c r="L114" s="2" t="str">
        <f t="shared" si="3"/>
        <v>No</v>
      </c>
      <c r="M114" s="2" t="str">
        <f>IF(K114="","",F114*VLOOKUP(E114,WEIGHTS!$A$2:$F$4,2,FALSE)+G114*VLOOKUP(E114,WEIGHTS!$A$2:$F$4,3,FALSE)+H114*VLOOKUP(E114,WEIGHTS!$A$2:$F$4,4,FALSE)+I114*VLOOKUP(E114,WEIGHTS!$A$2:$F$4,5,FALSE)+J114*VLOOKUP(E114,WEIGHTS!$A$2:$F$4,6,FALSE))</f>
        <v/>
      </c>
      <c r="N114" s="2" t="str">
        <f t="shared" si="4"/>
        <v/>
      </c>
    </row>
    <row r="115" ht="15.75" customHeight="1">
      <c r="A115" s="3"/>
      <c r="B115" s="2" t="str">
        <f t="shared" si="1"/>
        <v/>
      </c>
      <c r="E115" s="2"/>
      <c r="F115" s="2"/>
      <c r="G115" s="2"/>
      <c r="H115" s="2"/>
      <c r="I115" s="2"/>
      <c r="J115" s="2"/>
      <c r="K115" s="2" t="str">
        <f t="shared" si="2"/>
        <v/>
      </c>
      <c r="L115" s="2" t="str">
        <f t="shared" si="3"/>
        <v>No</v>
      </c>
      <c r="M115" s="2" t="str">
        <f>IF(K115="","",F115*VLOOKUP(E115,WEIGHTS!$A$2:$F$4,2,FALSE)+G115*VLOOKUP(E115,WEIGHTS!$A$2:$F$4,3,FALSE)+H115*VLOOKUP(E115,WEIGHTS!$A$2:$F$4,4,FALSE)+I115*VLOOKUP(E115,WEIGHTS!$A$2:$F$4,5,FALSE)+J115*VLOOKUP(E115,WEIGHTS!$A$2:$F$4,6,FALSE))</f>
        <v/>
      </c>
      <c r="N115" s="2" t="str">
        <f t="shared" si="4"/>
        <v/>
      </c>
    </row>
    <row r="116" ht="15.75" customHeight="1">
      <c r="A116" s="3"/>
      <c r="B116" s="2" t="str">
        <f t="shared" si="1"/>
        <v/>
      </c>
      <c r="E116" s="2"/>
      <c r="F116" s="2"/>
      <c r="G116" s="2"/>
      <c r="H116" s="2"/>
      <c r="I116" s="2"/>
      <c r="J116" s="2"/>
      <c r="K116" s="2" t="str">
        <f t="shared" si="2"/>
        <v/>
      </c>
      <c r="L116" s="2" t="str">
        <f t="shared" si="3"/>
        <v>No</v>
      </c>
      <c r="M116" s="2" t="str">
        <f>IF(K116="","",F116*VLOOKUP(E116,WEIGHTS!$A$2:$F$4,2,FALSE)+G116*VLOOKUP(E116,WEIGHTS!$A$2:$F$4,3,FALSE)+H116*VLOOKUP(E116,WEIGHTS!$A$2:$F$4,4,FALSE)+I116*VLOOKUP(E116,WEIGHTS!$A$2:$F$4,5,FALSE)+J116*VLOOKUP(E116,WEIGHTS!$A$2:$F$4,6,FALSE))</f>
        <v/>
      </c>
      <c r="N116" s="2" t="str">
        <f t="shared" si="4"/>
        <v/>
      </c>
    </row>
    <row r="117" ht="15.75" customHeight="1">
      <c r="A117" s="3"/>
      <c r="B117" s="2" t="str">
        <f t="shared" si="1"/>
        <v/>
      </c>
      <c r="E117" s="2"/>
      <c r="F117" s="2"/>
      <c r="G117" s="2"/>
      <c r="H117" s="2"/>
      <c r="I117" s="2"/>
      <c r="J117" s="2"/>
      <c r="K117" s="2" t="str">
        <f t="shared" si="2"/>
        <v/>
      </c>
      <c r="L117" s="2" t="str">
        <f t="shared" si="3"/>
        <v>No</v>
      </c>
      <c r="M117" s="2" t="str">
        <f>IF(K117="","",F117*VLOOKUP(E117,WEIGHTS!$A$2:$F$4,2,FALSE)+G117*VLOOKUP(E117,WEIGHTS!$A$2:$F$4,3,FALSE)+H117*VLOOKUP(E117,WEIGHTS!$A$2:$F$4,4,FALSE)+I117*VLOOKUP(E117,WEIGHTS!$A$2:$F$4,5,FALSE)+J117*VLOOKUP(E117,WEIGHTS!$A$2:$F$4,6,FALSE))</f>
        <v/>
      </c>
      <c r="N117" s="2" t="str">
        <f t="shared" si="4"/>
        <v/>
      </c>
    </row>
    <row r="118" ht="15.75" customHeight="1">
      <c r="A118" s="3"/>
      <c r="B118" s="2" t="str">
        <f t="shared" si="1"/>
        <v/>
      </c>
      <c r="E118" s="2"/>
      <c r="F118" s="2"/>
      <c r="G118" s="2"/>
      <c r="H118" s="2"/>
      <c r="I118" s="2"/>
      <c r="J118" s="2"/>
      <c r="K118" s="2" t="str">
        <f t="shared" si="2"/>
        <v/>
      </c>
      <c r="L118" s="2" t="str">
        <f t="shared" si="3"/>
        <v>No</v>
      </c>
      <c r="M118" s="2" t="str">
        <f>IF(K118="","",F118*VLOOKUP(E118,WEIGHTS!$A$2:$F$4,2,FALSE)+G118*VLOOKUP(E118,WEIGHTS!$A$2:$F$4,3,FALSE)+H118*VLOOKUP(E118,WEIGHTS!$A$2:$F$4,4,FALSE)+I118*VLOOKUP(E118,WEIGHTS!$A$2:$F$4,5,FALSE)+J118*VLOOKUP(E118,WEIGHTS!$A$2:$F$4,6,FALSE))</f>
        <v/>
      </c>
      <c r="N118" s="2" t="str">
        <f t="shared" si="4"/>
        <v/>
      </c>
    </row>
    <row r="119" ht="15.75" customHeight="1">
      <c r="A119" s="3"/>
      <c r="B119" s="2" t="str">
        <f t="shared" si="1"/>
        <v/>
      </c>
      <c r="E119" s="2"/>
      <c r="F119" s="2"/>
      <c r="G119" s="2"/>
      <c r="H119" s="2"/>
      <c r="I119" s="2"/>
      <c r="J119" s="2"/>
      <c r="K119" s="2" t="str">
        <f t="shared" si="2"/>
        <v/>
      </c>
      <c r="L119" s="2" t="str">
        <f t="shared" si="3"/>
        <v>No</v>
      </c>
      <c r="M119" s="2" t="str">
        <f>IF(K119="","",F119*VLOOKUP(E119,WEIGHTS!$A$2:$F$4,2,FALSE)+G119*VLOOKUP(E119,WEIGHTS!$A$2:$F$4,3,FALSE)+H119*VLOOKUP(E119,WEIGHTS!$A$2:$F$4,4,FALSE)+I119*VLOOKUP(E119,WEIGHTS!$A$2:$F$4,5,FALSE)+J119*VLOOKUP(E119,WEIGHTS!$A$2:$F$4,6,FALSE))</f>
        <v/>
      </c>
      <c r="N119" s="2" t="str">
        <f t="shared" si="4"/>
        <v/>
      </c>
    </row>
    <row r="120" ht="15.75" customHeight="1">
      <c r="A120" s="3"/>
      <c r="B120" s="2" t="str">
        <f t="shared" si="1"/>
        <v/>
      </c>
      <c r="E120" s="2"/>
      <c r="F120" s="2"/>
      <c r="G120" s="2"/>
      <c r="H120" s="2"/>
      <c r="I120" s="2"/>
      <c r="J120" s="2"/>
      <c r="K120" s="2" t="str">
        <f t="shared" si="2"/>
        <v/>
      </c>
      <c r="L120" s="2" t="str">
        <f t="shared" si="3"/>
        <v>No</v>
      </c>
      <c r="M120" s="2" t="str">
        <f>IF(K120="","",F120*VLOOKUP(E120,WEIGHTS!$A$2:$F$4,2,FALSE)+G120*VLOOKUP(E120,WEIGHTS!$A$2:$F$4,3,FALSE)+H120*VLOOKUP(E120,WEIGHTS!$A$2:$F$4,4,FALSE)+I120*VLOOKUP(E120,WEIGHTS!$A$2:$F$4,5,FALSE)+J120*VLOOKUP(E120,WEIGHTS!$A$2:$F$4,6,FALSE))</f>
        <v/>
      </c>
      <c r="N120" s="2" t="str">
        <f t="shared" si="4"/>
        <v/>
      </c>
    </row>
    <row r="121" ht="15.75" customHeight="1">
      <c r="A121" s="3"/>
      <c r="B121" s="2" t="str">
        <f t="shared" si="1"/>
        <v/>
      </c>
      <c r="E121" s="2"/>
      <c r="F121" s="2"/>
      <c r="G121" s="2"/>
      <c r="H121" s="2"/>
      <c r="I121" s="2"/>
      <c r="J121" s="2"/>
      <c r="K121" s="2" t="str">
        <f t="shared" si="2"/>
        <v/>
      </c>
      <c r="L121" s="2" t="str">
        <f t="shared" si="3"/>
        <v>No</v>
      </c>
      <c r="M121" s="2" t="str">
        <f>IF(K121="","",F121*VLOOKUP(E121,WEIGHTS!$A$2:$F$4,2,FALSE)+G121*VLOOKUP(E121,WEIGHTS!$A$2:$F$4,3,FALSE)+H121*VLOOKUP(E121,WEIGHTS!$A$2:$F$4,4,FALSE)+I121*VLOOKUP(E121,WEIGHTS!$A$2:$F$4,5,FALSE)+J121*VLOOKUP(E121,WEIGHTS!$A$2:$F$4,6,FALSE))</f>
        <v/>
      </c>
      <c r="N121" s="2" t="str">
        <f t="shared" si="4"/>
        <v/>
      </c>
    </row>
    <row r="122" ht="15.75" customHeight="1">
      <c r="A122" s="3"/>
      <c r="B122" s="2" t="str">
        <f t="shared" si="1"/>
        <v/>
      </c>
      <c r="E122" s="2"/>
      <c r="F122" s="2"/>
      <c r="G122" s="2"/>
      <c r="H122" s="2"/>
      <c r="I122" s="2"/>
      <c r="J122" s="2"/>
      <c r="K122" s="2" t="str">
        <f t="shared" si="2"/>
        <v/>
      </c>
      <c r="L122" s="2" t="str">
        <f t="shared" si="3"/>
        <v>No</v>
      </c>
      <c r="M122" s="2" t="str">
        <f>IF(K122="","",F122*VLOOKUP(E122,WEIGHTS!$A$2:$F$4,2,FALSE)+G122*VLOOKUP(E122,WEIGHTS!$A$2:$F$4,3,FALSE)+H122*VLOOKUP(E122,WEIGHTS!$A$2:$F$4,4,FALSE)+I122*VLOOKUP(E122,WEIGHTS!$A$2:$F$4,5,FALSE)+J122*VLOOKUP(E122,WEIGHTS!$A$2:$F$4,6,FALSE))</f>
        <v/>
      </c>
      <c r="N122" s="2" t="str">
        <f t="shared" si="4"/>
        <v/>
      </c>
    </row>
    <row r="123" ht="15.75" customHeight="1">
      <c r="A123" s="3"/>
      <c r="B123" s="2" t="str">
        <f t="shared" si="1"/>
        <v/>
      </c>
      <c r="E123" s="2"/>
      <c r="F123" s="2"/>
      <c r="G123" s="2"/>
      <c r="H123" s="2"/>
      <c r="I123" s="2"/>
      <c r="J123" s="2"/>
      <c r="K123" s="2" t="str">
        <f t="shared" si="2"/>
        <v/>
      </c>
      <c r="L123" s="2" t="str">
        <f t="shared" si="3"/>
        <v>No</v>
      </c>
      <c r="M123" s="2" t="str">
        <f>IF(K123="","",F123*VLOOKUP(E123,WEIGHTS!$A$2:$F$4,2,FALSE)+G123*VLOOKUP(E123,WEIGHTS!$A$2:$F$4,3,FALSE)+H123*VLOOKUP(E123,WEIGHTS!$A$2:$F$4,4,FALSE)+I123*VLOOKUP(E123,WEIGHTS!$A$2:$F$4,5,FALSE)+J123*VLOOKUP(E123,WEIGHTS!$A$2:$F$4,6,FALSE))</f>
        <v/>
      </c>
      <c r="N123" s="2" t="str">
        <f t="shared" si="4"/>
        <v/>
      </c>
    </row>
    <row r="124" ht="15.75" customHeight="1">
      <c r="A124" s="3"/>
      <c r="B124" s="2" t="str">
        <f t="shared" si="1"/>
        <v/>
      </c>
      <c r="E124" s="2"/>
      <c r="F124" s="2"/>
      <c r="G124" s="2"/>
      <c r="H124" s="2"/>
      <c r="I124" s="2"/>
      <c r="J124" s="2"/>
      <c r="K124" s="2" t="str">
        <f t="shared" si="2"/>
        <v/>
      </c>
      <c r="L124" s="2" t="str">
        <f t="shared" si="3"/>
        <v>No</v>
      </c>
      <c r="M124" s="2" t="str">
        <f>IF(K124="","",F124*VLOOKUP(E124,WEIGHTS!$A$2:$F$4,2,FALSE)+G124*VLOOKUP(E124,WEIGHTS!$A$2:$F$4,3,FALSE)+H124*VLOOKUP(E124,WEIGHTS!$A$2:$F$4,4,FALSE)+I124*VLOOKUP(E124,WEIGHTS!$A$2:$F$4,5,FALSE)+J124*VLOOKUP(E124,WEIGHTS!$A$2:$F$4,6,FALSE))</f>
        <v/>
      </c>
      <c r="N124" s="2" t="str">
        <f t="shared" si="4"/>
        <v/>
      </c>
    </row>
    <row r="125" ht="15.75" customHeight="1">
      <c r="A125" s="3"/>
      <c r="B125" s="2" t="str">
        <f t="shared" si="1"/>
        <v/>
      </c>
      <c r="E125" s="2"/>
      <c r="F125" s="2"/>
      <c r="G125" s="2"/>
      <c r="H125" s="2"/>
      <c r="I125" s="2"/>
      <c r="J125" s="2"/>
      <c r="K125" s="2" t="str">
        <f t="shared" si="2"/>
        <v/>
      </c>
      <c r="L125" s="2" t="str">
        <f t="shared" si="3"/>
        <v>No</v>
      </c>
      <c r="M125" s="2" t="str">
        <f>IF(K125="","",F125*VLOOKUP(E125,WEIGHTS!$A$2:$F$4,2,FALSE)+G125*VLOOKUP(E125,WEIGHTS!$A$2:$F$4,3,FALSE)+H125*VLOOKUP(E125,WEIGHTS!$A$2:$F$4,4,FALSE)+I125*VLOOKUP(E125,WEIGHTS!$A$2:$F$4,5,FALSE)+J125*VLOOKUP(E125,WEIGHTS!$A$2:$F$4,6,FALSE))</f>
        <v/>
      </c>
      <c r="N125" s="2" t="str">
        <f t="shared" si="4"/>
        <v/>
      </c>
    </row>
    <row r="126" ht="15.75" customHeight="1">
      <c r="A126" s="3"/>
      <c r="B126" s="2" t="str">
        <f t="shared" si="1"/>
        <v/>
      </c>
      <c r="E126" s="2"/>
      <c r="F126" s="2"/>
      <c r="G126" s="2"/>
      <c r="H126" s="2"/>
      <c r="I126" s="2"/>
      <c r="J126" s="2"/>
      <c r="K126" s="2" t="str">
        <f t="shared" si="2"/>
        <v/>
      </c>
      <c r="L126" s="2" t="str">
        <f t="shared" si="3"/>
        <v>No</v>
      </c>
      <c r="M126" s="2" t="str">
        <f>IF(K126="","",F126*VLOOKUP(E126,WEIGHTS!$A$2:$F$4,2,FALSE)+G126*VLOOKUP(E126,WEIGHTS!$A$2:$F$4,3,FALSE)+H126*VLOOKUP(E126,WEIGHTS!$A$2:$F$4,4,FALSE)+I126*VLOOKUP(E126,WEIGHTS!$A$2:$F$4,5,FALSE)+J126*VLOOKUP(E126,WEIGHTS!$A$2:$F$4,6,FALSE))</f>
        <v/>
      </c>
      <c r="N126" s="2" t="str">
        <f t="shared" si="4"/>
        <v/>
      </c>
    </row>
    <row r="127" ht="15.75" customHeight="1">
      <c r="A127" s="3"/>
      <c r="B127" s="2" t="str">
        <f t="shared" si="1"/>
        <v/>
      </c>
      <c r="E127" s="2"/>
      <c r="F127" s="2"/>
      <c r="G127" s="2"/>
      <c r="H127" s="2"/>
      <c r="I127" s="2"/>
      <c r="J127" s="2"/>
      <c r="K127" s="2" t="str">
        <f t="shared" si="2"/>
        <v/>
      </c>
      <c r="L127" s="2" t="str">
        <f t="shared" si="3"/>
        <v>No</v>
      </c>
      <c r="M127" s="2" t="str">
        <f>IF(K127="","",F127*VLOOKUP(E127,WEIGHTS!$A$2:$F$4,2,FALSE)+G127*VLOOKUP(E127,WEIGHTS!$A$2:$F$4,3,FALSE)+H127*VLOOKUP(E127,WEIGHTS!$A$2:$F$4,4,FALSE)+I127*VLOOKUP(E127,WEIGHTS!$A$2:$F$4,5,FALSE)+J127*VLOOKUP(E127,WEIGHTS!$A$2:$F$4,6,FALSE))</f>
        <v/>
      </c>
      <c r="N127" s="2" t="str">
        <f t="shared" si="4"/>
        <v/>
      </c>
    </row>
    <row r="128" ht="15.75" customHeight="1">
      <c r="A128" s="3"/>
      <c r="B128" s="2" t="str">
        <f t="shared" si="1"/>
        <v/>
      </c>
      <c r="E128" s="2"/>
      <c r="F128" s="2"/>
      <c r="G128" s="2"/>
      <c r="H128" s="2"/>
      <c r="I128" s="2"/>
      <c r="J128" s="2"/>
      <c r="K128" s="2" t="str">
        <f t="shared" si="2"/>
        <v/>
      </c>
      <c r="L128" s="2" t="str">
        <f t="shared" si="3"/>
        <v>No</v>
      </c>
      <c r="M128" s="2" t="str">
        <f>IF(K128="","",F128*VLOOKUP(E128,WEIGHTS!$A$2:$F$4,2,FALSE)+G128*VLOOKUP(E128,WEIGHTS!$A$2:$F$4,3,FALSE)+H128*VLOOKUP(E128,WEIGHTS!$A$2:$F$4,4,FALSE)+I128*VLOOKUP(E128,WEIGHTS!$A$2:$F$4,5,FALSE)+J128*VLOOKUP(E128,WEIGHTS!$A$2:$F$4,6,FALSE))</f>
        <v/>
      </c>
      <c r="N128" s="2" t="str">
        <f t="shared" si="4"/>
        <v/>
      </c>
    </row>
    <row r="129" ht="15.75" customHeight="1">
      <c r="A129" s="3"/>
      <c r="B129" s="2" t="str">
        <f t="shared" si="1"/>
        <v/>
      </c>
      <c r="E129" s="2"/>
      <c r="F129" s="2"/>
      <c r="G129" s="2"/>
      <c r="H129" s="2"/>
      <c r="I129" s="2"/>
      <c r="J129" s="2"/>
      <c r="K129" s="2" t="str">
        <f t="shared" si="2"/>
        <v/>
      </c>
      <c r="L129" s="2" t="str">
        <f t="shared" si="3"/>
        <v>No</v>
      </c>
      <c r="M129" s="2" t="str">
        <f>IF(K129="","",F129*VLOOKUP(E129,WEIGHTS!$A$2:$F$4,2,FALSE)+G129*VLOOKUP(E129,WEIGHTS!$A$2:$F$4,3,FALSE)+H129*VLOOKUP(E129,WEIGHTS!$A$2:$F$4,4,FALSE)+I129*VLOOKUP(E129,WEIGHTS!$A$2:$F$4,5,FALSE)+J129*VLOOKUP(E129,WEIGHTS!$A$2:$F$4,6,FALSE))</f>
        <v/>
      </c>
      <c r="N129" s="2" t="str">
        <f t="shared" si="4"/>
        <v/>
      </c>
    </row>
    <row r="130" ht="15.75" customHeight="1">
      <c r="A130" s="3"/>
      <c r="B130" s="2" t="str">
        <f t="shared" si="1"/>
        <v/>
      </c>
      <c r="E130" s="2"/>
      <c r="F130" s="2"/>
      <c r="G130" s="2"/>
      <c r="H130" s="2"/>
      <c r="I130" s="2"/>
      <c r="J130" s="2"/>
      <c r="K130" s="2" t="str">
        <f t="shared" si="2"/>
        <v/>
      </c>
      <c r="L130" s="2" t="str">
        <f t="shared" si="3"/>
        <v>No</v>
      </c>
      <c r="M130" s="2" t="str">
        <f>IF(K130="","",F130*VLOOKUP(E130,WEIGHTS!$A$2:$F$4,2,FALSE)+G130*VLOOKUP(E130,WEIGHTS!$A$2:$F$4,3,FALSE)+H130*VLOOKUP(E130,WEIGHTS!$A$2:$F$4,4,FALSE)+I130*VLOOKUP(E130,WEIGHTS!$A$2:$F$4,5,FALSE)+J130*VLOOKUP(E130,WEIGHTS!$A$2:$F$4,6,FALSE))</f>
        <v/>
      </c>
      <c r="N130" s="2" t="str">
        <f t="shared" si="4"/>
        <v/>
      </c>
    </row>
    <row r="131" ht="15.75" customHeight="1">
      <c r="A131" s="3"/>
      <c r="B131" s="2" t="str">
        <f t="shared" si="1"/>
        <v/>
      </c>
      <c r="E131" s="2"/>
      <c r="F131" s="2"/>
      <c r="G131" s="2"/>
      <c r="H131" s="2"/>
      <c r="I131" s="2"/>
      <c r="J131" s="2"/>
      <c r="K131" s="2" t="str">
        <f t="shared" si="2"/>
        <v/>
      </c>
      <c r="L131" s="2" t="str">
        <f t="shared" si="3"/>
        <v>No</v>
      </c>
      <c r="M131" s="2" t="str">
        <f>IF(K131="","",F131*VLOOKUP(E131,WEIGHTS!$A$2:$F$4,2,FALSE)+G131*VLOOKUP(E131,WEIGHTS!$A$2:$F$4,3,FALSE)+H131*VLOOKUP(E131,WEIGHTS!$A$2:$F$4,4,FALSE)+I131*VLOOKUP(E131,WEIGHTS!$A$2:$F$4,5,FALSE)+J131*VLOOKUP(E131,WEIGHTS!$A$2:$F$4,6,FALSE))</f>
        <v/>
      </c>
      <c r="N131" s="2" t="str">
        <f t="shared" si="4"/>
        <v/>
      </c>
    </row>
    <row r="132" ht="15.75" customHeight="1">
      <c r="A132" s="3"/>
      <c r="B132" s="2" t="str">
        <f t="shared" si="1"/>
        <v/>
      </c>
      <c r="E132" s="2"/>
      <c r="F132" s="2"/>
      <c r="G132" s="2"/>
      <c r="H132" s="2"/>
      <c r="I132" s="2"/>
      <c r="J132" s="2"/>
      <c r="K132" s="2" t="str">
        <f t="shared" si="2"/>
        <v/>
      </c>
      <c r="L132" s="2" t="str">
        <f t="shared" si="3"/>
        <v>No</v>
      </c>
      <c r="M132" s="2" t="str">
        <f>IF(K132="","",F132*VLOOKUP(E132,WEIGHTS!$A$2:$F$4,2,FALSE)+G132*VLOOKUP(E132,WEIGHTS!$A$2:$F$4,3,FALSE)+H132*VLOOKUP(E132,WEIGHTS!$A$2:$F$4,4,FALSE)+I132*VLOOKUP(E132,WEIGHTS!$A$2:$F$4,5,FALSE)+J132*VLOOKUP(E132,WEIGHTS!$A$2:$F$4,6,FALSE))</f>
        <v/>
      </c>
      <c r="N132" s="2" t="str">
        <f t="shared" si="4"/>
        <v/>
      </c>
    </row>
    <row r="133" ht="15.75" customHeight="1">
      <c r="A133" s="3"/>
      <c r="B133" s="2" t="str">
        <f t="shared" si="1"/>
        <v/>
      </c>
      <c r="E133" s="2"/>
      <c r="F133" s="2"/>
      <c r="G133" s="2"/>
      <c r="H133" s="2"/>
      <c r="I133" s="2"/>
      <c r="J133" s="2"/>
      <c r="K133" s="2" t="str">
        <f t="shared" si="2"/>
        <v/>
      </c>
      <c r="L133" s="2" t="str">
        <f t="shared" si="3"/>
        <v>No</v>
      </c>
      <c r="M133" s="2" t="str">
        <f>IF(K133="","",F133*VLOOKUP(E133,WEIGHTS!$A$2:$F$4,2,FALSE)+G133*VLOOKUP(E133,WEIGHTS!$A$2:$F$4,3,FALSE)+H133*VLOOKUP(E133,WEIGHTS!$A$2:$F$4,4,FALSE)+I133*VLOOKUP(E133,WEIGHTS!$A$2:$F$4,5,FALSE)+J133*VLOOKUP(E133,WEIGHTS!$A$2:$F$4,6,FALSE))</f>
        <v/>
      </c>
      <c r="N133" s="2" t="str">
        <f t="shared" si="4"/>
        <v/>
      </c>
    </row>
    <row r="134" ht="15.75" customHeight="1">
      <c r="A134" s="3"/>
      <c r="B134" s="2" t="str">
        <f t="shared" si="1"/>
        <v/>
      </c>
      <c r="E134" s="2"/>
      <c r="F134" s="2"/>
      <c r="G134" s="2"/>
      <c r="H134" s="2"/>
      <c r="I134" s="2"/>
      <c r="J134" s="2"/>
      <c r="K134" s="2" t="str">
        <f t="shared" si="2"/>
        <v/>
      </c>
      <c r="L134" s="2" t="str">
        <f t="shared" si="3"/>
        <v>No</v>
      </c>
      <c r="M134" s="2" t="str">
        <f>IF(K134="","",F134*VLOOKUP(E134,WEIGHTS!$A$2:$F$4,2,FALSE)+G134*VLOOKUP(E134,WEIGHTS!$A$2:$F$4,3,FALSE)+H134*VLOOKUP(E134,WEIGHTS!$A$2:$F$4,4,FALSE)+I134*VLOOKUP(E134,WEIGHTS!$A$2:$F$4,5,FALSE)+J134*VLOOKUP(E134,WEIGHTS!$A$2:$F$4,6,FALSE))</f>
        <v/>
      </c>
      <c r="N134" s="2" t="str">
        <f t="shared" si="4"/>
        <v/>
      </c>
    </row>
    <row r="135" ht="15.75" customHeight="1">
      <c r="A135" s="3"/>
      <c r="B135" s="2" t="str">
        <f t="shared" si="1"/>
        <v/>
      </c>
      <c r="E135" s="2"/>
      <c r="F135" s="2"/>
      <c r="G135" s="2"/>
      <c r="H135" s="2"/>
      <c r="I135" s="2"/>
      <c r="J135" s="2"/>
      <c r="K135" s="2" t="str">
        <f t="shared" si="2"/>
        <v/>
      </c>
      <c r="L135" s="2" t="str">
        <f t="shared" si="3"/>
        <v>No</v>
      </c>
      <c r="M135" s="2" t="str">
        <f>IF(K135="","",F135*VLOOKUP(E135,WEIGHTS!$A$2:$F$4,2,FALSE)+G135*VLOOKUP(E135,WEIGHTS!$A$2:$F$4,3,FALSE)+H135*VLOOKUP(E135,WEIGHTS!$A$2:$F$4,4,FALSE)+I135*VLOOKUP(E135,WEIGHTS!$A$2:$F$4,5,FALSE)+J135*VLOOKUP(E135,WEIGHTS!$A$2:$F$4,6,FALSE))</f>
        <v/>
      </c>
      <c r="N135" s="2" t="str">
        <f t="shared" si="4"/>
        <v/>
      </c>
    </row>
    <row r="136" ht="15.75" customHeight="1">
      <c r="A136" s="3"/>
      <c r="B136" s="2" t="str">
        <f t="shared" si="1"/>
        <v/>
      </c>
      <c r="E136" s="2"/>
      <c r="F136" s="2"/>
      <c r="G136" s="2"/>
      <c r="H136" s="2"/>
      <c r="I136" s="2"/>
      <c r="J136" s="2"/>
      <c r="K136" s="2" t="str">
        <f t="shared" si="2"/>
        <v/>
      </c>
      <c r="L136" s="2" t="str">
        <f t="shared" si="3"/>
        <v>No</v>
      </c>
      <c r="M136" s="2" t="str">
        <f>IF(K136="","",F136*VLOOKUP(E136,WEIGHTS!$A$2:$F$4,2,FALSE)+G136*VLOOKUP(E136,WEIGHTS!$A$2:$F$4,3,FALSE)+H136*VLOOKUP(E136,WEIGHTS!$A$2:$F$4,4,FALSE)+I136*VLOOKUP(E136,WEIGHTS!$A$2:$F$4,5,FALSE)+J136*VLOOKUP(E136,WEIGHTS!$A$2:$F$4,6,FALSE))</f>
        <v/>
      </c>
      <c r="N136" s="2" t="str">
        <f t="shared" si="4"/>
        <v/>
      </c>
    </row>
    <row r="137" ht="15.75" customHeight="1">
      <c r="A137" s="3"/>
      <c r="B137" s="2" t="str">
        <f t="shared" si="1"/>
        <v/>
      </c>
      <c r="E137" s="2"/>
      <c r="F137" s="2"/>
      <c r="G137" s="2"/>
      <c r="H137" s="2"/>
      <c r="I137" s="2"/>
      <c r="J137" s="2"/>
      <c r="K137" s="2" t="str">
        <f t="shared" si="2"/>
        <v/>
      </c>
      <c r="L137" s="2" t="str">
        <f t="shared" si="3"/>
        <v>No</v>
      </c>
      <c r="M137" s="2" t="str">
        <f>IF(K137="","",F137*VLOOKUP(E137,WEIGHTS!$A$2:$F$4,2,FALSE)+G137*VLOOKUP(E137,WEIGHTS!$A$2:$F$4,3,FALSE)+H137*VLOOKUP(E137,WEIGHTS!$A$2:$F$4,4,FALSE)+I137*VLOOKUP(E137,WEIGHTS!$A$2:$F$4,5,FALSE)+J137*VLOOKUP(E137,WEIGHTS!$A$2:$F$4,6,FALSE))</f>
        <v/>
      </c>
      <c r="N137" s="2" t="str">
        <f t="shared" si="4"/>
        <v/>
      </c>
    </row>
    <row r="138" ht="15.75" customHeight="1">
      <c r="A138" s="3"/>
      <c r="B138" s="2" t="str">
        <f t="shared" si="1"/>
        <v/>
      </c>
      <c r="E138" s="2"/>
      <c r="F138" s="2"/>
      <c r="G138" s="2"/>
      <c r="H138" s="2"/>
      <c r="I138" s="2"/>
      <c r="J138" s="2"/>
      <c r="K138" s="2" t="str">
        <f t="shared" si="2"/>
        <v/>
      </c>
      <c r="L138" s="2" t="str">
        <f t="shared" si="3"/>
        <v>No</v>
      </c>
      <c r="M138" s="2" t="str">
        <f>IF(K138="","",F138*VLOOKUP(E138,WEIGHTS!$A$2:$F$4,2,FALSE)+G138*VLOOKUP(E138,WEIGHTS!$A$2:$F$4,3,FALSE)+H138*VLOOKUP(E138,WEIGHTS!$A$2:$F$4,4,FALSE)+I138*VLOOKUP(E138,WEIGHTS!$A$2:$F$4,5,FALSE)+J138*VLOOKUP(E138,WEIGHTS!$A$2:$F$4,6,FALSE))</f>
        <v/>
      </c>
      <c r="N138" s="2" t="str">
        <f t="shared" si="4"/>
        <v/>
      </c>
    </row>
    <row r="139" ht="15.75" customHeight="1">
      <c r="A139" s="3"/>
      <c r="B139" s="2" t="str">
        <f t="shared" si="1"/>
        <v/>
      </c>
      <c r="E139" s="2"/>
      <c r="F139" s="2"/>
      <c r="G139" s="2"/>
      <c r="H139" s="2"/>
      <c r="I139" s="2"/>
      <c r="J139" s="2"/>
      <c r="K139" s="2" t="str">
        <f t="shared" si="2"/>
        <v/>
      </c>
      <c r="L139" s="2" t="str">
        <f t="shared" si="3"/>
        <v>No</v>
      </c>
      <c r="M139" s="2" t="str">
        <f>IF(K139="","",F139*VLOOKUP(E139,WEIGHTS!$A$2:$F$4,2,FALSE)+G139*VLOOKUP(E139,WEIGHTS!$A$2:$F$4,3,FALSE)+H139*VLOOKUP(E139,WEIGHTS!$A$2:$F$4,4,FALSE)+I139*VLOOKUP(E139,WEIGHTS!$A$2:$F$4,5,FALSE)+J139*VLOOKUP(E139,WEIGHTS!$A$2:$F$4,6,FALSE))</f>
        <v/>
      </c>
      <c r="N139" s="2" t="str">
        <f t="shared" si="4"/>
        <v/>
      </c>
    </row>
    <row r="140" ht="15.75" customHeight="1">
      <c r="A140" s="3"/>
      <c r="B140" s="2" t="str">
        <f t="shared" si="1"/>
        <v/>
      </c>
      <c r="E140" s="2"/>
      <c r="F140" s="2"/>
      <c r="G140" s="2"/>
      <c r="H140" s="2"/>
      <c r="I140" s="2"/>
      <c r="J140" s="2"/>
      <c r="K140" s="2" t="str">
        <f t="shared" si="2"/>
        <v/>
      </c>
      <c r="L140" s="2" t="str">
        <f t="shared" si="3"/>
        <v>No</v>
      </c>
      <c r="M140" s="2" t="str">
        <f>IF(K140="","",F140*VLOOKUP(E140,WEIGHTS!$A$2:$F$4,2,FALSE)+G140*VLOOKUP(E140,WEIGHTS!$A$2:$F$4,3,FALSE)+H140*VLOOKUP(E140,WEIGHTS!$A$2:$F$4,4,FALSE)+I140*VLOOKUP(E140,WEIGHTS!$A$2:$F$4,5,FALSE)+J140*VLOOKUP(E140,WEIGHTS!$A$2:$F$4,6,FALSE))</f>
        <v/>
      </c>
      <c r="N140" s="2" t="str">
        <f t="shared" si="4"/>
        <v/>
      </c>
    </row>
    <row r="141" ht="15.75" customHeight="1">
      <c r="A141" s="3"/>
      <c r="B141" s="2" t="str">
        <f t="shared" si="1"/>
        <v/>
      </c>
      <c r="E141" s="2"/>
      <c r="F141" s="2"/>
      <c r="G141" s="2"/>
      <c r="H141" s="2"/>
      <c r="I141" s="2"/>
      <c r="J141" s="2"/>
      <c r="K141" s="2" t="str">
        <f t="shared" si="2"/>
        <v/>
      </c>
      <c r="L141" s="2" t="str">
        <f t="shared" si="3"/>
        <v>No</v>
      </c>
      <c r="M141" s="2" t="str">
        <f>IF(K141="","",F141*VLOOKUP(E141,WEIGHTS!$A$2:$F$4,2,FALSE)+G141*VLOOKUP(E141,WEIGHTS!$A$2:$F$4,3,FALSE)+H141*VLOOKUP(E141,WEIGHTS!$A$2:$F$4,4,FALSE)+I141*VLOOKUP(E141,WEIGHTS!$A$2:$F$4,5,FALSE)+J141*VLOOKUP(E141,WEIGHTS!$A$2:$F$4,6,FALSE))</f>
        <v/>
      </c>
      <c r="N141" s="2" t="str">
        <f t="shared" si="4"/>
        <v/>
      </c>
    </row>
    <row r="142" ht="15.75" customHeight="1">
      <c r="A142" s="3"/>
      <c r="B142" s="2" t="str">
        <f t="shared" si="1"/>
        <v/>
      </c>
      <c r="E142" s="2"/>
      <c r="F142" s="2"/>
      <c r="G142" s="2"/>
      <c r="H142" s="2"/>
      <c r="I142" s="2"/>
      <c r="J142" s="2"/>
      <c r="K142" s="2" t="str">
        <f t="shared" si="2"/>
        <v/>
      </c>
      <c r="L142" s="2" t="str">
        <f t="shared" si="3"/>
        <v>No</v>
      </c>
      <c r="M142" s="2" t="str">
        <f>IF(K142="","",F142*VLOOKUP(E142,WEIGHTS!$A$2:$F$4,2,FALSE)+G142*VLOOKUP(E142,WEIGHTS!$A$2:$F$4,3,FALSE)+H142*VLOOKUP(E142,WEIGHTS!$A$2:$F$4,4,FALSE)+I142*VLOOKUP(E142,WEIGHTS!$A$2:$F$4,5,FALSE)+J142*VLOOKUP(E142,WEIGHTS!$A$2:$F$4,6,FALSE))</f>
        <v/>
      </c>
      <c r="N142" s="2" t="str">
        <f t="shared" si="4"/>
        <v/>
      </c>
    </row>
    <row r="143" ht="15.75" customHeight="1">
      <c r="A143" s="3"/>
      <c r="B143" s="2" t="str">
        <f t="shared" si="1"/>
        <v/>
      </c>
      <c r="E143" s="2"/>
      <c r="F143" s="2"/>
      <c r="G143" s="2"/>
      <c r="H143" s="2"/>
      <c r="I143" s="2"/>
      <c r="J143" s="2"/>
      <c r="K143" s="2" t="str">
        <f t="shared" si="2"/>
        <v/>
      </c>
      <c r="L143" s="2" t="str">
        <f t="shared" si="3"/>
        <v>No</v>
      </c>
      <c r="M143" s="2" t="str">
        <f>IF(K143="","",F143*VLOOKUP(E143,WEIGHTS!$A$2:$F$4,2,FALSE)+G143*VLOOKUP(E143,WEIGHTS!$A$2:$F$4,3,FALSE)+H143*VLOOKUP(E143,WEIGHTS!$A$2:$F$4,4,FALSE)+I143*VLOOKUP(E143,WEIGHTS!$A$2:$F$4,5,FALSE)+J143*VLOOKUP(E143,WEIGHTS!$A$2:$F$4,6,FALSE))</f>
        <v/>
      </c>
      <c r="N143" s="2" t="str">
        <f t="shared" si="4"/>
        <v/>
      </c>
    </row>
    <row r="144" ht="15.75" customHeight="1">
      <c r="A144" s="3"/>
      <c r="B144" s="2" t="str">
        <f t="shared" si="1"/>
        <v/>
      </c>
      <c r="E144" s="2"/>
      <c r="F144" s="2"/>
      <c r="G144" s="2"/>
      <c r="H144" s="2"/>
      <c r="I144" s="2"/>
      <c r="J144" s="2"/>
      <c r="K144" s="2" t="str">
        <f t="shared" si="2"/>
        <v/>
      </c>
      <c r="L144" s="2" t="str">
        <f t="shared" si="3"/>
        <v>No</v>
      </c>
      <c r="M144" s="2" t="str">
        <f>IF(K144="","",F144*VLOOKUP(E144,WEIGHTS!$A$2:$F$4,2,FALSE)+G144*VLOOKUP(E144,WEIGHTS!$A$2:$F$4,3,FALSE)+H144*VLOOKUP(E144,WEIGHTS!$A$2:$F$4,4,FALSE)+I144*VLOOKUP(E144,WEIGHTS!$A$2:$F$4,5,FALSE)+J144*VLOOKUP(E144,WEIGHTS!$A$2:$F$4,6,FALSE))</f>
        <v/>
      </c>
      <c r="N144" s="2" t="str">
        <f t="shared" si="4"/>
        <v/>
      </c>
    </row>
    <row r="145" ht="15.75" customHeight="1">
      <c r="A145" s="3"/>
      <c r="B145" s="2" t="str">
        <f t="shared" si="1"/>
        <v/>
      </c>
      <c r="E145" s="2"/>
      <c r="F145" s="2"/>
      <c r="G145" s="2"/>
      <c r="H145" s="2"/>
      <c r="I145" s="2"/>
      <c r="J145" s="2"/>
      <c r="K145" s="2" t="str">
        <f t="shared" si="2"/>
        <v/>
      </c>
      <c r="L145" s="2" t="str">
        <f t="shared" si="3"/>
        <v>No</v>
      </c>
      <c r="M145" s="2" t="str">
        <f>IF(K145="","",F145*VLOOKUP(E145,WEIGHTS!$A$2:$F$4,2,FALSE)+G145*VLOOKUP(E145,WEIGHTS!$A$2:$F$4,3,FALSE)+H145*VLOOKUP(E145,WEIGHTS!$A$2:$F$4,4,FALSE)+I145*VLOOKUP(E145,WEIGHTS!$A$2:$F$4,5,FALSE)+J145*VLOOKUP(E145,WEIGHTS!$A$2:$F$4,6,FALSE))</f>
        <v/>
      </c>
      <c r="N145" s="2" t="str">
        <f t="shared" si="4"/>
        <v/>
      </c>
    </row>
    <row r="146" ht="15.75" customHeight="1">
      <c r="A146" s="3"/>
      <c r="B146" s="2" t="str">
        <f t="shared" si="1"/>
        <v/>
      </c>
      <c r="E146" s="2"/>
      <c r="F146" s="2"/>
      <c r="G146" s="2"/>
      <c r="H146" s="2"/>
      <c r="I146" s="2"/>
      <c r="J146" s="2"/>
      <c r="K146" s="2" t="str">
        <f t="shared" si="2"/>
        <v/>
      </c>
      <c r="L146" s="2" t="str">
        <f t="shared" si="3"/>
        <v>No</v>
      </c>
      <c r="M146" s="2" t="str">
        <f>IF(K146="","",F146*VLOOKUP(E146,WEIGHTS!$A$2:$F$4,2,FALSE)+G146*VLOOKUP(E146,WEIGHTS!$A$2:$F$4,3,FALSE)+H146*VLOOKUP(E146,WEIGHTS!$A$2:$F$4,4,FALSE)+I146*VLOOKUP(E146,WEIGHTS!$A$2:$F$4,5,FALSE)+J146*VLOOKUP(E146,WEIGHTS!$A$2:$F$4,6,FALSE))</f>
        <v/>
      </c>
      <c r="N146" s="2" t="str">
        <f t="shared" si="4"/>
        <v/>
      </c>
    </row>
    <row r="147" ht="15.75" customHeight="1">
      <c r="A147" s="3"/>
      <c r="B147" s="2" t="str">
        <f t="shared" si="1"/>
        <v/>
      </c>
      <c r="E147" s="2"/>
      <c r="F147" s="2"/>
      <c r="G147" s="2"/>
      <c r="H147" s="2"/>
      <c r="I147" s="2"/>
      <c r="J147" s="2"/>
      <c r="K147" s="2" t="str">
        <f t="shared" si="2"/>
        <v/>
      </c>
      <c r="L147" s="2" t="str">
        <f t="shared" si="3"/>
        <v>No</v>
      </c>
      <c r="M147" s="2" t="str">
        <f>IF(K147="","",F147*VLOOKUP(E147,WEIGHTS!$A$2:$F$4,2,FALSE)+G147*VLOOKUP(E147,WEIGHTS!$A$2:$F$4,3,FALSE)+H147*VLOOKUP(E147,WEIGHTS!$A$2:$F$4,4,FALSE)+I147*VLOOKUP(E147,WEIGHTS!$A$2:$F$4,5,FALSE)+J147*VLOOKUP(E147,WEIGHTS!$A$2:$F$4,6,FALSE))</f>
        <v/>
      </c>
      <c r="N147" s="2" t="str">
        <f t="shared" si="4"/>
        <v/>
      </c>
    </row>
    <row r="148" ht="15.75" customHeight="1">
      <c r="A148" s="3"/>
      <c r="B148" s="2" t="str">
        <f t="shared" si="1"/>
        <v/>
      </c>
      <c r="E148" s="2"/>
      <c r="F148" s="2"/>
      <c r="G148" s="2"/>
      <c r="H148" s="2"/>
      <c r="I148" s="2"/>
      <c r="J148" s="2"/>
      <c r="K148" s="2" t="str">
        <f t="shared" si="2"/>
        <v/>
      </c>
      <c r="L148" s="2" t="str">
        <f t="shared" si="3"/>
        <v>No</v>
      </c>
      <c r="M148" s="2" t="str">
        <f>IF(K148="","",F148*VLOOKUP(E148,WEIGHTS!$A$2:$F$4,2,FALSE)+G148*VLOOKUP(E148,WEIGHTS!$A$2:$F$4,3,FALSE)+H148*VLOOKUP(E148,WEIGHTS!$A$2:$F$4,4,FALSE)+I148*VLOOKUP(E148,WEIGHTS!$A$2:$F$4,5,FALSE)+J148*VLOOKUP(E148,WEIGHTS!$A$2:$F$4,6,FALSE))</f>
        <v/>
      </c>
      <c r="N148" s="2" t="str">
        <f t="shared" si="4"/>
        <v/>
      </c>
    </row>
    <row r="149" ht="15.75" customHeight="1">
      <c r="A149" s="3"/>
      <c r="B149" s="2" t="str">
        <f t="shared" si="1"/>
        <v/>
      </c>
      <c r="E149" s="2"/>
      <c r="F149" s="2"/>
      <c r="G149" s="2"/>
      <c r="H149" s="2"/>
      <c r="I149" s="2"/>
      <c r="J149" s="2"/>
      <c r="K149" s="2" t="str">
        <f t="shared" si="2"/>
        <v/>
      </c>
      <c r="L149" s="2" t="str">
        <f t="shared" si="3"/>
        <v>No</v>
      </c>
      <c r="M149" s="2" t="str">
        <f>IF(K149="","",F149*VLOOKUP(E149,WEIGHTS!$A$2:$F$4,2,FALSE)+G149*VLOOKUP(E149,WEIGHTS!$A$2:$F$4,3,FALSE)+H149*VLOOKUP(E149,WEIGHTS!$A$2:$F$4,4,FALSE)+I149*VLOOKUP(E149,WEIGHTS!$A$2:$F$4,5,FALSE)+J149*VLOOKUP(E149,WEIGHTS!$A$2:$F$4,6,FALSE))</f>
        <v/>
      </c>
      <c r="N149" s="2" t="str">
        <f t="shared" si="4"/>
        <v/>
      </c>
    </row>
    <row r="150" ht="15.75" customHeight="1">
      <c r="A150" s="3"/>
      <c r="B150" s="2" t="str">
        <f t="shared" si="1"/>
        <v/>
      </c>
      <c r="E150" s="2"/>
      <c r="F150" s="2"/>
      <c r="G150" s="2"/>
      <c r="H150" s="2"/>
      <c r="I150" s="2"/>
      <c r="J150" s="2"/>
      <c r="K150" s="2" t="str">
        <f t="shared" si="2"/>
        <v/>
      </c>
      <c r="L150" s="2" t="str">
        <f t="shared" si="3"/>
        <v>No</v>
      </c>
      <c r="M150" s="2" t="str">
        <f>IF(K150="","",F150*VLOOKUP(E150,WEIGHTS!$A$2:$F$4,2,FALSE)+G150*VLOOKUP(E150,WEIGHTS!$A$2:$F$4,3,FALSE)+H150*VLOOKUP(E150,WEIGHTS!$A$2:$F$4,4,FALSE)+I150*VLOOKUP(E150,WEIGHTS!$A$2:$F$4,5,FALSE)+J150*VLOOKUP(E150,WEIGHTS!$A$2:$F$4,6,FALSE))</f>
        <v/>
      </c>
      <c r="N150" s="2" t="str">
        <f t="shared" si="4"/>
        <v/>
      </c>
    </row>
    <row r="151" ht="15.75" customHeight="1">
      <c r="A151" s="3"/>
      <c r="B151" s="2" t="str">
        <f t="shared" si="1"/>
        <v/>
      </c>
      <c r="E151" s="2"/>
      <c r="F151" s="2"/>
      <c r="G151" s="2"/>
      <c r="H151" s="2"/>
      <c r="I151" s="2"/>
      <c r="J151" s="2"/>
      <c r="K151" s="2" t="str">
        <f t="shared" si="2"/>
        <v/>
      </c>
      <c r="L151" s="2" t="str">
        <f t="shared" si="3"/>
        <v>No</v>
      </c>
      <c r="M151" s="2" t="str">
        <f>IF(K151="","",F151*VLOOKUP(E151,WEIGHTS!$A$2:$F$4,2,FALSE)+G151*VLOOKUP(E151,WEIGHTS!$A$2:$F$4,3,FALSE)+H151*VLOOKUP(E151,WEIGHTS!$A$2:$F$4,4,FALSE)+I151*VLOOKUP(E151,WEIGHTS!$A$2:$F$4,5,FALSE)+J151*VLOOKUP(E151,WEIGHTS!$A$2:$F$4,6,FALSE))</f>
        <v/>
      </c>
      <c r="N151" s="2" t="str">
        <f t="shared" si="4"/>
        <v/>
      </c>
    </row>
    <row r="152" ht="15.75" customHeight="1">
      <c r="A152" s="3"/>
      <c r="B152" s="2" t="str">
        <f t="shared" si="1"/>
        <v/>
      </c>
      <c r="E152" s="2"/>
      <c r="F152" s="2"/>
      <c r="G152" s="2"/>
      <c r="H152" s="2"/>
      <c r="I152" s="2"/>
      <c r="J152" s="2"/>
      <c r="K152" s="2" t="str">
        <f t="shared" si="2"/>
        <v/>
      </c>
      <c r="L152" s="2" t="str">
        <f t="shared" si="3"/>
        <v>No</v>
      </c>
      <c r="M152" s="2" t="str">
        <f>IF(K152="","",F152*VLOOKUP(E152,WEIGHTS!$A$2:$F$4,2,FALSE)+G152*VLOOKUP(E152,WEIGHTS!$A$2:$F$4,3,FALSE)+H152*VLOOKUP(E152,WEIGHTS!$A$2:$F$4,4,FALSE)+I152*VLOOKUP(E152,WEIGHTS!$A$2:$F$4,5,FALSE)+J152*VLOOKUP(E152,WEIGHTS!$A$2:$F$4,6,FALSE))</f>
        <v/>
      </c>
      <c r="N152" s="2" t="str">
        <f t="shared" si="4"/>
        <v/>
      </c>
    </row>
    <row r="153" ht="15.75" customHeight="1">
      <c r="A153" s="3"/>
      <c r="B153" s="2" t="str">
        <f t="shared" si="1"/>
        <v/>
      </c>
      <c r="E153" s="2"/>
      <c r="F153" s="2"/>
      <c r="G153" s="2"/>
      <c r="H153" s="2"/>
      <c r="I153" s="2"/>
      <c r="J153" s="2"/>
      <c r="K153" s="2" t="str">
        <f t="shared" si="2"/>
        <v/>
      </c>
      <c r="L153" s="2" t="str">
        <f t="shared" si="3"/>
        <v>No</v>
      </c>
      <c r="M153" s="2" t="str">
        <f>IF(K153="","",F153*VLOOKUP(E153,WEIGHTS!$A$2:$F$4,2,FALSE)+G153*VLOOKUP(E153,WEIGHTS!$A$2:$F$4,3,FALSE)+H153*VLOOKUP(E153,WEIGHTS!$A$2:$F$4,4,FALSE)+I153*VLOOKUP(E153,WEIGHTS!$A$2:$F$4,5,FALSE)+J153*VLOOKUP(E153,WEIGHTS!$A$2:$F$4,6,FALSE))</f>
        <v/>
      </c>
      <c r="N153" s="2" t="str">
        <f t="shared" si="4"/>
        <v/>
      </c>
    </row>
    <row r="154" ht="15.75" customHeight="1">
      <c r="A154" s="3"/>
      <c r="B154" s="2" t="str">
        <f t="shared" si="1"/>
        <v/>
      </c>
      <c r="E154" s="2"/>
      <c r="F154" s="2"/>
      <c r="G154" s="2"/>
      <c r="H154" s="2"/>
      <c r="I154" s="2"/>
      <c r="J154" s="2"/>
      <c r="K154" s="2" t="str">
        <f t="shared" si="2"/>
        <v/>
      </c>
      <c r="L154" s="2" t="str">
        <f t="shared" si="3"/>
        <v>No</v>
      </c>
      <c r="M154" s="2" t="str">
        <f>IF(K154="","",F154*VLOOKUP(E154,WEIGHTS!$A$2:$F$4,2,FALSE)+G154*VLOOKUP(E154,WEIGHTS!$A$2:$F$4,3,FALSE)+H154*VLOOKUP(E154,WEIGHTS!$A$2:$F$4,4,FALSE)+I154*VLOOKUP(E154,WEIGHTS!$A$2:$F$4,5,FALSE)+J154*VLOOKUP(E154,WEIGHTS!$A$2:$F$4,6,FALSE))</f>
        <v/>
      </c>
      <c r="N154" s="2" t="str">
        <f t="shared" si="4"/>
        <v/>
      </c>
    </row>
    <row r="155" ht="15.75" customHeight="1">
      <c r="A155" s="3"/>
      <c r="B155" s="2" t="str">
        <f t="shared" si="1"/>
        <v/>
      </c>
      <c r="E155" s="2"/>
      <c r="F155" s="2"/>
      <c r="G155" s="2"/>
      <c r="H155" s="2"/>
      <c r="I155" s="2"/>
      <c r="J155" s="2"/>
      <c r="K155" s="2" t="str">
        <f t="shared" si="2"/>
        <v/>
      </c>
      <c r="L155" s="2" t="str">
        <f t="shared" si="3"/>
        <v>No</v>
      </c>
      <c r="M155" s="2" t="str">
        <f>IF(K155="","",F155*VLOOKUP(E155,WEIGHTS!$A$2:$F$4,2,FALSE)+G155*VLOOKUP(E155,WEIGHTS!$A$2:$F$4,3,FALSE)+H155*VLOOKUP(E155,WEIGHTS!$A$2:$F$4,4,FALSE)+I155*VLOOKUP(E155,WEIGHTS!$A$2:$F$4,5,FALSE)+J155*VLOOKUP(E155,WEIGHTS!$A$2:$F$4,6,FALSE))</f>
        <v/>
      </c>
      <c r="N155" s="2" t="str">
        <f t="shared" si="4"/>
        <v/>
      </c>
    </row>
    <row r="156" ht="15.75" customHeight="1">
      <c r="A156" s="3"/>
      <c r="B156" s="2" t="str">
        <f t="shared" si="1"/>
        <v/>
      </c>
      <c r="E156" s="2"/>
      <c r="F156" s="2"/>
      <c r="G156" s="2"/>
      <c r="H156" s="2"/>
      <c r="I156" s="2"/>
      <c r="J156" s="2"/>
      <c r="K156" s="2" t="str">
        <f t="shared" si="2"/>
        <v/>
      </c>
      <c r="L156" s="2" t="str">
        <f t="shared" si="3"/>
        <v>No</v>
      </c>
      <c r="M156" s="2" t="str">
        <f>IF(K156="","",F156*VLOOKUP(E156,WEIGHTS!$A$2:$F$4,2,FALSE)+G156*VLOOKUP(E156,WEIGHTS!$A$2:$F$4,3,FALSE)+H156*VLOOKUP(E156,WEIGHTS!$A$2:$F$4,4,FALSE)+I156*VLOOKUP(E156,WEIGHTS!$A$2:$F$4,5,FALSE)+J156*VLOOKUP(E156,WEIGHTS!$A$2:$F$4,6,FALSE))</f>
        <v/>
      </c>
      <c r="N156" s="2" t="str">
        <f t="shared" si="4"/>
        <v/>
      </c>
    </row>
    <row r="157" ht="15.75" customHeight="1">
      <c r="A157" s="3"/>
      <c r="B157" s="2" t="str">
        <f t="shared" si="1"/>
        <v/>
      </c>
      <c r="E157" s="2"/>
      <c r="F157" s="2"/>
      <c r="G157" s="2"/>
      <c r="H157" s="2"/>
      <c r="I157" s="2"/>
      <c r="J157" s="2"/>
      <c r="K157" s="2" t="str">
        <f t="shared" si="2"/>
        <v/>
      </c>
      <c r="L157" s="2" t="str">
        <f t="shared" si="3"/>
        <v>No</v>
      </c>
      <c r="M157" s="2" t="str">
        <f>IF(K157="","",F157*VLOOKUP(E157,WEIGHTS!$A$2:$F$4,2,FALSE)+G157*VLOOKUP(E157,WEIGHTS!$A$2:$F$4,3,FALSE)+H157*VLOOKUP(E157,WEIGHTS!$A$2:$F$4,4,FALSE)+I157*VLOOKUP(E157,WEIGHTS!$A$2:$F$4,5,FALSE)+J157*VLOOKUP(E157,WEIGHTS!$A$2:$F$4,6,FALSE))</f>
        <v/>
      </c>
      <c r="N157" s="2" t="str">
        <f t="shared" si="4"/>
        <v/>
      </c>
    </row>
    <row r="158" ht="15.75" customHeight="1">
      <c r="A158" s="3"/>
      <c r="B158" s="2" t="str">
        <f t="shared" si="1"/>
        <v/>
      </c>
      <c r="E158" s="2"/>
      <c r="F158" s="2"/>
      <c r="G158" s="2"/>
      <c r="H158" s="2"/>
      <c r="I158" s="2"/>
      <c r="J158" s="2"/>
      <c r="K158" s="2" t="str">
        <f t="shared" si="2"/>
        <v/>
      </c>
      <c r="L158" s="2" t="str">
        <f t="shared" si="3"/>
        <v>No</v>
      </c>
      <c r="M158" s="2" t="str">
        <f>IF(K158="","",F158*VLOOKUP(E158,WEIGHTS!$A$2:$F$4,2,FALSE)+G158*VLOOKUP(E158,WEIGHTS!$A$2:$F$4,3,FALSE)+H158*VLOOKUP(E158,WEIGHTS!$A$2:$F$4,4,FALSE)+I158*VLOOKUP(E158,WEIGHTS!$A$2:$F$4,5,FALSE)+J158*VLOOKUP(E158,WEIGHTS!$A$2:$F$4,6,FALSE))</f>
        <v/>
      </c>
      <c r="N158" s="2" t="str">
        <f t="shared" si="4"/>
        <v/>
      </c>
    </row>
    <row r="159" ht="15.75" customHeight="1">
      <c r="A159" s="3"/>
      <c r="B159" s="2" t="str">
        <f t="shared" si="1"/>
        <v/>
      </c>
      <c r="E159" s="2"/>
      <c r="F159" s="2"/>
      <c r="G159" s="2"/>
      <c r="H159" s="2"/>
      <c r="I159" s="2"/>
      <c r="J159" s="2"/>
      <c r="K159" s="2" t="str">
        <f t="shared" si="2"/>
        <v/>
      </c>
      <c r="L159" s="2" t="str">
        <f t="shared" si="3"/>
        <v>No</v>
      </c>
      <c r="M159" s="2" t="str">
        <f>IF(K159="","",F159*VLOOKUP(E159,WEIGHTS!$A$2:$F$4,2,FALSE)+G159*VLOOKUP(E159,WEIGHTS!$A$2:$F$4,3,FALSE)+H159*VLOOKUP(E159,WEIGHTS!$A$2:$F$4,4,FALSE)+I159*VLOOKUP(E159,WEIGHTS!$A$2:$F$4,5,FALSE)+J159*VLOOKUP(E159,WEIGHTS!$A$2:$F$4,6,FALSE))</f>
        <v/>
      </c>
      <c r="N159" s="2" t="str">
        <f t="shared" si="4"/>
        <v/>
      </c>
    </row>
    <row r="160" ht="15.75" customHeight="1">
      <c r="A160" s="3"/>
      <c r="B160" s="2" t="str">
        <f t="shared" si="1"/>
        <v/>
      </c>
      <c r="E160" s="2"/>
      <c r="F160" s="2"/>
      <c r="G160" s="2"/>
      <c r="H160" s="2"/>
      <c r="I160" s="2"/>
      <c r="J160" s="2"/>
      <c r="K160" s="2" t="str">
        <f t="shared" si="2"/>
        <v/>
      </c>
      <c r="L160" s="2" t="str">
        <f t="shared" si="3"/>
        <v>No</v>
      </c>
      <c r="M160" s="2" t="str">
        <f>IF(K160="","",F160*VLOOKUP(E160,WEIGHTS!$A$2:$F$4,2,FALSE)+G160*VLOOKUP(E160,WEIGHTS!$A$2:$F$4,3,FALSE)+H160*VLOOKUP(E160,WEIGHTS!$A$2:$F$4,4,FALSE)+I160*VLOOKUP(E160,WEIGHTS!$A$2:$F$4,5,FALSE)+J160*VLOOKUP(E160,WEIGHTS!$A$2:$F$4,6,FALSE))</f>
        <v/>
      </c>
      <c r="N160" s="2" t="str">
        <f t="shared" si="4"/>
        <v/>
      </c>
    </row>
    <row r="161" ht="15.75" customHeight="1">
      <c r="A161" s="3"/>
      <c r="B161" s="2" t="str">
        <f t="shared" si="1"/>
        <v/>
      </c>
      <c r="E161" s="2"/>
      <c r="F161" s="2"/>
      <c r="G161" s="2"/>
      <c r="H161" s="2"/>
      <c r="I161" s="2"/>
      <c r="J161" s="2"/>
      <c r="K161" s="2" t="str">
        <f t="shared" si="2"/>
        <v/>
      </c>
      <c r="L161" s="2" t="str">
        <f t="shared" si="3"/>
        <v>No</v>
      </c>
      <c r="M161" s="2" t="str">
        <f>IF(K161="","",F161*VLOOKUP(E161,WEIGHTS!$A$2:$F$4,2,FALSE)+G161*VLOOKUP(E161,WEIGHTS!$A$2:$F$4,3,FALSE)+H161*VLOOKUP(E161,WEIGHTS!$A$2:$F$4,4,FALSE)+I161*VLOOKUP(E161,WEIGHTS!$A$2:$F$4,5,FALSE)+J161*VLOOKUP(E161,WEIGHTS!$A$2:$F$4,6,FALSE))</f>
        <v/>
      </c>
      <c r="N161" s="2" t="str">
        <f t="shared" si="4"/>
        <v/>
      </c>
    </row>
    <row r="162" ht="15.75" customHeight="1">
      <c r="A162" s="3"/>
      <c r="B162" s="2" t="str">
        <f t="shared" si="1"/>
        <v/>
      </c>
      <c r="E162" s="2"/>
      <c r="F162" s="2"/>
      <c r="G162" s="2"/>
      <c r="H162" s="2"/>
      <c r="I162" s="2"/>
      <c r="J162" s="2"/>
      <c r="K162" s="2" t="str">
        <f t="shared" si="2"/>
        <v/>
      </c>
      <c r="L162" s="2" t="str">
        <f t="shared" si="3"/>
        <v>No</v>
      </c>
      <c r="M162" s="2" t="str">
        <f>IF(K162="","",F162*VLOOKUP(E162,WEIGHTS!$A$2:$F$4,2,FALSE)+G162*VLOOKUP(E162,WEIGHTS!$A$2:$F$4,3,FALSE)+H162*VLOOKUP(E162,WEIGHTS!$A$2:$F$4,4,FALSE)+I162*VLOOKUP(E162,WEIGHTS!$A$2:$F$4,5,FALSE)+J162*VLOOKUP(E162,WEIGHTS!$A$2:$F$4,6,FALSE))</f>
        <v/>
      </c>
      <c r="N162" s="2" t="str">
        <f t="shared" si="4"/>
        <v/>
      </c>
    </row>
    <row r="163" ht="15.75" customHeight="1">
      <c r="A163" s="3"/>
      <c r="B163" s="2" t="str">
        <f t="shared" si="1"/>
        <v/>
      </c>
      <c r="E163" s="2"/>
      <c r="F163" s="2"/>
      <c r="G163" s="2"/>
      <c r="H163" s="2"/>
      <c r="I163" s="2"/>
      <c r="J163" s="2"/>
      <c r="K163" s="2" t="str">
        <f t="shared" si="2"/>
        <v/>
      </c>
      <c r="L163" s="2" t="str">
        <f t="shared" si="3"/>
        <v>No</v>
      </c>
      <c r="M163" s="2" t="str">
        <f>IF(K163="","",F163*VLOOKUP(E163,WEIGHTS!$A$2:$F$4,2,FALSE)+G163*VLOOKUP(E163,WEIGHTS!$A$2:$F$4,3,FALSE)+H163*VLOOKUP(E163,WEIGHTS!$A$2:$F$4,4,FALSE)+I163*VLOOKUP(E163,WEIGHTS!$A$2:$F$4,5,FALSE)+J163*VLOOKUP(E163,WEIGHTS!$A$2:$F$4,6,FALSE))</f>
        <v/>
      </c>
      <c r="N163" s="2" t="str">
        <f t="shared" si="4"/>
        <v/>
      </c>
    </row>
    <row r="164" ht="15.75" customHeight="1">
      <c r="A164" s="3"/>
      <c r="B164" s="2" t="str">
        <f t="shared" si="1"/>
        <v/>
      </c>
      <c r="E164" s="2"/>
      <c r="F164" s="2"/>
      <c r="G164" s="2"/>
      <c r="H164" s="2"/>
      <c r="I164" s="2"/>
      <c r="J164" s="2"/>
      <c r="K164" s="2" t="str">
        <f t="shared" si="2"/>
        <v/>
      </c>
      <c r="L164" s="2" t="str">
        <f t="shared" si="3"/>
        <v>No</v>
      </c>
      <c r="M164" s="2" t="str">
        <f>IF(K164="","",F164*VLOOKUP(E164,WEIGHTS!$A$2:$F$4,2,FALSE)+G164*VLOOKUP(E164,WEIGHTS!$A$2:$F$4,3,FALSE)+H164*VLOOKUP(E164,WEIGHTS!$A$2:$F$4,4,FALSE)+I164*VLOOKUP(E164,WEIGHTS!$A$2:$F$4,5,FALSE)+J164*VLOOKUP(E164,WEIGHTS!$A$2:$F$4,6,FALSE))</f>
        <v/>
      </c>
      <c r="N164" s="2" t="str">
        <f t="shared" si="4"/>
        <v/>
      </c>
    </row>
    <row r="165" ht="15.75" customHeight="1">
      <c r="A165" s="3"/>
      <c r="B165" s="2" t="str">
        <f t="shared" si="1"/>
        <v/>
      </c>
      <c r="E165" s="2"/>
      <c r="F165" s="2"/>
      <c r="G165" s="2"/>
      <c r="H165" s="2"/>
      <c r="I165" s="2"/>
      <c r="J165" s="2"/>
      <c r="K165" s="2" t="str">
        <f t="shared" si="2"/>
        <v/>
      </c>
      <c r="L165" s="2" t="str">
        <f t="shared" si="3"/>
        <v>No</v>
      </c>
      <c r="M165" s="2" t="str">
        <f>IF(K165="","",F165*VLOOKUP(E165,WEIGHTS!$A$2:$F$4,2,FALSE)+G165*VLOOKUP(E165,WEIGHTS!$A$2:$F$4,3,FALSE)+H165*VLOOKUP(E165,WEIGHTS!$A$2:$F$4,4,FALSE)+I165*VLOOKUP(E165,WEIGHTS!$A$2:$F$4,5,FALSE)+J165*VLOOKUP(E165,WEIGHTS!$A$2:$F$4,6,FALSE))</f>
        <v/>
      </c>
      <c r="N165" s="2" t="str">
        <f t="shared" si="4"/>
        <v/>
      </c>
    </row>
    <row r="166" ht="15.75" customHeight="1">
      <c r="A166" s="3"/>
      <c r="B166" s="2" t="str">
        <f t="shared" si="1"/>
        <v/>
      </c>
      <c r="E166" s="2"/>
      <c r="F166" s="2"/>
      <c r="G166" s="2"/>
      <c r="H166" s="2"/>
      <c r="I166" s="2"/>
      <c r="J166" s="2"/>
      <c r="K166" s="2" t="str">
        <f t="shared" si="2"/>
        <v/>
      </c>
      <c r="L166" s="2" t="str">
        <f t="shared" si="3"/>
        <v>No</v>
      </c>
      <c r="M166" s="2" t="str">
        <f>IF(K166="","",F166*VLOOKUP(E166,WEIGHTS!$A$2:$F$4,2,FALSE)+G166*VLOOKUP(E166,WEIGHTS!$A$2:$F$4,3,FALSE)+H166*VLOOKUP(E166,WEIGHTS!$A$2:$F$4,4,FALSE)+I166*VLOOKUP(E166,WEIGHTS!$A$2:$F$4,5,FALSE)+J166*VLOOKUP(E166,WEIGHTS!$A$2:$F$4,6,FALSE))</f>
        <v/>
      </c>
      <c r="N166" s="2" t="str">
        <f t="shared" si="4"/>
        <v/>
      </c>
    </row>
    <row r="167" ht="15.75" customHeight="1">
      <c r="A167" s="3"/>
      <c r="B167" s="2" t="str">
        <f t="shared" si="1"/>
        <v/>
      </c>
      <c r="E167" s="2"/>
      <c r="F167" s="2"/>
      <c r="G167" s="2"/>
      <c r="H167" s="2"/>
      <c r="I167" s="2"/>
      <c r="J167" s="2"/>
      <c r="K167" s="2" t="str">
        <f t="shared" si="2"/>
        <v/>
      </c>
      <c r="L167" s="2" t="str">
        <f t="shared" si="3"/>
        <v>No</v>
      </c>
      <c r="M167" s="2" t="str">
        <f>IF(K167="","",F167*VLOOKUP(E167,WEIGHTS!$A$2:$F$4,2,FALSE)+G167*VLOOKUP(E167,WEIGHTS!$A$2:$F$4,3,FALSE)+H167*VLOOKUP(E167,WEIGHTS!$A$2:$F$4,4,FALSE)+I167*VLOOKUP(E167,WEIGHTS!$A$2:$F$4,5,FALSE)+J167*VLOOKUP(E167,WEIGHTS!$A$2:$F$4,6,FALSE))</f>
        <v/>
      </c>
      <c r="N167" s="2" t="str">
        <f t="shared" si="4"/>
        <v/>
      </c>
    </row>
    <row r="168" ht="15.75" customHeight="1">
      <c r="A168" s="3"/>
      <c r="B168" s="2" t="str">
        <f t="shared" si="1"/>
        <v/>
      </c>
      <c r="E168" s="2"/>
      <c r="F168" s="2"/>
      <c r="G168" s="2"/>
      <c r="H168" s="2"/>
      <c r="I168" s="2"/>
      <c r="J168" s="2"/>
      <c r="K168" s="2" t="str">
        <f t="shared" si="2"/>
        <v/>
      </c>
      <c r="L168" s="2" t="str">
        <f t="shared" si="3"/>
        <v>No</v>
      </c>
      <c r="M168" s="2" t="str">
        <f>IF(K168="","",F168*VLOOKUP(E168,WEIGHTS!$A$2:$F$4,2,FALSE)+G168*VLOOKUP(E168,WEIGHTS!$A$2:$F$4,3,FALSE)+H168*VLOOKUP(E168,WEIGHTS!$A$2:$F$4,4,FALSE)+I168*VLOOKUP(E168,WEIGHTS!$A$2:$F$4,5,FALSE)+J168*VLOOKUP(E168,WEIGHTS!$A$2:$F$4,6,FALSE))</f>
        <v/>
      </c>
      <c r="N168" s="2" t="str">
        <f t="shared" si="4"/>
        <v/>
      </c>
    </row>
    <row r="169" ht="15.75" customHeight="1">
      <c r="A169" s="3"/>
      <c r="B169" s="2" t="str">
        <f t="shared" si="1"/>
        <v/>
      </c>
      <c r="E169" s="2"/>
      <c r="F169" s="2"/>
      <c r="G169" s="2"/>
      <c r="H169" s="2"/>
      <c r="I169" s="2"/>
      <c r="J169" s="2"/>
      <c r="K169" s="2" t="str">
        <f t="shared" si="2"/>
        <v/>
      </c>
      <c r="L169" s="2" t="str">
        <f t="shared" si="3"/>
        <v>No</v>
      </c>
      <c r="M169" s="2" t="str">
        <f>IF(K169="","",F169*VLOOKUP(E169,WEIGHTS!$A$2:$F$4,2,FALSE)+G169*VLOOKUP(E169,WEIGHTS!$A$2:$F$4,3,FALSE)+H169*VLOOKUP(E169,WEIGHTS!$A$2:$F$4,4,FALSE)+I169*VLOOKUP(E169,WEIGHTS!$A$2:$F$4,5,FALSE)+J169*VLOOKUP(E169,WEIGHTS!$A$2:$F$4,6,FALSE))</f>
        <v/>
      </c>
      <c r="N169" s="2" t="str">
        <f t="shared" si="4"/>
        <v/>
      </c>
    </row>
    <row r="170" ht="15.75" customHeight="1">
      <c r="A170" s="3"/>
      <c r="B170" s="2" t="str">
        <f t="shared" si="1"/>
        <v/>
      </c>
      <c r="E170" s="2"/>
      <c r="F170" s="2"/>
      <c r="G170" s="2"/>
      <c r="H170" s="2"/>
      <c r="I170" s="2"/>
      <c r="J170" s="2"/>
      <c r="K170" s="2" t="str">
        <f t="shared" si="2"/>
        <v/>
      </c>
      <c r="L170" s="2" t="str">
        <f t="shared" si="3"/>
        <v>No</v>
      </c>
      <c r="M170" s="2" t="str">
        <f>IF(K170="","",F170*VLOOKUP(E170,WEIGHTS!$A$2:$F$4,2,FALSE)+G170*VLOOKUP(E170,WEIGHTS!$A$2:$F$4,3,FALSE)+H170*VLOOKUP(E170,WEIGHTS!$A$2:$F$4,4,FALSE)+I170*VLOOKUP(E170,WEIGHTS!$A$2:$F$4,5,FALSE)+J170*VLOOKUP(E170,WEIGHTS!$A$2:$F$4,6,FALSE))</f>
        <v/>
      </c>
      <c r="N170" s="2" t="str">
        <f t="shared" si="4"/>
        <v/>
      </c>
    </row>
    <row r="171" ht="15.75" customHeight="1">
      <c r="A171" s="3"/>
      <c r="B171" s="2" t="str">
        <f t="shared" si="1"/>
        <v/>
      </c>
      <c r="E171" s="2"/>
      <c r="F171" s="2"/>
      <c r="G171" s="2"/>
      <c r="H171" s="2"/>
      <c r="I171" s="2"/>
      <c r="J171" s="2"/>
      <c r="K171" s="2" t="str">
        <f t="shared" si="2"/>
        <v/>
      </c>
      <c r="L171" s="2" t="str">
        <f t="shared" si="3"/>
        <v>No</v>
      </c>
      <c r="M171" s="2" t="str">
        <f>IF(K171="","",F171*VLOOKUP(E171,WEIGHTS!$A$2:$F$4,2,FALSE)+G171*VLOOKUP(E171,WEIGHTS!$A$2:$F$4,3,FALSE)+H171*VLOOKUP(E171,WEIGHTS!$A$2:$F$4,4,FALSE)+I171*VLOOKUP(E171,WEIGHTS!$A$2:$F$4,5,FALSE)+J171*VLOOKUP(E171,WEIGHTS!$A$2:$F$4,6,FALSE))</f>
        <v/>
      </c>
      <c r="N171" s="2" t="str">
        <f t="shared" si="4"/>
        <v/>
      </c>
    </row>
    <row r="172" ht="15.75" customHeight="1">
      <c r="A172" s="3"/>
      <c r="B172" s="2" t="str">
        <f t="shared" si="1"/>
        <v/>
      </c>
      <c r="E172" s="2"/>
      <c r="F172" s="2"/>
      <c r="G172" s="2"/>
      <c r="H172" s="2"/>
      <c r="I172" s="2"/>
      <c r="J172" s="2"/>
      <c r="K172" s="2" t="str">
        <f t="shared" si="2"/>
        <v/>
      </c>
      <c r="L172" s="2" t="str">
        <f t="shared" si="3"/>
        <v>No</v>
      </c>
      <c r="M172" s="2" t="str">
        <f>IF(K172="","",F172*VLOOKUP(E172,WEIGHTS!$A$2:$F$4,2,FALSE)+G172*VLOOKUP(E172,WEIGHTS!$A$2:$F$4,3,FALSE)+H172*VLOOKUP(E172,WEIGHTS!$A$2:$F$4,4,FALSE)+I172*VLOOKUP(E172,WEIGHTS!$A$2:$F$4,5,FALSE)+J172*VLOOKUP(E172,WEIGHTS!$A$2:$F$4,6,FALSE))</f>
        <v/>
      </c>
      <c r="N172" s="2" t="str">
        <f t="shared" si="4"/>
        <v/>
      </c>
    </row>
    <row r="173" ht="15.75" customHeight="1">
      <c r="A173" s="3"/>
      <c r="B173" s="2" t="str">
        <f t="shared" si="1"/>
        <v/>
      </c>
      <c r="E173" s="2"/>
      <c r="F173" s="2"/>
      <c r="G173" s="2"/>
      <c r="H173" s="2"/>
      <c r="I173" s="2"/>
      <c r="J173" s="2"/>
      <c r="K173" s="2" t="str">
        <f t="shared" si="2"/>
        <v/>
      </c>
      <c r="L173" s="2" t="str">
        <f t="shared" si="3"/>
        <v>No</v>
      </c>
      <c r="M173" s="2" t="str">
        <f>IF(K173="","",F173*VLOOKUP(E173,WEIGHTS!$A$2:$F$4,2,FALSE)+G173*VLOOKUP(E173,WEIGHTS!$A$2:$F$4,3,FALSE)+H173*VLOOKUP(E173,WEIGHTS!$A$2:$F$4,4,FALSE)+I173*VLOOKUP(E173,WEIGHTS!$A$2:$F$4,5,FALSE)+J173*VLOOKUP(E173,WEIGHTS!$A$2:$F$4,6,FALSE))</f>
        <v/>
      </c>
      <c r="N173" s="2" t="str">
        <f t="shared" si="4"/>
        <v/>
      </c>
    </row>
    <row r="174" ht="15.75" customHeight="1">
      <c r="A174" s="3"/>
      <c r="B174" s="2" t="str">
        <f t="shared" si="1"/>
        <v/>
      </c>
      <c r="E174" s="2"/>
      <c r="F174" s="2"/>
      <c r="G174" s="2"/>
      <c r="H174" s="2"/>
      <c r="I174" s="2"/>
      <c r="J174" s="2"/>
      <c r="K174" s="2" t="str">
        <f t="shared" si="2"/>
        <v/>
      </c>
      <c r="L174" s="2" t="str">
        <f t="shared" si="3"/>
        <v>No</v>
      </c>
      <c r="M174" s="2" t="str">
        <f>IF(K174="","",F174*VLOOKUP(E174,WEIGHTS!$A$2:$F$4,2,FALSE)+G174*VLOOKUP(E174,WEIGHTS!$A$2:$F$4,3,FALSE)+H174*VLOOKUP(E174,WEIGHTS!$A$2:$F$4,4,FALSE)+I174*VLOOKUP(E174,WEIGHTS!$A$2:$F$4,5,FALSE)+J174*VLOOKUP(E174,WEIGHTS!$A$2:$F$4,6,FALSE))</f>
        <v/>
      </c>
      <c r="N174" s="2" t="str">
        <f t="shared" si="4"/>
        <v/>
      </c>
    </row>
    <row r="175" ht="15.75" customHeight="1">
      <c r="A175" s="3"/>
      <c r="B175" s="2" t="str">
        <f t="shared" si="1"/>
        <v/>
      </c>
      <c r="E175" s="2"/>
      <c r="F175" s="2"/>
      <c r="G175" s="2"/>
      <c r="H175" s="2"/>
      <c r="I175" s="2"/>
      <c r="J175" s="2"/>
      <c r="K175" s="2" t="str">
        <f t="shared" si="2"/>
        <v/>
      </c>
      <c r="L175" s="2" t="str">
        <f t="shared" si="3"/>
        <v>No</v>
      </c>
      <c r="M175" s="2" t="str">
        <f>IF(K175="","",F175*VLOOKUP(E175,WEIGHTS!$A$2:$F$4,2,FALSE)+G175*VLOOKUP(E175,WEIGHTS!$A$2:$F$4,3,FALSE)+H175*VLOOKUP(E175,WEIGHTS!$A$2:$F$4,4,FALSE)+I175*VLOOKUP(E175,WEIGHTS!$A$2:$F$4,5,FALSE)+J175*VLOOKUP(E175,WEIGHTS!$A$2:$F$4,6,FALSE))</f>
        <v/>
      </c>
      <c r="N175" s="2" t="str">
        <f t="shared" si="4"/>
        <v/>
      </c>
    </row>
    <row r="176" ht="15.75" customHeight="1">
      <c r="A176" s="3"/>
      <c r="B176" s="2" t="str">
        <f t="shared" si="1"/>
        <v/>
      </c>
      <c r="E176" s="2"/>
      <c r="F176" s="2"/>
      <c r="G176" s="2"/>
      <c r="H176" s="2"/>
      <c r="I176" s="2"/>
      <c r="J176" s="2"/>
      <c r="K176" s="2" t="str">
        <f t="shared" si="2"/>
        <v/>
      </c>
      <c r="L176" s="2" t="str">
        <f t="shared" si="3"/>
        <v>No</v>
      </c>
      <c r="M176" s="2" t="str">
        <f>IF(K176="","",F176*VLOOKUP(E176,WEIGHTS!$A$2:$F$4,2,FALSE)+G176*VLOOKUP(E176,WEIGHTS!$A$2:$F$4,3,FALSE)+H176*VLOOKUP(E176,WEIGHTS!$A$2:$F$4,4,FALSE)+I176*VLOOKUP(E176,WEIGHTS!$A$2:$F$4,5,FALSE)+J176*VLOOKUP(E176,WEIGHTS!$A$2:$F$4,6,FALSE))</f>
        <v/>
      </c>
      <c r="N176" s="2" t="str">
        <f t="shared" si="4"/>
        <v/>
      </c>
    </row>
    <row r="177" ht="15.75" customHeight="1">
      <c r="A177" s="3"/>
      <c r="B177" s="2" t="str">
        <f t="shared" si="1"/>
        <v/>
      </c>
      <c r="E177" s="2"/>
      <c r="F177" s="2"/>
      <c r="G177" s="2"/>
      <c r="H177" s="2"/>
      <c r="I177" s="2"/>
      <c r="J177" s="2"/>
      <c r="K177" s="2" t="str">
        <f t="shared" si="2"/>
        <v/>
      </c>
      <c r="L177" s="2" t="str">
        <f t="shared" si="3"/>
        <v>No</v>
      </c>
      <c r="M177" s="2" t="str">
        <f>IF(K177="","",F177*VLOOKUP(E177,WEIGHTS!$A$2:$F$4,2,FALSE)+G177*VLOOKUP(E177,WEIGHTS!$A$2:$F$4,3,FALSE)+H177*VLOOKUP(E177,WEIGHTS!$A$2:$F$4,4,FALSE)+I177*VLOOKUP(E177,WEIGHTS!$A$2:$F$4,5,FALSE)+J177*VLOOKUP(E177,WEIGHTS!$A$2:$F$4,6,FALSE))</f>
        <v/>
      </c>
      <c r="N177" s="2" t="str">
        <f t="shared" si="4"/>
        <v/>
      </c>
    </row>
    <row r="178" ht="15.75" customHeight="1">
      <c r="A178" s="3"/>
      <c r="B178" s="2" t="str">
        <f t="shared" si="1"/>
        <v/>
      </c>
      <c r="E178" s="2"/>
      <c r="F178" s="2"/>
      <c r="G178" s="2"/>
      <c r="H178" s="2"/>
      <c r="I178" s="2"/>
      <c r="J178" s="2"/>
      <c r="K178" s="2" t="str">
        <f t="shared" si="2"/>
        <v/>
      </c>
      <c r="L178" s="2" t="str">
        <f t="shared" si="3"/>
        <v>No</v>
      </c>
      <c r="M178" s="2" t="str">
        <f>IF(K178="","",F178*VLOOKUP(E178,WEIGHTS!$A$2:$F$4,2,FALSE)+G178*VLOOKUP(E178,WEIGHTS!$A$2:$F$4,3,FALSE)+H178*VLOOKUP(E178,WEIGHTS!$A$2:$F$4,4,FALSE)+I178*VLOOKUP(E178,WEIGHTS!$A$2:$F$4,5,FALSE)+J178*VLOOKUP(E178,WEIGHTS!$A$2:$F$4,6,FALSE))</f>
        <v/>
      </c>
      <c r="N178" s="2" t="str">
        <f t="shared" si="4"/>
        <v/>
      </c>
    </row>
    <row r="179" ht="15.75" customHeight="1">
      <c r="A179" s="3"/>
      <c r="B179" s="2" t="str">
        <f t="shared" si="1"/>
        <v/>
      </c>
      <c r="E179" s="2"/>
      <c r="F179" s="2"/>
      <c r="G179" s="2"/>
      <c r="H179" s="2"/>
      <c r="I179" s="2"/>
      <c r="J179" s="2"/>
      <c r="K179" s="2" t="str">
        <f t="shared" si="2"/>
        <v/>
      </c>
      <c r="L179" s="2" t="str">
        <f t="shared" si="3"/>
        <v>No</v>
      </c>
      <c r="M179" s="2" t="str">
        <f>IF(K179="","",F179*VLOOKUP(E179,WEIGHTS!$A$2:$F$4,2,FALSE)+G179*VLOOKUP(E179,WEIGHTS!$A$2:$F$4,3,FALSE)+H179*VLOOKUP(E179,WEIGHTS!$A$2:$F$4,4,FALSE)+I179*VLOOKUP(E179,WEIGHTS!$A$2:$F$4,5,FALSE)+J179*VLOOKUP(E179,WEIGHTS!$A$2:$F$4,6,FALSE))</f>
        <v/>
      </c>
      <c r="N179" s="2" t="str">
        <f t="shared" si="4"/>
        <v/>
      </c>
    </row>
    <row r="180" ht="15.75" customHeight="1">
      <c r="A180" s="3"/>
      <c r="B180" s="2" t="str">
        <f t="shared" si="1"/>
        <v/>
      </c>
      <c r="E180" s="2"/>
      <c r="F180" s="2"/>
      <c r="G180" s="2"/>
      <c r="H180" s="2"/>
      <c r="I180" s="2"/>
      <c r="J180" s="2"/>
      <c r="K180" s="2" t="str">
        <f t="shared" si="2"/>
        <v/>
      </c>
      <c r="L180" s="2" t="str">
        <f t="shared" si="3"/>
        <v>No</v>
      </c>
      <c r="M180" s="2" t="str">
        <f>IF(K180="","",F180*VLOOKUP(E180,WEIGHTS!$A$2:$F$4,2,FALSE)+G180*VLOOKUP(E180,WEIGHTS!$A$2:$F$4,3,FALSE)+H180*VLOOKUP(E180,WEIGHTS!$A$2:$F$4,4,FALSE)+I180*VLOOKUP(E180,WEIGHTS!$A$2:$F$4,5,FALSE)+J180*VLOOKUP(E180,WEIGHTS!$A$2:$F$4,6,FALSE))</f>
        <v/>
      </c>
      <c r="N180" s="2" t="str">
        <f t="shared" si="4"/>
        <v/>
      </c>
    </row>
    <row r="181" ht="15.75" customHeight="1">
      <c r="A181" s="3"/>
      <c r="B181" s="2" t="str">
        <f t="shared" si="1"/>
        <v/>
      </c>
      <c r="E181" s="2"/>
      <c r="F181" s="2"/>
      <c r="G181" s="2"/>
      <c r="H181" s="2"/>
      <c r="I181" s="2"/>
      <c r="J181" s="2"/>
      <c r="K181" s="2" t="str">
        <f t="shared" si="2"/>
        <v/>
      </c>
      <c r="L181" s="2" t="str">
        <f t="shared" si="3"/>
        <v>No</v>
      </c>
      <c r="M181" s="2" t="str">
        <f>IF(K181="","",F181*VLOOKUP(E181,WEIGHTS!$A$2:$F$4,2,FALSE)+G181*VLOOKUP(E181,WEIGHTS!$A$2:$F$4,3,FALSE)+H181*VLOOKUP(E181,WEIGHTS!$A$2:$F$4,4,FALSE)+I181*VLOOKUP(E181,WEIGHTS!$A$2:$F$4,5,FALSE)+J181*VLOOKUP(E181,WEIGHTS!$A$2:$F$4,6,FALSE))</f>
        <v/>
      </c>
      <c r="N181" s="2" t="str">
        <f t="shared" si="4"/>
        <v/>
      </c>
    </row>
    <row r="182" ht="15.75" customHeight="1">
      <c r="A182" s="3"/>
      <c r="B182" s="2" t="str">
        <f t="shared" si="1"/>
        <v/>
      </c>
      <c r="E182" s="2"/>
      <c r="F182" s="2"/>
      <c r="G182" s="2"/>
      <c r="H182" s="2"/>
      <c r="I182" s="2"/>
      <c r="J182" s="2"/>
      <c r="K182" s="2" t="str">
        <f t="shared" si="2"/>
        <v/>
      </c>
      <c r="L182" s="2" t="str">
        <f t="shared" si="3"/>
        <v>No</v>
      </c>
      <c r="M182" s="2" t="str">
        <f>IF(K182="","",F182*VLOOKUP(E182,WEIGHTS!$A$2:$F$4,2,FALSE)+G182*VLOOKUP(E182,WEIGHTS!$A$2:$F$4,3,FALSE)+H182*VLOOKUP(E182,WEIGHTS!$A$2:$F$4,4,FALSE)+I182*VLOOKUP(E182,WEIGHTS!$A$2:$F$4,5,FALSE)+J182*VLOOKUP(E182,WEIGHTS!$A$2:$F$4,6,FALSE))</f>
        <v/>
      </c>
      <c r="N182" s="2" t="str">
        <f t="shared" si="4"/>
        <v/>
      </c>
    </row>
    <row r="183" ht="15.75" customHeight="1">
      <c r="A183" s="3"/>
      <c r="B183" s="2" t="str">
        <f t="shared" si="1"/>
        <v/>
      </c>
      <c r="E183" s="2"/>
      <c r="F183" s="2"/>
      <c r="G183" s="2"/>
      <c r="H183" s="2"/>
      <c r="I183" s="2"/>
      <c r="J183" s="2"/>
      <c r="K183" s="2" t="str">
        <f t="shared" si="2"/>
        <v/>
      </c>
      <c r="L183" s="2" t="str">
        <f t="shared" si="3"/>
        <v>No</v>
      </c>
      <c r="M183" s="2" t="str">
        <f>IF(K183="","",F183*VLOOKUP(E183,WEIGHTS!$A$2:$F$4,2,FALSE)+G183*VLOOKUP(E183,WEIGHTS!$A$2:$F$4,3,FALSE)+H183*VLOOKUP(E183,WEIGHTS!$A$2:$F$4,4,FALSE)+I183*VLOOKUP(E183,WEIGHTS!$A$2:$F$4,5,FALSE)+J183*VLOOKUP(E183,WEIGHTS!$A$2:$F$4,6,FALSE))</f>
        <v/>
      </c>
      <c r="N183" s="2" t="str">
        <f t="shared" si="4"/>
        <v/>
      </c>
    </row>
    <row r="184" ht="15.75" customHeight="1">
      <c r="A184" s="3"/>
      <c r="B184" s="2" t="str">
        <f t="shared" si="1"/>
        <v/>
      </c>
      <c r="E184" s="2"/>
      <c r="F184" s="2"/>
      <c r="G184" s="2"/>
      <c r="H184" s="2"/>
      <c r="I184" s="2"/>
      <c r="J184" s="2"/>
      <c r="K184" s="2" t="str">
        <f t="shared" si="2"/>
        <v/>
      </c>
      <c r="L184" s="2" t="str">
        <f t="shared" si="3"/>
        <v>No</v>
      </c>
      <c r="M184" s="2" t="str">
        <f>IF(K184="","",F184*VLOOKUP(E184,WEIGHTS!$A$2:$F$4,2,FALSE)+G184*VLOOKUP(E184,WEIGHTS!$A$2:$F$4,3,FALSE)+H184*VLOOKUP(E184,WEIGHTS!$A$2:$F$4,4,FALSE)+I184*VLOOKUP(E184,WEIGHTS!$A$2:$F$4,5,FALSE)+J184*VLOOKUP(E184,WEIGHTS!$A$2:$F$4,6,FALSE))</f>
        <v/>
      </c>
      <c r="N184" s="2" t="str">
        <f t="shared" si="4"/>
        <v/>
      </c>
    </row>
    <row r="185" ht="15.75" customHeight="1">
      <c r="A185" s="3"/>
      <c r="B185" s="2" t="str">
        <f t="shared" si="1"/>
        <v/>
      </c>
      <c r="E185" s="2"/>
      <c r="F185" s="2"/>
      <c r="G185" s="2"/>
      <c r="H185" s="2"/>
      <c r="I185" s="2"/>
      <c r="J185" s="2"/>
      <c r="K185" s="2" t="str">
        <f t="shared" si="2"/>
        <v/>
      </c>
      <c r="L185" s="2" t="str">
        <f t="shared" si="3"/>
        <v>No</v>
      </c>
      <c r="M185" s="2" t="str">
        <f>IF(K185="","",F185*VLOOKUP(E185,WEIGHTS!$A$2:$F$4,2,FALSE)+G185*VLOOKUP(E185,WEIGHTS!$A$2:$F$4,3,FALSE)+H185*VLOOKUP(E185,WEIGHTS!$A$2:$F$4,4,FALSE)+I185*VLOOKUP(E185,WEIGHTS!$A$2:$F$4,5,FALSE)+J185*VLOOKUP(E185,WEIGHTS!$A$2:$F$4,6,FALSE))</f>
        <v/>
      </c>
      <c r="N185" s="2" t="str">
        <f t="shared" si="4"/>
        <v/>
      </c>
    </row>
    <row r="186" ht="15.75" customHeight="1">
      <c r="A186" s="3"/>
      <c r="B186" s="2" t="str">
        <f t="shared" si="1"/>
        <v/>
      </c>
      <c r="E186" s="2"/>
      <c r="F186" s="2"/>
      <c r="G186" s="2"/>
      <c r="H186" s="2"/>
      <c r="I186" s="2"/>
      <c r="J186" s="2"/>
      <c r="K186" s="2" t="str">
        <f t="shared" si="2"/>
        <v/>
      </c>
      <c r="L186" s="2" t="str">
        <f t="shared" si="3"/>
        <v>No</v>
      </c>
      <c r="M186" s="2" t="str">
        <f>IF(K186="","",F186*VLOOKUP(E186,WEIGHTS!$A$2:$F$4,2,FALSE)+G186*VLOOKUP(E186,WEIGHTS!$A$2:$F$4,3,FALSE)+H186*VLOOKUP(E186,WEIGHTS!$A$2:$F$4,4,FALSE)+I186*VLOOKUP(E186,WEIGHTS!$A$2:$F$4,5,FALSE)+J186*VLOOKUP(E186,WEIGHTS!$A$2:$F$4,6,FALSE))</f>
        <v/>
      </c>
      <c r="N186" s="2" t="str">
        <f t="shared" si="4"/>
        <v/>
      </c>
    </row>
    <row r="187" ht="15.75" customHeight="1">
      <c r="A187" s="3"/>
      <c r="B187" s="2" t="str">
        <f t="shared" si="1"/>
        <v/>
      </c>
      <c r="E187" s="2"/>
      <c r="F187" s="2"/>
      <c r="G187" s="2"/>
      <c r="H187" s="2"/>
      <c r="I187" s="2"/>
      <c r="J187" s="2"/>
      <c r="K187" s="2" t="str">
        <f t="shared" si="2"/>
        <v/>
      </c>
      <c r="L187" s="2" t="str">
        <f t="shared" si="3"/>
        <v>No</v>
      </c>
      <c r="M187" s="2" t="str">
        <f>IF(K187="","",F187*VLOOKUP(E187,WEIGHTS!$A$2:$F$4,2,FALSE)+G187*VLOOKUP(E187,WEIGHTS!$A$2:$F$4,3,FALSE)+H187*VLOOKUP(E187,WEIGHTS!$A$2:$F$4,4,FALSE)+I187*VLOOKUP(E187,WEIGHTS!$A$2:$F$4,5,FALSE)+J187*VLOOKUP(E187,WEIGHTS!$A$2:$F$4,6,FALSE))</f>
        <v/>
      </c>
      <c r="N187" s="2" t="str">
        <f t="shared" si="4"/>
        <v/>
      </c>
    </row>
    <row r="188" ht="15.75" customHeight="1">
      <c r="A188" s="3"/>
      <c r="B188" s="2" t="str">
        <f t="shared" si="1"/>
        <v/>
      </c>
      <c r="E188" s="2"/>
      <c r="F188" s="2"/>
      <c r="G188" s="2"/>
      <c r="H188" s="2"/>
      <c r="I188" s="2"/>
      <c r="J188" s="2"/>
      <c r="K188" s="2" t="str">
        <f t="shared" si="2"/>
        <v/>
      </c>
      <c r="L188" s="2" t="str">
        <f t="shared" si="3"/>
        <v>No</v>
      </c>
      <c r="M188" s="2" t="str">
        <f>IF(K188="","",F188*VLOOKUP(E188,WEIGHTS!$A$2:$F$4,2,FALSE)+G188*VLOOKUP(E188,WEIGHTS!$A$2:$F$4,3,FALSE)+H188*VLOOKUP(E188,WEIGHTS!$A$2:$F$4,4,FALSE)+I188*VLOOKUP(E188,WEIGHTS!$A$2:$F$4,5,FALSE)+J188*VLOOKUP(E188,WEIGHTS!$A$2:$F$4,6,FALSE))</f>
        <v/>
      </c>
      <c r="N188" s="2" t="str">
        <f t="shared" si="4"/>
        <v/>
      </c>
    </row>
    <row r="189" ht="15.75" customHeight="1">
      <c r="A189" s="3"/>
      <c r="B189" s="2" t="str">
        <f t="shared" si="1"/>
        <v/>
      </c>
      <c r="E189" s="2"/>
      <c r="F189" s="2"/>
      <c r="G189" s="2"/>
      <c r="H189" s="2"/>
      <c r="I189" s="2"/>
      <c r="J189" s="2"/>
      <c r="K189" s="2" t="str">
        <f t="shared" si="2"/>
        <v/>
      </c>
      <c r="L189" s="2" t="str">
        <f t="shared" si="3"/>
        <v>No</v>
      </c>
      <c r="M189" s="2" t="str">
        <f>IF(K189="","",F189*VLOOKUP(E189,WEIGHTS!$A$2:$F$4,2,FALSE)+G189*VLOOKUP(E189,WEIGHTS!$A$2:$F$4,3,FALSE)+H189*VLOOKUP(E189,WEIGHTS!$A$2:$F$4,4,FALSE)+I189*VLOOKUP(E189,WEIGHTS!$A$2:$F$4,5,FALSE)+J189*VLOOKUP(E189,WEIGHTS!$A$2:$F$4,6,FALSE))</f>
        <v/>
      </c>
      <c r="N189" s="2" t="str">
        <f t="shared" si="4"/>
        <v/>
      </c>
    </row>
    <row r="190" ht="15.75" customHeight="1">
      <c r="A190" s="3"/>
      <c r="B190" s="2" t="str">
        <f t="shared" si="1"/>
        <v/>
      </c>
      <c r="E190" s="2"/>
      <c r="F190" s="2"/>
      <c r="G190" s="2"/>
      <c r="H190" s="2"/>
      <c r="I190" s="2"/>
      <c r="J190" s="2"/>
      <c r="K190" s="2" t="str">
        <f t="shared" si="2"/>
        <v/>
      </c>
      <c r="L190" s="2" t="str">
        <f t="shared" si="3"/>
        <v>No</v>
      </c>
      <c r="M190" s="2" t="str">
        <f>IF(K190="","",F190*VLOOKUP(E190,WEIGHTS!$A$2:$F$4,2,FALSE)+G190*VLOOKUP(E190,WEIGHTS!$A$2:$F$4,3,FALSE)+H190*VLOOKUP(E190,WEIGHTS!$A$2:$F$4,4,FALSE)+I190*VLOOKUP(E190,WEIGHTS!$A$2:$F$4,5,FALSE)+J190*VLOOKUP(E190,WEIGHTS!$A$2:$F$4,6,FALSE))</f>
        <v/>
      </c>
      <c r="N190" s="2" t="str">
        <f t="shared" si="4"/>
        <v/>
      </c>
    </row>
    <row r="191" ht="15.75" customHeight="1">
      <c r="A191" s="3"/>
      <c r="B191" s="2" t="str">
        <f t="shared" si="1"/>
        <v/>
      </c>
      <c r="E191" s="2"/>
      <c r="F191" s="2"/>
      <c r="G191" s="2"/>
      <c r="H191" s="2"/>
      <c r="I191" s="2"/>
      <c r="J191" s="2"/>
      <c r="K191" s="2" t="str">
        <f t="shared" si="2"/>
        <v/>
      </c>
      <c r="L191" s="2" t="str">
        <f t="shared" si="3"/>
        <v>No</v>
      </c>
      <c r="M191" s="2" t="str">
        <f>IF(K191="","",F191*VLOOKUP(E191,WEIGHTS!$A$2:$F$4,2,FALSE)+G191*VLOOKUP(E191,WEIGHTS!$A$2:$F$4,3,FALSE)+H191*VLOOKUP(E191,WEIGHTS!$A$2:$F$4,4,FALSE)+I191*VLOOKUP(E191,WEIGHTS!$A$2:$F$4,5,FALSE)+J191*VLOOKUP(E191,WEIGHTS!$A$2:$F$4,6,FALSE))</f>
        <v/>
      </c>
      <c r="N191" s="2" t="str">
        <f t="shared" si="4"/>
        <v/>
      </c>
    </row>
    <row r="192" ht="15.75" customHeight="1">
      <c r="A192" s="3"/>
      <c r="B192" s="2" t="str">
        <f t="shared" si="1"/>
        <v/>
      </c>
      <c r="E192" s="2"/>
      <c r="F192" s="2"/>
      <c r="G192" s="2"/>
      <c r="H192" s="2"/>
      <c r="I192" s="2"/>
      <c r="J192" s="2"/>
      <c r="K192" s="2" t="str">
        <f t="shared" si="2"/>
        <v/>
      </c>
      <c r="L192" s="2" t="str">
        <f t="shared" si="3"/>
        <v>No</v>
      </c>
      <c r="M192" s="2" t="str">
        <f>IF(K192="","",F192*VLOOKUP(E192,WEIGHTS!$A$2:$F$4,2,FALSE)+G192*VLOOKUP(E192,WEIGHTS!$A$2:$F$4,3,FALSE)+H192*VLOOKUP(E192,WEIGHTS!$A$2:$F$4,4,FALSE)+I192*VLOOKUP(E192,WEIGHTS!$A$2:$F$4,5,FALSE)+J192*VLOOKUP(E192,WEIGHTS!$A$2:$F$4,6,FALSE))</f>
        <v/>
      </c>
      <c r="N192" s="2" t="str">
        <f t="shared" si="4"/>
        <v/>
      </c>
    </row>
    <row r="193" ht="15.75" customHeight="1">
      <c r="A193" s="3"/>
      <c r="B193" s="2" t="str">
        <f t="shared" si="1"/>
        <v/>
      </c>
      <c r="E193" s="2"/>
      <c r="F193" s="2"/>
      <c r="G193" s="2"/>
      <c r="H193" s="2"/>
      <c r="I193" s="2"/>
      <c r="J193" s="2"/>
      <c r="K193" s="2" t="str">
        <f t="shared" si="2"/>
        <v/>
      </c>
      <c r="L193" s="2" t="str">
        <f t="shared" si="3"/>
        <v>No</v>
      </c>
      <c r="M193" s="2" t="str">
        <f>IF(K193="","",F193*VLOOKUP(E193,WEIGHTS!$A$2:$F$4,2,FALSE)+G193*VLOOKUP(E193,WEIGHTS!$A$2:$F$4,3,FALSE)+H193*VLOOKUP(E193,WEIGHTS!$A$2:$F$4,4,FALSE)+I193*VLOOKUP(E193,WEIGHTS!$A$2:$F$4,5,FALSE)+J193*VLOOKUP(E193,WEIGHTS!$A$2:$F$4,6,FALSE))</f>
        <v/>
      </c>
      <c r="N193" s="2" t="str">
        <f t="shared" si="4"/>
        <v/>
      </c>
    </row>
    <row r="194" ht="15.75" customHeight="1">
      <c r="A194" s="3"/>
      <c r="B194" s="2" t="str">
        <f t="shared" si="1"/>
        <v/>
      </c>
      <c r="E194" s="2"/>
      <c r="F194" s="2"/>
      <c r="G194" s="2"/>
      <c r="H194" s="2"/>
      <c r="I194" s="2"/>
      <c r="J194" s="2"/>
      <c r="K194" s="2" t="str">
        <f t="shared" si="2"/>
        <v/>
      </c>
      <c r="L194" s="2" t="str">
        <f t="shared" si="3"/>
        <v>No</v>
      </c>
      <c r="M194" s="2" t="str">
        <f>IF(K194="","",F194*VLOOKUP(E194,WEIGHTS!$A$2:$F$4,2,FALSE)+G194*VLOOKUP(E194,WEIGHTS!$A$2:$F$4,3,FALSE)+H194*VLOOKUP(E194,WEIGHTS!$A$2:$F$4,4,FALSE)+I194*VLOOKUP(E194,WEIGHTS!$A$2:$F$4,5,FALSE)+J194*VLOOKUP(E194,WEIGHTS!$A$2:$F$4,6,FALSE))</f>
        <v/>
      </c>
      <c r="N194" s="2" t="str">
        <f t="shared" si="4"/>
        <v/>
      </c>
    </row>
    <row r="195" ht="15.75" customHeight="1">
      <c r="A195" s="3"/>
      <c r="B195" s="2" t="str">
        <f t="shared" si="1"/>
        <v/>
      </c>
      <c r="E195" s="2"/>
      <c r="F195" s="2"/>
      <c r="G195" s="2"/>
      <c r="H195" s="2"/>
      <c r="I195" s="2"/>
      <c r="J195" s="2"/>
      <c r="K195" s="2" t="str">
        <f t="shared" si="2"/>
        <v/>
      </c>
      <c r="L195" s="2" t="str">
        <f t="shared" si="3"/>
        <v>No</v>
      </c>
      <c r="M195" s="2" t="str">
        <f>IF(K195="","",F195*VLOOKUP(E195,WEIGHTS!$A$2:$F$4,2,FALSE)+G195*VLOOKUP(E195,WEIGHTS!$A$2:$F$4,3,FALSE)+H195*VLOOKUP(E195,WEIGHTS!$A$2:$F$4,4,FALSE)+I195*VLOOKUP(E195,WEIGHTS!$A$2:$F$4,5,FALSE)+J195*VLOOKUP(E195,WEIGHTS!$A$2:$F$4,6,FALSE))</f>
        <v/>
      </c>
      <c r="N195" s="2" t="str">
        <f t="shared" si="4"/>
        <v/>
      </c>
    </row>
    <row r="196" ht="15.75" customHeight="1">
      <c r="A196" s="3"/>
      <c r="B196" s="2" t="str">
        <f t="shared" si="1"/>
        <v/>
      </c>
      <c r="E196" s="2"/>
      <c r="F196" s="2"/>
      <c r="G196" s="2"/>
      <c r="H196" s="2"/>
      <c r="I196" s="2"/>
      <c r="J196" s="2"/>
      <c r="K196" s="2" t="str">
        <f t="shared" si="2"/>
        <v/>
      </c>
      <c r="L196" s="2" t="str">
        <f t="shared" si="3"/>
        <v>No</v>
      </c>
      <c r="M196" s="2" t="str">
        <f>IF(K196="","",F196*VLOOKUP(E196,WEIGHTS!$A$2:$F$4,2,FALSE)+G196*VLOOKUP(E196,WEIGHTS!$A$2:$F$4,3,FALSE)+H196*VLOOKUP(E196,WEIGHTS!$A$2:$F$4,4,FALSE)+I196*VLOOKUP(E196,WEIGHTS!$A$2:$F$4,5,FALSE)+J196*VLOOKUP(E196,WEIGHTS!$A$2:$F$4,6,FALSE))</f>
        <v/>
      </c>
      <c r="N196" s="2" t="str">
        <f t="shared" si="4"/>
        <v/>
      </c>
    </row>
    <row r="197" ht="15.75" customHeight="1">
      <c r="A197" s="3"/>
      <c r="B197" s="2" t="str">
        <f t="shared" si="1"/>
        <v/>
      </c>
      <c r="E197" s="2"/>
      <c r="F197" s="2"/>
      <c r="G197" s="2"/>
      <c r="H197" s="2"/>
      <c r="I197" s="2"/>
      <c r="J197" s="2"/>
      <c r="K197" s="2" t="str">
        <f t="shared" si="2"/>
        <v/>
      </c>
      <c r="L197" s="2" t="str">
        <f t="shared" si="3"/>
        <v>No</v>
      </c>
      <c r="M197" s="2" t="str">
        <f>IF(K197="","",F197*VLOOKUP(E197,WEIGHTS!$A$2:$F$4,2,FALSE)+G197*VLOOKUP(E197,WEIGHTS!$A$2:$F$4,3,FALSE)+H197*VLOOKUP(E197,WEIGHTS!$A$2:$F$4,4,FALSE)+I197*VLOOKUP(E197,WEIGHTS!$A$2:$F$4,5,FALSE)+J197*VLOOKUP(E197,WEIGHTS!$A$2:$F$4,6,FALSE))</f>
        <v/>
      </c>
      <c r="N197" s="2" t="str">
        <f t="shared" si="4"/>
        <v/>
      </c>
    </row>
    <row r="198" ht="15.75" customHeight="1">
      <c r="A198" s="3"/>
      <c r="B198" s="2" t="str">
        <f t="shared" si="1"/>
        <v/>
      </c>
      <c r="E198" s="2"/>
      <c r="F198" s="2"/>
      <c r="G198" s="2"/>
      <c r="H198" s="2"/>
      <c r="I198" s="2"/>
      <c r="J198" s="2"/>
      <c r="K198" s="2" t="str">
        <f t="shared" si="2"/>
        <v/>
      </c>
      <c r="L198" s="2" t="str">
        <f t="shared" si="3"/>
        <v>No</v>
      </c>
      <c r="M198" s="2" t="str">
        <f>IF(K198="","",F198*VLOOKUP(E198,WEIGHTS!$A$2:$F$4,2,FALSE)+G198*VLOOKUP(E198,WEIGHTS!$A$2:$F$4,3,FALSE)+H198*VLOOKUP(E198,WEIGHTS!$A$2:$F$4,4,FALSE)+I198*VLOOKUP(E198,WEIGHTS!$A$2:$F$4,5,FALSE)+J198*VLOOKUP(E198,WEIGHTS!$A$2:$F$4,6,FALSE))</f>
        <v/>
      </c>
      <c r="N198" s="2" t="str">
        <f t="shared" si="4"/>
        <v/>
      </c>
    </row>
    <row r="199" ht="15.75" customHeight="1">
      <c r="A199" s="3"/>
      <c r="B199" s="2" t="str">
        <f t="shared" si="1"/>
        <v/>
      </c>
      <c r="E199" s="2"/>
      <c r="F199" s="2"/>
      <c r="G199" s="2"/>
      <c r="H199" s="2"/>
      <c r="I199" s="2"/>
      <c r="J199" s="2"/>
      <c r="K199" s="2" t="str">
        <f t="shared" si="2"/>
        <v/>
      </c>
      <c r="L199" s="2" t="str">
        <f t="shared" si="3"/>
        <v>No</v>
      </c>
      <c r="M199" s="2" t="str">
        <f>IF(K199="","",F199*VLOOKUP(E199,WEIGHTS!$A$2:$F$4,2,FALSE)+G199*VLOOKUP(E199,WEIGHTS!$A$2:$F$4,3,FALSE)+H199*VLOOKUP(E199,WEIGHTS!$A$2:$F$4,4,FALSE)+I199*VLOOKUP(E199,WEIGHTS!$A$2:$F$4,5,FALSE)+J199*VLOOKUP(E199,WEIGHTS!$A$2:$F$4,6,FALSE))</f>
        <v/>
      </c>
      <c r="N199" s="2" t="str">
        <f t="shared" si="4"/>
        <v/>
      </c>
    </row>
    <row r="200" ht="15.75" customHeight="1">
      <c r="A200" s="3"/>
      <c r="B200" s="2" t="str">
        <f t="shared" si="1"/>
        <v/>
      </c>
      <c r="E200" s="2"/>
      <c r="F200" s="2"/>
      <c r="G200" s="2"/>
      <c r="H200" s="2"/>
      <c r="I200" s="2"/>
      <c r="J200" s="2"/>
      <c r="K200" s="2" t="str">
        <f t="shared" si="2"/>
        <v/>
      </c>
      <c r="L200" s="2" t="str">
        <f t="shared" si="3"/>
        <v>No</v>
      </c>
      <c r="M200" s="2" t="str">
        <f>IF(K200="","",F200*VLOOKUP(E200,WEIGHTS!$A$2:$F$4,2,FALSE)+G200*VLOOKUP(E200,WEIGHTS!$A$2:$F$4,3,FALSE)+H200*VLOOKUP(E200,WEIGHTS!$A$2:$F$4,4,FALSE)+I200*VLOOKUP(E200,WEIGHTS!$A$2:$F$4,5,FALSE)+J200*VLOOKUP(E200,WEIGHTS!$A$2:$F$4,6,FALSE))</f>
        <v/>
      </c>
      <c r="N200" s="2" t="str">
        <f t="shared" si="4"/>
        <v/>
      </c>
    </row>
    <row r="201" ht="15.75" customHeight="1">
      <c r="A201" s="3"/>
      <c r="B201" s="2" t="str">
        <f t="shared" si="1"/>
        <v/>
      </c>
      <c r="E201" s="2"/>
      <c r="F201" s="2"/>
      <c r="G201" s="2"/>
      <c r="H201" s="2"/>
      <c r="I201" s="2"/>
      <c r="J201" s="2"/>
      <c r="K201" s="2" t="str">
        <f t="shared" si="2"/>
        <v/>
      </c>
      <c r="L201" s="2" t="str">
        <f t="shared" si="3"/>
        <v>No</v>
      </c>
      <c r="M201" s="2" t="str">
        <f>IF(K201="","",F201*VLOOKUP(E201,WEIGHTS!$A$2:$F$4,2,FALSE)+G201*VLOOKUP(E201,WEIGHTS!$A$2:$F$4,3,FALSE)+H201*VLOOKUP(E201,WEIGHTS!$A$2:$F$4,4,FALSE)+I201*VLOOKUP(E201,WEIGHTS!$A$2:$F$4,5,FALSE)+J201*VLOOKUP(E201,WEIGHTS!$A$2:$F$4,6,FALSE))</f>
        <v/>
      </c>
      <c r="N201" s="2" t="str">
        <f t="shared" si="4"/>
        <v/>
      </c>
    </row>
    <row r="202" ht="15.75" customHeight="1">
      <c r="A202" s="3"/>
      <c r="B202" s="2" t="str">
        <f t="shared" si="1"/>
        <v/>
      </c>
      <c r="E202" s="2"/>
      <c r="F202" s="2"/>
      <c r="G202" s="2"/>
      <c r="H202" s="2"/>
      <c r="I202" s="2"/>
      <c r="J202" s="2"/>
      <c r="K202" s="2" t="str">
        <f t="shared" si="2"/>
        <v/>
      </c>
      <c r="L202" s="2" t="str">
        <f t="shared" si="3"/>
        <v>No</v>
      </c>
      <c r="M202" s="2" t="str">
        <f>IF(K202="","",F202*VLOOKUP(E202,WEIGHTS!$A$2:$F$4,2,FALSE)+G202*VLOOKUP(E202,WEIGHTS!$A$2:$F$4,3,FALSE)+H202*VLOOKUP(E202,WEIGHTS!$A$2:$F$4,4,FALSE)+I202*VLOOKUP(E202,WEIGHTS!$A$2:$F$4,5,FALSE)+J202*VLOOKUP(E202,WEIGHTS!$A$2:$F$4,6,FALSE))</f>
        <v/>
      </c>
      <c r="N202" s="2" t="str">
        <f t="shared" si="4"/>
        <v/>
      </c>
    </row>
    <row r="203" ht="15.75" customHeight="1">
      <c r="A203" s="3"/>
      <c r="B203" s="2" t="str">
        <f t="shared" si="1"/>
        <v/>
      </c>
      <c r="E203" s="2"/>
      <c r="F203" s="2"/>
      <c r="G203" s="2"/>
      <c r="H203" s="2"/>
      <c r="I203" s="2"/>
      <c r="J203" s="2"/>
      <c r="K203" s="2" t="str">
        <f t="shared" si="2"/>
        <v/>
      </c>
      <c r="L203" s="2" t="str">
        <f t="shared" si="3"/>
        <v>No</v>
      </c>
      <c r="M203" s="2" t="str">
        <f>IF(K203="","",F203*VLOOKUP(E203,WEIGHTS!$A$2:$F$4,2,FALSE)+G203*VLOOKUP(E203,WEIGHTS!$A$2:$F$4,3,FALSE)+H203*VLOOKUP(E203,WEIGHTS!$A$2:$F$4,4,FALSE)+I203*VLOOKUP(E203,WEIGHTS!$A$2:$F$4,5,FALSE)+J203*VLOOKUP(E203,WEIGHTS!$A$2:$F$4,6,FALSE))</f>
        <v/>
      </c>
      <c r="N203" s="2" t="str">
        <f t="shared" si="4"/>
        <v/>
      </c>
    </row>
    <row r="204" ht="15.75" customHeight="1">
      <c r="A204" s="3"/>
      <c r="B204" s="2" t="str">
        <f t="shared" si="1"/>
        <v/>
      </c>
      <c r="E204" s="2"/>
      <c r="F204" s="2"/>
      <c r="G204" s="2"/>
      <c r="H204" s="2"/>
      <c r="I204" s="2"/>
      <c r="J204" s="2"/>
      <c r="K204" s="2" t="str">
        <f t="shared" si="2"/>
        <v/>
      </c>
      <c r="L204" s="2" t="str">
        <f t="shared" si="3"/>
        <v>No</v>
      </c>
      <c r="M204" s="2" t="str">
        <f>IF(K204="","",F204*VLOOKUP(E204,WEIGHTS!$A$2:$F$4,2,FALSE)+G204*VLOOKUP(E204,WEIGHTS!$A$2:$F$4,3,FALSE)+H204*VLOOKUP(E204,WEIGHTS!$A$2:$F$4,4,FALSE)+I204*VLOOKUP(E204,WEIGHTS!$A$2:$F$4,5,FALSE)+J204*VLOOKUP(E204,WEIGHTS!$A$2:$F$4,6,FALSE))</f>
        <v/>
      </c>
      <c r="N204" s="2" t="str">
        <f t="shared" si="4"/>
        <v/>
      </c>
    </row>
    <row r="205" ht="15.75" customHeight="1">
      <c r="A205" s="3"/>
      <c r="B205" s="2" t="str">
        <f t="shared" si="1"/>
        <v/>
      </c>
      <c r="E205" s="2"/>
      <c r="F205" s="2"/>
      <c r="G205" s="2"/>
      <c r="H205" s="2"/>
      <c r="I205" s="2"/>
      <c r="J205" s="2"/>
      <c r="K205" s="2" t="str">
        <f t="shared" si="2"/>
        <v/>
      </c>
      <c r="L205" s="2" t="str">
        <f t="shared" si="3"/>
        <v>No</v>
      </c>
      <c r="M205" s="2" t="str">
        <f>IF(K205="","",F205*VLOOKUP(E205,WEIGHTS!$A$2:$F$4,2,FALSE)+G205*VLOOKUP(E205,WEIGHTS!$A$2:$F$4,3,FALSE)+H205*VLOOKUP(E205,WEIGHTS!$A$2:$F$4,4,FALSE)+I205*VLOOKUP(E205,WEIGHTS!$A$2:$F$4,5,FALSE)+J205*VLOOKUP(E205,WEIGHTS!$A$2:$F$4,6,FALSE))</f>
        <v/>
      </c>
      <c r="N205" s="2" t="str">
        <f t="shared" si="4"/>
        <v/>
      </c>
    </row>
    <row r="206" ht="15.75" customHeight="1">
      <c r="A206" s="3"/>
      <c r="B206" s="2" t="str">
        <f t="shared" si="1"/>
        <v/>
      </c>
      <c r="E206" s="2"/>
      <c r="F206" s="2"/>
      <c r="G206" s="2"/>
      <c r="H206" s="2"/>
      <c r="I206" s="2"/>
      <c r="J206" s="2"/>
      <c r="K206" s="2" t="str">
        <f t="shared" si="2"/>
        <v/>
      </c>
      <c r="L206" s="2" t="str">
        <f t="shared" si="3"/>
        <v>No</v>
      </c>
      <c r="M206" s="2" t="str">
        <f>IF(K206="","",F206*VLOOKUP(E206,WEIGHTS!$A$2:$F$4,2,FALSE)+G206*VLOOKUP(E206,WEIGHTS!$A$2:$F$4,3,FALSE)+H206*VLOOKUP(E206,WEIGHTS!$A$2:$F$4,4,FALSE)+I206*VLOOKUP(E206,WEIGHTS!$A$2:$F$4,5,FALSE)+J206*VLOOKUP(E206,WEIGHTS!$A$2:$F$4,6,FALSE))</f>
        <v/>
      </c>
      <c r="N206" s="2" t="str">
        <f t="shared" si="4"/>
        <v/>
      </c>
    </row>
    <row r="207" ht="15.75" customHeight="1">
      <c r="A207" s="3"/>
      <c r="B207" s="2" t="str">
        <f t="shared" si="1"/>
        <v/>
      </c>
      <c r="E207" s="2"/>
      <c r="F207" s="2"/>
      <c r="G207" s="2"/>
      <c r="H207" s="2"/>
      <c r="I207" s="2"/>
      <c r="J207" s="2"/>
      <c r="K207" s="2" t="str">
        <f t="shared" si="2"/>
        <v/>
      </c>
      <c r="L207" s="2" t="str">
        <f t="shared" si="3"/>
        <v>No</v>
      </c>
      <c r="M207" s="2" t="str">
        <f>IF(K207="","",F207*VLOOKUP(E207,WEIGHTS!$A$2:$F$4,2,FALSE)+G207*VLOOKUP(E207,WEIGHTS!$A$2:$F$4,3,FALSE)+H207*VLOOKUP(E207,WEIGHTS!$A$2:$F$4,4,FALSE)+I207*VLOOKUP(E207,WEIGHTS!$A$2:$F$4,5,FALSE)+J207*VLOOKUP(E207,WEIGHTS!$A$2:$F$4,6,FALSE))</f>
        <v/>
      </c>
      <c r="N207" s="2" t="str">
        <f t="shared" si="4"/>
        <v/>
      </c>
    </row>
    <row r="208" ht="15.75" customHeight="1">
      <c r="A208" s="3"/>
      <c r="B208" s="2" t="str">
        <f t="shared" si="1"/>
        <v/>
      </c>
      <c r="E208" s="2"/>
      <c r="F208" s="2"/>
      <c r="G208" s="2"/>
      <c r="H208" s="2"/>
      <c r="I208" s="2"/>
      <c r="J208" s="2"/>
      <c r="K208" s="2" t="str">
        <f t="shared" si="2"/>
        <v/>
      </c>
      <c r="L208" s="2" t="str">
        <f t="shared" si="3"/>
        <v>No</v>
      </c>
      <c r="M208" s="2" t="str">
        <f>IF(K208="","",F208*VLOOKUP(E208,WEIGHTS!$A$2:$F$4,2,FALSE)+G208*VLOOKUP(E208,WEIGHTS!$A$2:$F$4,3,FALSE)+H208*VLOOKUP(E208,WEIGHTS!$A$2:$F$4,4,FALSE)+I208*VLOOKUP(E208,WEIGHTS!$A$2:$F$4,5,FALSE)+J208*VLOOKUP(E208,WEIGHTS!$A$2:$F$4,6,FALSE))</f>
        <v/>
      </c>
      <c r="N208" s="2" t="str">
        <f t="shared" si="4"/>
        <v/>
      </c>
    </row>
    <row r="209" ht="15.75" customHeight="1">
      <c r="A209" s="3"/>
      <c r="B209" s="2" t="str">
        <f t="shared" si="1"/>
        <v/>
      </c>
      <c r="E209" s="2"/>
      <c r="F209" s="2"/>
      <c r="G209" s="2"/>
      <c r="H209" s="2"/>
      <c r="I209" s="2"/>
      <c r="J209" s="2"/>
      <c r="K209" s="2" t="str">
        <f t="shared" si="2"/>
        <v/>
      </c>
      <c r="L209" s="2" t="str">
        <f t="shared" si="3"/>
        <v>No</v>
      </c>
      <c r="M209" s="2" t="str">
        <f>IF(K209="","",F209*VLOOKUP(E209,WEIGHTS!$A$2:$F$4,2,FALSE)+G209*VLOOKUP(E209,WEIGHTS!$A$2:$F$4,3,FALSE)+H209*VLOOKUP(E209,WEIGHTS!$A$2:$F$4,4,FALSE)+I209*VLOOKUP(E209,WEIGHTS!$A$2:$F$4,5,FALSE)+J209*VLOOKUP(E209,WEIGHTS!$A$2:$F$4,6,FALSE))</f>
        <v/>
      </c>
      <c r="N209" s="2" t="str">
        <f t="shared" si="4"/>
        <v/>
      </c>
    </row>
    <row r="210" ht="15.75" customHeight="1">
      <c r="A210" s="3"/>
      <c r="B210" s="2" t="str">
        <f t="shared" si="1"/>
        <v/>
      </c>
      <c r="E210" s="2"/>
      <c r="F210" s="2"/>
      <c r="G210" s="2"/>
      <c r="H210" s="2"/>
      <c r="I210" s="2"/>
      <c r="J210" s="2"/>
      <c r="K210" s="2" t="str">
        <f t="shared" si="2"/>
        <v/>
      </c>
      <c r="L210" s="2" t="str">
        <f t="shared" si="3"/>
        <v>No</v>
      </c>
      <c r="M210" s="2" t="str">
        <f>IF(K210="","",F210*VLOOKUP(E210,WEIGHTS!$A$2:$F$4,2,FALSE)+G210*VLOOKUP(E210,WEIGHTS!$A$2:$F$4,3,FALSE)+H210*VLOOKUP(E210,WEIGHTS!$A$2:$F$4,4,FALSE)+I210*VLOOKUP(E210,WEIGHTS!$A$2:$F$4,5,FALSE)+J210*VLOOKUP(E210,WEIGHTS!$A$2:$F$4,6,FALSE))</f>
        <v/>
      </c>
      <c r="N210" s="2" t="str">
        <f t="shared" si="4"/>
        <v/>
      </c>
    </row>
    <row r="211" ht="15.75" customHeight="1">
      <c r="A211" s="3"/>
      <c r="B211" s="2" t="str">
        <f t="shared" si="1"/>
        <v/>
      </c>
      <c r="E211" s="2"/>
      <c r="F211" s="2"/>
      <c r="G211" s="2"/>
      <c r="H211" s="2"/>
      <c r="I211" s="2"/>
      <c r="J211" s="2"/>
      <c r="K211" s="2" t="str">
        <f t="shared" si="2"/>
        <v/>
      </c>
      <c r="L211" s="2" t="str">
        <f t="shared" si="3"/>
        <v>No</v>
      </c>
      <c r="M211" s="2" t="str">
        <f>IF(K211="","",F211*VLOOKUP(E211,WEIGHTS!$A$2:$F$4,2,FALSE)+G211*VLOOKUP(E211,WEIGHTS!$A$2:$F$4,3,FALSE)+H211*VLOOKUP(E211,WEIGHTS!$A$2:$F$4,4,FALSE)+I211*VLOOKUP(E211,WEIGHTS!$A$2:$F$4,5,FALSE)+J211*VLOOKUP(E211,WEIGHTS!$A$2:$F$4,6,FALSE))</f>
        <v/>
      </c>
      <c r="N211" s="2" t="str">
        <f t="shared" si="4"/>
        <v/>
      </c>
    </row>
    <row r="212" ht="15.75" customHeight="1">
      <c r="A212" s="3"/>
      <c r="B212" s="2" t="str">
        <f t="shared" si="1"/>
        <v/>
      </c>
      <c r="E212" s="2"/>
      <c r="F212" s="2"/>
      <c r="G212" s="2"/>
      <c r="H212" s="2"/>
      <c r="I212" s="2"/>
      <c r="J212" s="2"/>
      <c r="K212" s="2" t="str">
        <f t="shared" si="2"/>
        <v/>
      </c>
      <c r="L212" s="2" t="str">
        <f t="shared" si="3"/>
        <v>No</v>
      </c>
      <c r="M212" s="2" t="str">
        <f>IF(K212="","",F212*VLOOKUP(E212,WEIGHTS!$A$2:$F$4,2,FALSE)+G212*VLOOKUP(E212,WEIGHTS!$A$2:$F$4,3,FALSE)+H212*VLOOKUP(E212,WEIGHTS!$A$2:$F$4,4,FALSE)+I212*VLOOKUP(E212,WEIGHTS!$A$2:$F$4,5,FALSE)+J212*VLOOKUP(E212,WEIGHTS!$A$2:$F$4,6,FALSE))</f>
        <v/>
      </c>
      <c r="N212" s="2" t="str">
        <f t="shared" si="4"/>
        <v/>
      </c>
    </row>
    <row r="213" ht="15.75" customHeight="1">
      <c r="A213" s="3"/>
      <c r="B213" s="2" t="str">
        <f t="shared" si="1"/>
        <v/>
      </c>
      <c r="E213" s="2"/>
      <c r="F213" s="2"/>
      <c r="G213" s="2"/>
      <c r="H213" s="2"/>
      <c r="I213" s="2"/>
      <c r="J213" s="2"/>
      <c r="K213" s="2" t="str">
        <f t="shared" si="2"/>
        <v/>
      </c>
      <c r="L213" s="2" t="str">
        <f t="shared" si="3"/>
        <v>No</v>
      </c>
      <c r="M213" s="2" t="str">
        <f>IF(K213="","",F213*VLOOKUP(E213,WEIGHTS!$A$2:$F$4,2,FALSE)+G213*VLOOKUP(E213,WEIGHTS!$A$2:$F$4,3,FALSE)+H213*VLOOKUP(E213,WEIGHTS!$A$2:$F$4,4,FALSE)+I213*VLOOKUP(E213,WEIGHTS!$A$2:$F$4,5,FALSE)+J213*VLOOKUP(E213,WEIGHTS!$A$2:$F$4,6,FALSE))</f>
        <v/>
      </c>
      <c r="N213" s="2" t="str">
        <f t="shared" si="4"/>
        <v/>
      </c>
    </row>
    <row r="214" ht="15.75" customHeight="1">
      <c r="A214" s="3"/>
      <c r="B214" s="2" t="str">
        <f t="shared" si="1"/>
        <v/>
      </c>
      <c r="E214" s="2"/>
      <c r="F214" s="2"/>
      <c r="G214" s="2"/>
      <c r="H214" s="2"/>
      <c r="I214" s="2"/>
      <c r="J214" s="2"/>
      <c r="K214" s="2" t="str">
        <f t="shared" si="2"/>
        <v/>
      </c>
      <c r="L214" s="2" t="str">
        <f t="shared" si="3"/>
        <v>No</v>
      </c>
      <c r="M214" s="2" t="str">
        <f>IF(K214="","",F214*VLOOKUP(E214,WEIGHTS!$A$2:$F$4,2,FALSE)+G214*VLOOKUP(E214,WEIGHTS!$A$2:$F$4,3,FALSE)+H214*VLOOKUP(E214,WEIGHTS!$A$2:$F$4,4,FALSE)+I214*VLOOKUP(E214,WEIGHTS!$A$2:$F$4,5,FALSE)+J214*VLOOKUP(E214,WEIGHTS!$A$2:$F$4,6,FALSE))</f>
        <v/>
      </c>
      <c r="N214" s="2" t="str">
        <f t="shared" si="4"/>
        <v/>
      </c>
    </row>
    <row r="215" ht="15.75" customHeight="1">
      <c r="A215" s="3"/>
      <c r="B215" s="2" t="str">
        <f t="shared" si="1"/>
        <v/>
      </c>
      <c r="E215" s="2"/>
      <c r="F215" s="2"/>
      <c r="G215" s="2"/>
      <c r="H215" s="2"/>
      <c r="I215" s="2"/>
      <c r="J215" s="2"/>
      <c r="K215" s="2" t="str">
        <f t="shared" si="2"/>
        <v/>
      </c>
      <c r="L215" s="2" t="str">
        <f t="shared" si="3"/>
        <v>No</v>
      </c>
      <c r="M215" s="2" t="str">
        <f>IF(K215="","",F215*VLOOKUP(E215,WEIGHTS!$A$2:$F$4,2,FALSE)+G215*VLOOKUP(E215,WEIGHTS!$A$2:$F$4,3,FALSE)+H215*VLOOKUP(E215,WEIGHTS!$A$2:$F$4,4,FALSE)+I215*VLOOKUP(E215,WEIGHTS!$A$2:$F$4,5,FALSE)+J215*VLOOKUP(E215,WEIGHTS!$A$2:$F$4,6,FALSE))</f>
        <v/>
      </c>
      <c r="N215" s="2" t="str">
        <f t="shared" si="4"/>
        <v/>
      </c>
    </row>
    <row r="216" ht="15.75" customHeight="1">
      <c r="A216" s="3"/>
      <c r="B216" s="2" t="str">
        <f t="shared" si="1"/>
        <v/>
      </c>
      <c r="E216" s="2"/>
      <c r="F216" s="2"/>
      <c r="G216" s="2"/>
      <c r="H216" s="2"/>
      <c r="I216" s="2"/>
      <c r="J216" s="2"/>
      <c r="K216" s="2" t="str">
        <f t="shared" si="2"/>
        <v/>
      </c>
      <c r="L216" s="2" t="str">
        <f t="shared" si="3"/>
        <v>No</v>
      </c>
      <c r="M216" s="2" t="str">
        <f>IF(K216="","",F216*VLOOKUP(E216,WEIGHTS!$A$2:$F$4,2,FALSE)+G216*VLOOKUP(E216,WEIGHTS!$A$2:$F$4,3,FALSE)+H216*VLOOKUP(E216,WEIGHTS!$A$2:$F$4,4,FALSE)+I216*VLOOKUP(E216,WEIGHTS!$A$2:$F$4,5,FALSE)+J216*VLOOKUP(E216,WEIGHTS!$A$2:$F$4,6,FALSE))</f>
        <v/>
      </c>
      <c r="N216" s="2" t="str">
        <f t="shared" si="4"/>
        <v/>
      </c>
    </row>
    <row r="217" ht="15.75" customHeight="1">
      <c r="A217" s="3"/>
      <c r="B217" s="2" t="str">
        <f t="shared" si="1"/>
        <v/>
      </c>
      <c r="E217" s="2"/>
      <c r="F217" s="2"/>
      <c r="G217" s="2"/>
      <c r="H217" s="2"/>
      <c r="I217" s="2"/>
      <c r="J217" s="2"/>
      <c r="K217" s="2" t="str">
        <f t="shared" si="2"/>
        <v/>
      </c>
      <c r="L217" s="2" t="str">
        <f t="shared" si="3"/>
        <v>No</v>
      </c>
      <c r="M217" s="2" t="str">
        <f>IF(K217="","",F217*VLOOKUP(E217,WEIGHTS!$A$2:$F$4,2,FALSE)+G217*VLOOKUP(E217,WEIGHTS!$A$2:$F$4,3,FALSE)+H217*VLOOKUP(E217,WEIGHTS!$A$2:$F$4,4,FALSE)+I217*VLOOKUP(E217,WEIGHTS!$A$2:$F$4,5,FALSE)+J217*VLOOKUP(E217,WEIGHTS!$A$2:$F$4,6,FALSE))</f>
        <v/>
      </c>
      <c r="N217" s="2" t="str">
        <f t="shared" si="4"/>
        <v/>
      </c>
    </row>
    <row r="218" ht="15.75" customHeight="1">
      <c r="A218" s="3"/>
      <c r="B218" s="2" t="str">
        <f t="shared" si="1"/>
        <v/>
      </c>
      <c r="E218" s="2"/>
      <c r="F218" s="2"/>
      <c r="G218" s="2"/>
      <c r="H218" s="2"/>
      <c r="I218" s="2"/>
      <c r="J218" s="2"/>
      <c r="K218" s="2" t="str">
        <f t="shared" si="2"/>
        <v/>
      </c>
      <c r="L218" s="2" t="str">
        <f t="shared" si="3"/>
        <v>No</v>
      </c>
      <c r="M218" s="2" t="str">
        <f>IF(K218="","",F218*VLOOKUP(E218,WEIGHTS!$A$2:$F$4,2,FALSE)+G218*VLOOKUP(E218,WEIGHTS!$A$2:$F$4,3,FALSE)+H218*VLOOKUP(E218,WEIGHTS!$A$2:$F$4,4,FALSE)+I218*VLOOKUP(E218,WEIGHTS!$A$2:$F$4,5,FALSE)+J218*VLOOKUP(E218,WEIGHTS!$A$2:$F$4,6,FALSE))</f>
        <v/>
      </c>
      <c r="N218" s="2" t="str">
        <f t="shared" si="4"/>
        <v/>
      </c>
    </row>
    <row r="219" ht="15.75" customHeight="1">
      <c r="A219" s="3"/>
      <c r="B219" s="2" t="str">
        <f t="shared" si="1"/>
        <v/>
      </c>
      <c r="E219" s="2"/>
      <c r="F219" s="2"/>
      <c r="G219" s="2"/>
      <c r="H219" s="2"/>
      <c r="I219" s="2"/>
      <c r="J219" s="2"/>
      <c r="K219" s="2" t="str">
        <f t="shared" si="2"/>
        <v/>
      </c>
      <c r="L219" s="2" t="str">
        <f t="shared" si="3"/>
        <v>No</v>
      </c>
      <c r="M219" s="2" t="str">
        <f>IF(K219="","",F219*VLOOKUP(E219,WEIGHTS!$A$2:$F$4,2,FALSE)+G219*VLOOKUP(E219,WEIGHTS!$A$2:$F$4,3,FALSE)+H219*VLOOKUP(E219,WEIGHTS!$A$2:$F$4,4,FALSE)+I219*VLOOKUP(E219,WEIGHTS!$A$2:$F$4,5,FALSE)+J219*VLOOKUP(E219,WEIGHTS!$A$2:$F$4,6,FALSE))</f>
        <v/>
      </c>
      <c r="N219" s="2" t="str">
        <f t="shared" si="4"/>
        <v/>
      </c>
    </row>
    <row r="220" ht="15.75" customHeight="1">
      <c r="A220" s="3"/>
      <c r="B220" s="2" t="str">
        <f t="shared" si="1"/>
        <v/>
      </c>
      <c r="E220" s="2"/>
      <c r="F220" s="2"/>
      <c r="G220" s="2"/>
      <c r="H220" s="2"/>
      <c r="I220" s="2"/>
      <c r="J220" s="2"/>
      <c r="K220" s="2" t="str">
        <f t="shared" si="2"/>
        <v/>
      </c>
      <c r="L220" s="2" t="str">
        <f t="shared" si="3"/>
        <v>No</v>
      </c>
      <c r="M220" s="2" t="str">
        <f>IF(K220="","",F220*VLOOKUP(E220,WEIGHTS!$A$2:$F$4,2,FALSE)+G220*VLOOKUP(E220,WEIGHTS!$A$2:$F$4,3,FALSE)+H220*VLOOKUP(E220,WEIGHTS!$A$2:$F$4,4,FALSE)+I220*VLOOKUP(E220,WEIGHTS!$A$2:$F$4,5,FALSE)+J220*VLOOKUP(E220,WEIGHTS!$A$2:$F$4,6,FALSE))</f>
        <v/>
      </c>
      <c r="N220" s="2" t="str">
        <f t="shared" si="4"/>
        <v/>
      </c>
    </row>
    <row r="221" ht="15.75" customHeight="1">
      <c r="A221" s="3"/>
      <c r="B221" s="2" t="str">
        <f t="shared" si="1"/>
        <v/>
      </c>
      <c r="E221" s="2"/>
      <c r="F221" s="2"/>
      <c r="G221" s="2"/>
      <c r="H221" s="2"/>
      <c r="I221" s="2"/>
      <c r="J221" s="2"/>
      <c r="K221" s="2" t="str">
        <f t="shared" si="2"/>
        <v/>
      </c>
      <c r="L221" s="2" t="str">
        <f t="shared" si="3"/>
        <v>No</v>
      </c>
      <c r="M221" s="2" t="str">
        <f>IF(K221="","",F221*VLOOKUP(E221,WEIGHTS!$A$2:$F$4,2,FALSE)+G221*VLOOKUP(E221,WEIGHTS!$A$2:$F$4,3,FALSE)+H221*VLOOKUP(E221,WEIGHTS!$A$2:$F$4,4,FALSE)+I221*VLOOKUP(E221,WEIGHTS!$A$2:$F$4,5,FALSE)+J221*VLOOKUP(E221,WEIGHTS!$A$2:$F$4,6,FALSE))</f>
        <v/>
      </c>
      <c r="N221" s="2" t="str">
        <f t="shared" si="4"/>
        <v/>
      </c>
    </row>
    <row r="222" ht="15.75" customHeight="1">
      <c r="A222" s="3"/>
      <c r="B222" s="2" t="str">
        <f t="shared" si="1"/>
        <v/>
      </c>
      <c r="E222" s="2"/>
      <c r="F222" s="2"/>
      <c r="G222" s="2"/>
      <c r="H222" s="2"/>
      <c r="I222" s="2"/>
      <c r="J222" s="2"/>
      <c r="K222" s="2" t="str">
        <f t="shared" si="2"/>
        <v/>
      </c>
      <c r="L222" s="2" t="str">
        <f t="shared" si="3"/>
        <v>No</v>
      </c>
      <c r="M222" s="2" t="str">
        <f>IF(K222="","",F222*VLOOKUP(E222,WEIGHTS!$A$2:$F$4,2,FALSE)+G222*VLOOKUP(E222,WEIGHTS!$A$2:$F$4,3,FALSE)+H222*VLOOKUP(E222,WEIGHTS!$A$2:$F$4,4,FALSE)+I222*VLOOKUP(E222,WEIGHTS!$A$2:$F$4,5,FALSE)+J222*VLOOKUP(E222,WEIGHTS!$A$2:$F$4,6,FALSE))</f>
        <v/>
      </c>
      <c r="N222" s="2" t="str">
        <f t="shared" si="4"/>
        <v/>
      </c>
    </row>
    <row r="223" ht="15.75" customHeight="1">
      <c r="A223" s="3"/>
      <c r="B223" s="2" t="str">
        <f t="shared" si="1"/>
        <v/>
      </c>
      <c r="E223" s="2"/>
      <c r="F223" s="2"/>
      <c r="G223" s="2"/>
      <c r="H223" s="2"/>
      <c r="I223" s="2"/>
      <c r="J223" s="2"/>
      <c r="K223" s="2" t="str">
        <f t="shared" si="2"/>
        <v/>
      </c>
      <c r="L223" s="2" t="str">
        <f t="shared" si="3"/>
        <v>No</v>
      </c>
      <c r="M223" s="2" t="str">
        <f>IF(K223="","",F223*VLOOKUP(E223,WEIGHTS!$A$2:$F$4,2,FALSE)+G223*VLOOKUP(E223,WEIGHTS!$A$2:$F$4,3,FALSE)+H223*VLOOKUP(E223,WEIGHTS!$A$2:$F$4,4,FALSE)+I223*VLOOKUP(E223,WEIGHTS!$A$2:$F$4,5,FALSE)+J223*VLOOKUP(E223,WEIGHTS!$A$2:$F$4,6,FALSE))</f>
        <v/>
      </c>
      <c r="N223" s="2" t="str">
        <f t="shared" si="4"/>
        <v/>
      </c>
    </row>
    <row r="224" ht="15.75" customHeight="1">
      <c r="A224" s="3"/>
      <c r="B224" s="2" t="str">
        <f t="shared" si="1"/>
        <v/>
      </c>
      <c r="E224" s="2"/>
      <c r="F224" s="2"/>
      <c r="G224" s="2"/>
      <c r="H224" s="2"/>
      <c r="I224" s="2"/>
      <c r="J224" s="2"/>
      <c r="K224" s="2" t="str">
        <f t="shared" si="2"/>
        <v/>
      </c>
      <c r="L224" s="2" t="str">
        <f t="shared" si="3"/>
        <v>No</v>
      </c>
      <c r="M224" s="2" t="str">
        <f>IF(K224="","",F224*VLOOKUP(E224,WEIGHTS!$A$2:$F$4,2,FALSE)+G224*VLOOKUP(E224,WEIGHTS!$A$2:$F$4,3,FALSE)+H224*VLOOKUP(E224,WEIGHTS!$A$2:$F$4,4,FALSE)+I224*VLOOKUP(E224,WEIGHTS!$A$2:$F$4,5,FALSE)+J224*VLOOKUP(E224,WEIGHTS!$A$2:$F$4,6,FALSE))</f>
        <v/>
      </c>
      <c r="N224" s="2" t="str">
        <f t="shared" si="4"/>
        <v/>
      </c>
    </row>
    <row r="225" ht="15.75" customHeight="1">
      <c r="A225" s="3"/>
      <c r="B225" s="2" t="str">
        <f t="shared" si="1"/>
        <v/>
      </c>
      <c r="E225" s="2"/>
      <c r="F225" s="2"/>
      <c r="G225" s="2"/>
      <c r="H225" s="2"/>
      <c r="I225" s="2"/>
      <c r="J225" s="2"/>
      <c r="K225" s="2" t="str">
        <f t="shared" si="2"/>
        <v/>
      </c>
      <c r="L225" s="2" t="str">
        <f t="shared" si="3"/>
        <v>No</v>
      </c>
      <c r="M225" s="2" t="str">
        <f>IF(K225="","",F225*VLOOKUP(E225,WEIGHTS!$A$2:$F$4,2,FALSE)+G225*VLOOKUP(E225,WEIGHTS!$A$2:$F$4,3,FALSE)+H225*VLOOKUP(E225,WEIGHTS!$A$2:$F$4,4,FALSE)+I225*VLOOKUP(E225,WEIGHTS!$A$2:$F$4,5,FALSE)+J225*VLOOKUP(E225,WEIGHTS!$A$2:$F$4,6,FALSE))</f>
        <v/>
      </c>
      <c r="N225" s="2" t="str">
        <f t="shared" si="4"/>
        <v/>
      </c>
    </row>
    <row r="226" ht="15.75" customHeight="1">
      <c r="A226" s="3"/>
      <c r="B226" s="2" t="str">
        <f t="shared" si="1"/>
        <v/>
      </c>
      <c r="E226" s="2"/>
      <c r="F226" s="2"/>
      <c r="G226" s="2"/>
      <c r="H226" s="2"/>
      <c r="I226" s="2"/>
      <c r="J226" s="2"/>
      <c r="K226" s="2" t="str">
        <f t="shared" si="2"/>
        <v/>
      </c>
      <c r="L226" s="2" t="str">
        <f t="shared" si="3"/>
        <v>No</v>
      </c>
      <c r="M226" s="2" t="str">
        <f>IF(K226="","",F226*VLOOKUP(E226,WEIGHTS!$A$2:$F$4,2,FALSE)+G226*VLOOKUP(E226,WEIGHTS!$A$2:$F$4,3,FALSE)+H226*VLOOKUP(E226,WEIGHTS!$A$2:$F$4,4,FALSE)+I226*VLOOKUP(E226,WEIGHTS!$A$2:$F$4,5,FALSE)+J226*VLOOKUP(E226,WEIGHTS!$A$2:$F$4,6,FALSE))</f>
        <v/>
      </c>
      <c r="N226" s="2" t="str">
        <f t="shared" si="4"/>
        <v/>
      </c>
    </row>
    <row r="227" ht="15.75" customHeight="1">
      <c r="A227" s="3"/>
      <c r="B227" s="2" t="str">
        <f t="shared" si="1"/>
        <v/>
      </c>
      <c r="E227" s="2"/>
      <c r="F227" s="2"/>
      <c r="G227" s="2"/>
      <c r="H227" s="2"/>
      <c r="I227" s="2"/>
      <c r="J227" s="2"/>
      <c r="K227" s="2" t="str">
        <f t="shared" si="2"/>
        <v/>
      </c>
      <c r="L227" s="2" t="str">
        <f t="shared" si="3"/>
        <v>No</v>
      </c>
      <c r="M227" s="2" t="str">
        <f>IF(K227="","",F227*VLOOKUP(E227,WEIGHTS!$A$2:$F$4,2,FALSE)+G227*VLOOKUP(E227,WEIGHTS!$A$2:$F$4,3,FALSE)+H227*VLOOKUP(E227,WEIGHTS!$A$2:$F$4,4,FALSE)+I227*VLOOKUP(E227,WEIGHTS!$A$2:$F$4,5,FALSE)+J227*VLOOKUP(E227,WEIGHTS!$A$2:$F$4,6,FALSE))</f>
        <v/>
      </c>
      <c r="N227" s="2" t="str">
        <f t="shared" si="4"/>
        <v/>
      </c>
    </row>
    <row r="228" ht="15.75" customHeight="1">
      <c r="A228" s="3"/>
      <c r="B228" s="2" t="str">
        <f t="shared" si="1"/>
        <v/>
      </c>
      <c r="E228" s="2"/>
      <c r="F228" s="2"/>
      <c r="G228" s="2"/>
      <c r="H228" s="2"/>
      <c r="I228" s="2"/>
      <c r="J228" s="2"/>
      <c r="K228" s="2" t="str">
        <f t="shared" si="2"/>
        <v/>
      </c>
      <c r="L228" s="2" t="str">
        <f t="shared" si="3"/>
        <v>No</v>
      </c>
      <c r="M228" s="2" t="str">
        <f>IF(K228="","",F228*VLOOKUP(E228,WEIGHTS!$A$2:$F$4,2,FALSE)+G228*VLOOKUP(E228,WEIGHTS!$A$2:$F$4,3,FALSE)+H228*VLOOKUP(E228,WEIGHTS!$A$2:$F$4,4,FALSE)+I228*VLOOKUP(E228,WEIGHTS!$A$2:$F$4,5,FALSE)+J228*VLOOKUP(E228,WEIGHTS!$A$2:$F$4,6,FALSE))</f>
        <v/>
      </c>
      <c r="N228" s="2" t="str">
        <f t="shared" si="4"/>
        <v/>
      </c>
    </row>
    <row r="229" ht="15.75" customHeight="1">
      <c r="A229" s="3"/>
      <c r="B229" s="2" t="str">
        <f t="shared" si="1"/>
        <v/>
      </c>
      <c r="E229" s="2"/>
      <c r="F229" s="2"/>
      <c r="G229" s="2"/>
      <c r="H229" s="2"/>
      <c r="I229" s="2"/>
      <c r="J229" s="2"/>
      <c r="K229" s="2" t="str">
        <f t="shared" si="2"/>
        <v/>
      </c>
      <c r="L229" s="2" t="str">
        <f t="shared" si="3"/>
        <v>No</v>
      </c>
      <c r="M229" s="2" t="str">
        <f>IF(K229="","",F229*VLOOKUP(E229,WEIGHTS!$A$2:$F$4,2,FALSE)+G229*VLOOKUP(E229,WEIGHTS!$A$2:$F$4,3,FALSE)+H229*VLOOKUP(E229,WEIGHTS!$A$2:$F$4,4,FALSE)+I229*VLOOKUP(E229,WEIGHTS!$A$2:$F$4,5,FALSE)+J229*VLOOKUP(E229,WEIGHTS!$A$2:$F$4,6,FALSE))</f>
        <v/>
      </c>
      <c r="N229" s="2" t="str">
        <f t="shared" si="4"/>
        <v/>
      </c>
    </row>
    <row r="230" ht="15.75" customHeight="1">
      <c r="A230" s="3"/>
      <c r="B230" s="2" t="str">
        <f t="shared" si="1"/>
        <v/>
      </c>
      <c r="E230" s="2"/>
      <c r="F230" s="2"/>
      <c r="G230" s="2"/>
      <c r="H230" s="2"/>
      <c r="I230" s="2"/>
      <c r="J230" s="2"/>
      <c r="K230" s="2" t="str">
        <f t="shared" si="2"/>
        <v/>
      </c>
      <c r="L230" s="2" t="str">
        <f t="shared" si="3"/>
        <v>No</v>
      </c>
      <c r="M230" s="2" t="str">
        <f>IF(K230="","",F230*VLOOKUP(E230,WEIGHTS!$A$2:$F$4,2,FALSE)+G230*VLOOKUP(E230,WEIGHTS!$A$2:$F$4,3,FALSE)+H230*VLOOKUP(E230,WEIGHTS!$A$2:$F$4,4,FALSE)+I230*VLOOKUP(E230,WEIGHTS!$A$2:$F$4,5,FALSE)+J230*VLOOKUP(E230,WEIGHTS!$A$2:$F$4,6,FALSE))</f>
        <v/>
      </c>
      <c r="N230" s="2" t="str">
        <f t="shared" si="4"/>
        <v/>
      </c>
    </row>
    <row r="231" ht="15.75" customHeight="1">
      <c r="A231" s="3"/>
      <c r="B231" s="2" t="str">
        <f t="shared" si="1"/>
        <v/>
      </c>
      <c r="E231" s="2"/>
      <c r="F231" s="2"/>
      <c r="G231" s="2"/>
      <c r="H231" s="2"/>
      <c r="I231" s="2"/>
      <c r="J231" s="2"/>
      <c r="K231" s="2" t="str">
        <f t="shared" si="2"/>
        <v/>
      </c>
      <c r="L231" s="2" t="str">
        <f t="shared" si="3"/>
        <v>No</v>
      </c>
      <c r="M231" s="2" t="str">
        <f>IF(K231="","",F231*VLOOKUP(E231,WEIGHTS!$A$2:$F$4,2,FALSE)+G231*VLOOKUP(E231,WEIGHTS!$A$2:$F$4,3,FALSE)+H231*VLOOKUP(E231,WEIGHTS!$A$2:$F$4,4,FALSE)+I231*VLOOKUP(E231,WEIGHTS!$A$2:$F$4,5,FALSE)+J231*VLOOKUP(E231,WEIGHTS!$A$2:$F$4,6,FALSE))</f>
        <v/>
      </c>
      <c r="N231" s="2" t="str">
        <f t="shared" si="4"/>
        <v/>
      </c>
    </row>
    <row r="232" ht="15.75" customHeight="1">
      <c r="A232" s="3"/>
      <c r="B232" s="2" t="str">
        <f t="shared" si="1"/>
        <v/>
      </c>
      <c r="E232" s="2"/>
      <c r="F232" s="2"/>
      <c r="G232" s="2"/>
      <c r="H232" s="2"/>
      <c r="I232" s="2"/>
      <c r="J232" s="2"/>
      <c r="K232" s="2" t="str">
        <f t="shared" si="2"/>
        <v/>
      </c>
      <c r="L232" s="2" t="str">
        <f t="shared" si="3"/>
        <v>No</v>
      </c>
      <c r="M232" s="2" t="str">
        <f>IF(K232="","",F232*VLOOKUP(E232,WEIGHTS!$A$2:$F$4,2,FALSE)+G232*VLOOKUP(E232,WEIGHTS!$A$2:$F$4,3,FALSE)+H232*VLOOKUP(E232,WEIGHTS!$A$2:$F$4,4,FALSE)+I232*VLOOKUP(E232,WEIGHTS!$A$2:$F$4,5,FALSE)+J232*VLOOKUP(E232,WEIGHTS!$A$2:$F$4,6,FALSE))</f>
        <v/>
      </c>
      <c r="N232" s="2" t="str">
        <f t="shared" si="4"/>
        <v/>
      </c>
    </row>
    <row r="233" ht="15.75" customHeight="1">
      <c r="A233" s="3"/>
      <c r="B233" s="2" t="str">
        <f t="shared" si="1"/>
        <v/>
      </c>
      <c r="E233" s="2"/>
      <c r="F233" s="2"/>
      <c r="G233" s="2"/>
      <c r="H233" s="2"/>
      <c r="I233" s="2"/>
      <c r="J233" s="2"/>
      <c r="K233" s="2" t="str">
        <f t="shared" si="2"/>
        <v/>
      </c>
      <c r="L233" s="2" t="str">
        <f t="shared" si="3"/>
        <v>No</v>
      </c>
      <c r="M233" s="2" t="str">
        <f>IF(K233="","",F233*VLOOKUP(E233,WEIGHTS!$A$2:$F$4,2,FALSE)+G233*VLOOKUP(E233,WEIGHTS!$A$2:$F$4,3,FALSE)+H233*VLOOKUP(E233,WEIGHTS!$A$2:$F$4,4,FALSE)+I233*VLOOKUP(E233,WEIGHTS!$A$2:$F$4,5,FALSE)+J233*VLOOKUP(E233,WEIGHTS!$A$2:$F$4,6,FALSE))</f>
        <v/>
      </c>
      <c r="N233" s="2" t="str">
        <f t="shared" si="4"/>
        <v/>
      </c>
    </row>
    <row r="234" ht="15.75" customHeight="1">
      <c r="A234" s="3"/>
      <c r="B234" s="2" t="str">
        <f t="shared" si="1"/>
        <v/>
      </c>
      <c r="E234" s="2"/>
      <c r="F234" s="2"/>
      <c r="G234" s="2"/>
      <c r="H234" s="2"/>
      <c r="I234" s="2"/>
      <c r="J234" s="2"/>
      <c r="K234" s="2" t="str">
        <f t="shared" si="2"/>
        <v/>
      </c>
      <c r="L234" s="2" t="str">
        <f t="shared" si="3"/>
        <v>No</v>
      </c>
      <c r="M234" s="2" t="str">
        <f>IF(K234="","",F234*VLOOKUP(E234,WEIGHTS!$A$2:$F$4,2,FALSE)+G234*VLOOKUP(E234,WEIGHTS!$A$2:$F$4,3,FALSE)+H234*VLOOKUP(E234,WEIGHTS!$A$2:$F$4,4,FALSE)+I234*VLOOKUP(E234,WEIGHTS!$A$2:$F$4,5,FALSE)+J234*VLOOKUP(E234,WEIGHTS!$A$2:$F$4,6,FALSE))</f>
        <v/>
      </c>
      <c r="N234" s="2" t="str">
        <f t="shared" si="4"/>
        <v/>
      </c>
    </row>
    <row r="235" ht="15.75" customHeight="1">
      <c r="A235" s="3"/>
      <c r="B235" s="2" t="str">
        <f t="shared" si="1"/>
        <v/>
      </c>
      <c r="E235" s="2"/>
      <c r="F235" s="2"/>
      <c r="G235" s="2"/>
      <c r="H235" s="2"/>
      <c r="I235" s="2"/>
      <c r="J235" s="2"/>
      <c r="K235" s="2" t="str">
        <f t="shared" si="2"/>
        <v/>
      </c>
      <c r="L235" s="2" t="str">
        <f t="shared" si="3"/>
        <v>No</v>
      </c>
      <c r="M235" s="2" t="str">
        <f>IF(K235="","",F235*VLOOKUP(E235,WEIGHTS!$A$2:$F$4,2,FALSE)+G235*VLOOKUP(E235,WEIGHTS!$A$2:$F$4,3,FALSE)+H235*VLOOKUP(E235,WEIGHTS!$A$2:$F$4,4,FALSE)+I235*VLOOKUP(E235,WEIGHTS!$A$2:$F$4,5,FALSE)+J235*VLOOKUP(E235,WEIGHTS!$A$2:$F$4,6,FALSE))</f>
        <v/>
      </c>
      <c r="N235" s="2" t="str">
        <f t="shared" si="4"/>
        <v/>
      </c>
    </row>
    <row r="236" ht="15.75" customHeight="1">
      <c r="A236" s="3"/>
      <c r="B236" s="2" t="str">
        <f t="shared" si="1"/>
        <v/>
      </c>
      <c r="E236" s="2"/>
      <c r="F236" s="2"/>
      <c r="G236" s="2"/>
      <c r="H236" s="2"/>
      <c r="I236" s="2"/>
      <c r="J236" s="2"/>
      <c r="K236" s="2" t="str">
        <f t="shared" si="2"/>
        <v/>
      </c>
      <c r="L236" s="2" t="str">
        <f t="shared" si="3"/>
        <v>No</v>
      </c>
      <c r="M236" s="2" t="str">
        <f>IF(K236="","",F236*VLOOKUP(E236,WEIGHTS!$A$2:$F$4,2,FALSE)+G236*VLOOKUP(E236,WEIGHTS!$A$2:$F$4,3,FALSE)+H236*VLOOKUP(E236,WEIGHTS!$A$2:$F$4,4,FALSE)+I236*VLOOKUP(E236,WEIGHTS!$A$2:$F$4,5,FALSE)+J236*VLOOKUP(E236,WEIGHTS!$A$2:$F$4,6,FALSE))</f>
        <v/>
      </c>
      <c r="N236" s="2" t="str">
        <f t="shared" si="4"/>
        <v/>
      </c>
    </row>
    <row r="237" ht="15.75" customHeight="1">
      <c r="A237" s="3"/>
      <c r="B237" s="2" t="str">
        <f t="shared" si="1"/>
        <v/>
      </c>
      <c r="E237" s="2"/>
      <c r="F237" s="2"/>
      <c r="G237" s="2"/>
      <c r="H237" s="2"/>
      <c r="I237" s="2"/>
      <c r="J237" s="2"/>
      <c r="K237" s="2" t="str">
        <f t="shared" si="2"/>
        <v/>
      </c>
      <c r="L237" s="2" t="str">
        <f t="shared" si="3"/>
        <v>No</v>
      </c>
      <c r="M237" s="2" t="str">
        <f>IF(K237="","",F237*VLOOKUP(E237,WEIGHTS!$A$2:$F$4,2,FALSE)+G237*VLOOKUP(E237,WEIGHTS!$A$2:$F$4,3,FALSE)+H237*VLOOKUP(E237,WEIGHTS!$A$2:$F$4,4,FALSE)+I237*VLOOKUP(E237,WEIGHTS!$A$2:$F$4,5,FALSE)+J237*VLOOKUP(E237,WEIGHTS!$A$2:$F$4,6,FALSE))</f>
        <v/>
      </c>
      <c r="N237" s="2" t="str">
        <f t="shared" si="4"/>
        <v/>
      </c>
    </row>
    <row r="238" ht="15.75" customHeight="1">
      <c r="A238" s="3"/>
      <c r="B238" s="2" t="str">
        <f t="shared" si="1"/>
        <v/>
      </c>
      <c r="E238" s="2"/>
      <c r="F238" s="2"/>
      <c r="G238" s="2"/>
      <c r="H238" s="2"/>
      <c r="I238" s="2"/>
      <c r="J238" s="2"/>
      <c r="K238" s="2" t="str">
        <f t="shared" si="2"/>
        <v/>
      </c>
      <c r="L238" s="2" t="str">
        <f t="shared" si="3"/>
        <v>No</v>
      </c>
      <c r="M238" s="2" t="str">
        <f>IF(K238="","",F238*VLOOKUP(E238,WEIGHTS!$A$2:$F$4,2,FALSE)+G238*VLOOKUP(E238,WEIGHTS!$A$2:$F$4,3,FALSE)+H238*VLOOKUP(E238,WEIGHTS!$A$2:$F$4,4,FALSE)+I238*VLOOKUP(E238,WEIGHTS!$A$2:$F$4,5,FALSE)+J238*VLOOKUP(E238,WEIGHTS!$A$2:$F$4,6,FALSE))</f>
        <v/>
      </c>
      <c r="N238" s="2" t="str">
        <f t="shared" si="4"/>
        <v/>
      </c>
    </row>
    <row r="239" ht="15.75" customHeight="1">
      <c r="A239" s="3"/>
      <c r="B239" s="2" t="str">
        <f t="shared" si="1"/>
        <v/>
      </c>
      <c r="E239" s="2"/>
      <c r="F239" s="2"/>
      <c r="G239" s="2"/>
      <c r="H239" s="2"/>
      <c r="I239" s="2"/>
      <c r="J239" s="2"/>
      <c r="K239" s="2" t="str">
        <f t="shared" si="2"/>
        <v/>
      </c>
      <c r="L239" s="2" t="str">
        <f t="shared" si="3"/>
        <v>No</v>
      </c>
      <c r="M239" s="2" t="str">
        <f>IF(K239="","",F239*VLOOKUP(E239,WEIGHTS!$A$2:$F$4,2,FALSE)+G239*VLOOKUP(E239,WEIGHTS!$A$2:$F$4,3,FALSE)+H239*VLOOKUP(E239,WEIGHTS!$A$2:$F$4,4,FALSE)+I239*VLOOKUP(E239,WEIGHTS!$A$2:$F$4,5,FALSE)+J239*VLOOKUP(E239,WEIGHTS!$A$2:$F$4,6,FALSE))</f>
        <v/>
      </c>
      <c r="N239" s="2" t="str">
        <f t="shared" si="4"/>
        <v/>
      </c>
    </row>
    <row r="240" ht="15.75" customHeight="1">
      <c r="A240" s="3"/>
      <c r="B240" s="2" t="str">
        <f t="shared" si="1"/>
        <v/>
      </c>
      <c r="E240" s="2"/>
      <c r="F240" s="2"/>
      <c r="G240" s="2"/>
      <c r="H240" s="2"/>
      <c r="I240" s="2"/>
      <c r="J240" s="2"/>
      <c r="K240" s="2" t="str">
        <f t="shared" si="2"/>
        <v/>
      </c>
      <c r="L240" s="2" t="str">
        <f t="shared" si="3"/>
        <v>No</v>
      </c>
      <c r="M240" s="2" t="str">
        <f>IF(K240="","",F240*VLOOKUP(E240,WEIGHTS!$A$2:$F$4,2,FALSE)+G240*VLOOKUP(E240,WEIGHTS!$A$2:$F$4,3,FALSE)+H240*VLOOKUP(E240,WEIGHTS!$A$2:$F$4,4,FALSE)+I240*VLOOKUP(E240,WEIGHTS!$A$2:$F$4,5,FALSE)+J240*VLOOKUP(E240,WEIGHTS!$A$2:$F$4,6,FALSE))</f>
        <v/>
      </c>
      <c r="N240" s="2" t="str">
        <f t="shared" si="4"/>
        <v/>
      </c>
    </row>
    <row r="241" ht="15.75" customHeight="1">
      <c r="A241" s="3"/>
      <c r="B241" s="2" t="str">
        <f t="shared" si="1"/>
        <v/>
      </c>
      <c r="E241" s="2"/>
      <c r="F241" s="2"/>
      <c r="G241" s="2"/>
      <c r="H241" s="2"/>
      <c r="I241" s="2"/>
      <c r="J241" s="2"/>
      <c r="K241" s="2" t="str">
        <f t="shared" si="2"/>
        <v/>
      </c>
      <c r="L241" s="2" t="str">
        <f t="shared" si="3"/>
        <v>No</v>
      </c>
      <c r="M241" s="2" t="str">
        <f>IF(K241="","",F241*VLOOKUP(E241,WEIGHTS!$A$2:$F$4,2,FALSE)+G241*VLOOKUP(E241,WEIGHTS!$A$2:$F$4,3,FALSE)+H241*VLOOKUP(E241,WEIGHTS!$A$2:$F$4,4,FALSE)+I241*VLOOKUP(E241,WEIGHTS!$A$2:$F$4,5,FALSE)+J241*VLOOKUP(E241,WEIGHTS!$A$2:$F$4,6,FALSE))</f>
        <v/>
      </c>
      <c r="N241" s="2" t="str">
        <f t="shared" si="4"/>
        <v/>
      </c>
    </row>
    <row r="242" ht="15.75" customHeight="1">
      <c r="A242" s="3"/>
      <c r="B242" s="2" t="str">
        <f t="shared" si="1"/>
        <v/>
      </c>
      <c r="E242" s="2"/>
      <c r="F242" s="2"/>
      <c r="G242" s="2"/>
      <c r="H242" s="2"/>
      <c r="I242" s="2"/>
      <c r="J242" s="2"/>
      <c r="K242" s="2" t="str">
        <f t="shared" si="2"/>
        <v/>
      </c>
      <c r="L242" s="2" t="str">
        <f t="shared" si="3"/>
        <v>No</v>
      </c>
      <c r="M242" s="2" t="str">
        <f>IF(K242="","",F242*VLOOKUP(E242,WEIGHTS!$A$2:$F$4,2,FALSE)+G242*VLOOKUP(E242,WEIGHTS!$A$2:$F$4,3,FALSE)+H242*VLOOKUP(E242,WEIGHTS!$A$2:$F$4,4,FALSE)+I242*VLOOKUP(E242,WEIGHTS!$A$2:$F$4,5,FALSE)+J242*VLOOKUP(E242,WEIGHTS!$A$2:$F$4,6,FALSE))</f>
        <v/>
      </c>
      <c r="N242" s="2" t="str">
        <f t="shared" si="4"/>
        <v/>
      </c>
    </row>
    <row r="243" ht="15.75" customHeight="1">
      <c r="A243" s="3"/>
      <c r="B243" s="2" t="str">
        <f t="shared" si="1"/>
        <v/>
      </c>
      <c r="E243" s="2"/>
      <c r="F243" s="2"/>
      <c r="G243" s="2"/>
      <c r="H243" s="2"/>
      <c r="I243" s="2"/>
      <c r="J243" s="2"/>
      <c r="K243" s="2" t="str">
        <f t="shared" si="2"/>
        <v/>
      </c>
      <c r="L243" s="2" t="str">
        <f t="shared" si="3"/>
        <v>No</v>
      </c>
      <c r="M243" s="2" t="str">
        <f>IF(K243="","",F243*VLOOKUP(E243,WEIGHTS!$A$2:$F$4,2,FALSE)+G243*VLOOKUP(E243,WEIGHTS!$A$2:$F$4,3,FALSE)+H243*VLOOKUP(E243,WEIGHTS!$A$2:$F$4,4,FALSE)+I243*VLOOKUP(E243,WEIGHTS!$A$2:$F$4,5,FALSE)+J243*VLOOKUP(E243,WEIGHTS!$A$2:$F$4,6,FALSE))</f>
        <v/>
      </c>
      <c r="N243" s="2" t="str">
        <f t="shared" si="4"/>
        <v/>
      </c>
    </row>
    <row r="244" ht="15.75" customHeight="1">
      <c r="A244" s="3"/>
      <c r="B244" s="2" t="str">
        <f t="shared" si="1"/>
        <v/>
      </c>
      <c r="E244" s="2"/>
      <c r="F244" s="2"/>
      <c r="G244" s="2"/>
      <c r="H244" s="2"/>
      <c r="I244" s="2"/>
      <c r="J244" s="2"/>
      <c r="K244" s="2" t="str">
        <f t="shared" si="2"/>
        <v/>
      </c>
      <c r="L244" s="2" t="str">
        <f t="shared" si="3"/>
        <v>No</v>
      </c>
      <c r="M244" s="2" t="str">
        <f>IF(K244="","",F244*VLOOKUP(E244,WEIGHTS!$A$2:$F$4,2,FALSE)+G244*VLOOKUP(E244,WEIGHTS!$A$2:$F$4,3,FALSE)+H244*VLOOKUP(E244,WEIGHTS!$A$2:$F$4,4,FALSE)+I244*VLOOKUP(E244,WEIGHTS!$A$2:$F$4,5,FALSE)+J244*VLOOKUP(E244,WEIGHTS!$A$2:$F$4,6,FALSE))</f>
        <v/>
      </c>
      <c r="N244" s="2" t="str">
        <f t="shared" si="4"/>
        <v/>
      </c>
    </row>
    <row r="245" ht="15.75" customHeight="1">
      <c r="A245" s="3"/>
      <c r="B245" s="2" t="str">
        <f t="shared" si="1"/>
        <v/>
      </c>
      <c r="E245" s="2"/>
      <c r="F245" s="2"/>
      <c r="G245" s="2"/>
      <c r="H245" s="2"/>
      <c r="I245" s="2"/>
      <c r="J245" s="2"/>
      <c r="K245" s="2" t="str">
        <f t="shared" si="2"/>
        <v/>
      </c>
      <c r="L245" s="2" t="str">
        <f t="shared" si="3"/>
        <v>No</v>
      </c>
      <c r="M245" s="2" t="str">
        <f>IF(K245="","",F245*VLOOKUP(E245,WEIGHTS!$A$2:$F$4,2,FALSE)+G245*VLOOKUP(E245,WEIGHTS!$A$2:$F$4,3,FALSE)+H245*VLOOKUP(E245,WEIGHTS!$A$2:$F$4,4,FALSE)+I245*VLOOKUP(E245,WEIGHTS!$A$2:$F$4,5,FALSE)+J245*VLOOKUP(E245,WEIGHTS!$A$2:$F$4,6,FALSE))</f>
        <v/>
      </c>
      <c r="N245" s="2" t="str">
        <f t="shared" si="4"/>
        <v/>
      </c>
    </row>
    <row r="246" ht="15.75" customHeight="1">
      <c r="A246" s="3"/>
      <c r="B246" s="2" t="str">
        <f t="shared" si="1"/>
        <v/>
      </c>
      <c r="E246" s="2"/>
      <c r="F246" s="2"/>
      <c r="G246" s="2"/>
      <c r="H246" s="2"/>
      <c r="I246" s="2"/>
      <c r="J246" s="2"/>
      <c r="K246" s="2" t="str">
        <f t="shared" si="2"/>
        <v/>
      </c>
      <c r="L246" s="2" t="str">
        <f t="shared" si="3"/>
        <v>No</v>
      </c>
      <c r="M246" s="2" t="str">
        <f>IF(K246="","",F246*VLOOKUP(E246,WEIGHTS!$A$2:$F$4,2,FALSE)+G246*VLOOKUP(E246,WEIGHTS!$A$2:$F$4,3,FALSE)+H246*VLOOKUP(E246,WEIGHTS!$A$2:$F$4,4,FALSE)+I246*VLOOKUP(E246,WEIGHTS!$A$2:$F$4,5,FALSE)+J246*VLOOKUP(E246,WEIGHTS!$A$2:$F$4,6,FALSE))</f>
        <v/>
      </c>
      <c r="N246" s="2" t="str">
        <f t="shared" si="4"/>
        <v/>
      </c>
    </row>
    <row r="247" ht="15.75" customHeight="1">
      <c r="A247" s="3"/>
      <c r="B247" s="2" t="str">
        <f t="shared" si="1"/>
        <v/>
      </c>
      <c r="E247" s="2"/>
      <c r="F247" s="2"/>
      <c r="G247" s="2"/>
      <c r="H247" s="2"/>
      <c r="I247" s="2"/>
      <c r="J247" s="2"/>
      <c r="K247" s="2" t="str">
        <f t="shared" si="2"/>
        <v/>
      </c>
      <c r="L247" s="2" t="str">
        <f t="shared" si="3"/>
        <v>No</v>
      </c>
      <c r="M247" s="2" t="str">
        <f>IF(K247="","",F247*VLOOKUP(E247,WEIGHTS!$A$2:$F$4,2,FALSE)+G247*VLOOKUP(E247,WEIGHTS!$A$2:$F$4,3,FALSE)+H247*VLOOKUP(E247,WEIGHTS!$A$2:$F$4,4,FALSE)+I247*VLOOKUP(E247,WEIGHTS!$A$2:$F$4,5,FALSE)+J247*VLOOKUP(E247,WEIGHTS!$A$2:$F$4,6,FALSE))</f>
        <v/>
      </c>
      <c r="N247" s="2" t="str">
        <f t="shared" si="4"/>
        <v/>
      </c>
    </row>
    <row r="248" ht="15.75" customHeight="1">
      <c r="A248" s="3"/>
      <c r="B248" s="2" t="str">
        <f t="shared" si="1"/>
        <v/>
      </c>
      <c r="E248" s="2"/>
      <c r="F248" s="2"/>
      <c r="G248" s="2"/>
      <c r="H248" s="2"/>
      <c r="I248" s="2"/>
      <c r="J248" s="2"/>
      <c r="K248" s="2" t="str">
        <f t="shared" si="2"/>
        <v/>
      </c>
      <c r="L248" s="2" t="str">
        <f t="shared" si="3"/>
        <v>No</v>
      </c>
      <c r="M248" s="2" t="str">
        <f>IF(K248="","",F248*VLOOKUP(E248,WEIGHTS!$A$2:$F$4,2,FALSE)+G248*VLOOKUP(E248,WEIGHTS!$A$2:$F$4,3,FALSE)+H248*VLOOKUP(E248,WEIGHTS!$A$2:$F$4,4,FALSE)+I248*VLOOKUP(E248,WEIGHTS!$A$2:$F$4,5,FALSE)+J248*VLOOKUP(E248,WEIGHTS!$A$2:$F$4,6,FALSE))</f>
        <v/>
      </c>
      <c r="N248" s="2" t="str">
        <f t="shared" si="4"/>
        <v/>
      </c>
    </row>
    <row r="249" ht="15.75" customHeight="1">
      <c r="A249" s="3"/>
      <c r="B249" s="2" t="str">
        <f t="shared" si="1"/>
        <v/>
      </c>
      <c r="E249" s="2"/>
      <c r="F249" s="2"/>
      <c r="G249" s="2"/>
      <c r="H249" s="2"/>
      <c r="I249" s="2"/>
      <c r="J249" s="2"/>
      <c r="K249" s="2" t="str">
        <f t="shared" si="2"/>
        <v/>
      </c>
      <c r="L249" s="2" t="str">
        <f t="shared" si="3"/>
        <v>No</v>
      </c>
      <c r="M249" s="2" t="str">
        <f>IF(K249="","",F249*VLOOKUP(E249,WEIGHTS!$A$2:$F$4,2,FALSE)+G249*VLOOKUP(E249,WEIGHTS!$A$2:$F$4,3,FALSE)+H249*VLOOKUP(E249,WEIGHTS!$A$2:$F$4,4,FALSE)+I249*VLOOKUP(E249,WEIGHTS!$A$2:$F$4,5,FALSE)+J249*VLOOKUP(E249,WEIGHTS!$A$2:$F$4,6,FALSE))</f>
        <v/>
      </c>
      <c r="N249" s="2" t="str">
        <f t="shared" si="4"/>
        <v/>
      </c>
    </row>
    <row r="250" ht="15.75" customHeight="1">
      <c r="A250" s="3"/>
      <c r="B250" s="2" t="str">
        <f t="shared" si="1"/>
        <v/>
      </c>
      <c r="E250" s="2"/>
      <c r="F250" s="2"/>
      <c r="G250" s="2"/>
      <c r="H250" s="2"/>
      <c r="I250" s="2"/>
      <c r="J250" s="2"/>
      <c r="K250" s="2" t="str">
        <f t="shared" si="2"/>
        <v/>
      </c>
      <c r="L250" s="2" t="str">
        <f t="shared" si="3"/>
        <v>No</v>
      </c>
      <c r="M250" s="2" t="str">
        <f>IF(K250="","",F250*VLOOKUP(E250,WEIGHTS!$A$2:$F$4,2,FALSE)+G250*VLOOKUP(E250,WEIGHTS!$A$2:$F$4,3,FALSE)+H250*VLOOKUP(E250,WEIGHTS!$A$2:$F$4,4,FALSE)+I250*VLOOKUP(E250,WEIGHTS!$A$2:$F$4,5,FALSE)+J250*VLOOKUP(E250,WEIGHTS!$A$2:$F$4,6,FALSE))</f>
        <v/>
      </c>
      <c r="N250" s="2" t="str">
        <f t="shared" si="4"/>
        <v/>
      </c>
    </row>
    <row r="251" ht="15.75" customHeight="1">
      <c r="A251" s="3"/>
      <c r="B251" s="2" t="str">
        <f t="shared" si="1"/>
        <v/>
      </c>
      <c r="E251" s="2"/>
      <c r="F251" s="2"/>
      <c r="G251" s="2"/>
      <c r="H251" s="2"/>
      <c r="I251" s="2"/>
      <c r="J251" s="2"/>
      <c r="K251" s="2" t="str">
        <f t="shared" si="2"/>
        <v/>
      </c>
      <c r="L251" s="2" t="str">
        <f t="shared" si="3"/>
        <v>No</v>
      </c>
      <c r="M251" s="2" t="str">
        <f>IF(K251="","",F251*VLOOKUP(E251,WEIGHTS!$A$2:$F$4,2,FALSE)+G251*VLOOKUP(E251,WEIGHTS!$A$2:$F$4,3,FALSE)+H251*VLOOKUP(E251,WEIGHTS!$A$2:$F$4,4,FALSE)+I251*VLOOKUP(E251,WEIGHTS!$A$2:$F$4,5,FALSE)+J251*VLOOKUP(E251,WEIGHTS!$A$2:$F$4,6,FALSE))</f>
        <v/>
      </c>
      <c r="N251" s="2" t="str">
        <f t="shared" si="4"/>
        <v/>
      </c>
    </row>
    <row r="252" ht="15.75" customHeight="1">
      <c r="A252" s="3"/>
      <c r="B252" s="2" t="str">
        <f t="shared" si="1"/>
        <v/>
      </c>
      <c r="E252" s="2"/>
      <c r="F252" s="2"/>
      <c r="G252" s="2"/>
      <c r="H252" s="2"/>
      <c r="I252" s="2"/>
      <c r="J252" s="2"/>
      <c r="K252" s="2" t="str">
        <f t="shared" si="2"/>
        <v/>
      </c>
      <c r="L252" s="2" t="str">
        <f t="shared" si="3"/>
        <v>No</v>
      </c>
      <c r="M252" s="2" t="str">
        <f>IF(K252="","",F252*VLOOKUP(E252,WEIGHTS!$A$2:$F$4,2,FALSE)+G252*VLOOKUP(E252,WEIGHTS!$A$2:$F$4,3,FALSE)+H252*VLOOKUP(E252,WEIGHTS!$A$2:$F$4,4,FALSE)+I252*VLOOKUP(E252,WEIGHTS!$A$2:$F$4,5,FALSE)+J252*VLOOKUP(E252,WEIGHTS!$A$2:$F$4,6,FALSE))</f>
        <v/>
      </c>
      <c r="N252" s="2" t="str">
        <f t="shared" si="4"/>
        <v/>
      </c>
    </row>
    <row r="253" ht="15.75" customHeight="1">
      <c r="A253" s="3"/>
      <c r="B253" s="2" t="str">
        <f t="shared" si="1"/>
        <v/>
      </c>
      <c r="E253" s="2"/>
      <c r="F253" s="2"/>
      <c r="G253" s="2"/>
      <c r="H253" s="2"/>
      <c r="I253" s="2"/>
      <c r="J253" s="2"/>
      <c r="K253" s="2" t="str">
        <f t="shared" si="2"/>
        <v/>
      </c>
      <c r="L253" s="2" t="str">
        <f t="shared" si="3"/>
        <v>No</v>
      </c>
      <c r="M253" s="2" t="str">
        <f>IF(K253="","",F253*VLOOKUP(E253,WEIGHTS!$A$2:$F$4,2,FALSE)+G253*VLOOKUP(E253,WEIGHTS!$A$2:$F$4,3,FALSE)+H253*VLOOKUP(E253,WEIGHTS!$A$2:$F$4,4,FALSE)+I253*VLOOKUP(E253,WEIGHTS!$A$2:$F$4,5,FALSE)+J253*VLOOKUP(E253,WEIGHTS!$A$2:$F$4,6,FALSE))</f>
        <v/>
      </c>
      <c r="N253" s="2" t="str">
        <f t="shared" si="4"/>
        <v/>
      </c>
    </row>
    <row r="254" ht="15.75" customHeight="1">
      <c r="A254" s="3"/>
      <c r="B254" s="2" t="str">
        <f t="shared" si="1"/>
        <v/>
      </c>
      <c r="E254" s="2"/>
      <c r="F254" s="2"/>
      <c r="G254" s="2"/>
      <c r="H254" s="2"/>
      <c r="I254" s="2"/>
      <c r="J254" s="2"/>
      <c r="K254" s="2" t="str">
        <f t="shared" si="2"/>
        <v/>
      </c>
      <c r="L254" s="2" t="str">
        <f t="shared" si="3"/>
        <v>No</v>
      </c>
      <c r="M254" s="2" t="str">
        <f>IF(K254="","",F254*VLOOKUP(E254,WEIGHTS!$A$2:$F$4,2,FALSE)+G254*VLOOKUP(E254,WEIGHTS!$A$2:$F$4,3,FALSE)+H254*VLOOKUP(E254,WEIGHTS!$A$2:$F$4,4,FALSE)+I254*VLOOKUP(E254,WEIGHTS!$A$2:$F$4,5,FALSE)+J254*VLOOKUP(E254,WEIGHTS!$A$2:$F$4,6,FALSE))</f>
        <v/>
      </c>
      <c r="N254" s="2" t="str">
        <f t="shared" si="4"/>
        <v/>
      </c>
    </row>
    <row r="255" ht="15.75" customHeight="1">
      <c r="A255" s="3"/>
      <c r="B255" s="2" t="str">
        <f t="shared" si="1"/>
        <v/>
      </c>
      <c r="E255" s="2"/>
      <c r="F255" s="2"/>
      <c r="G255" s="2"/>
      <c r="H255" s="2"/>
      <c r="I255" s="2"/>
      <c r="J255" s="2"/>
      <c r="K255" s="2" t="str">
        <f t="shared" si="2"/>
        <v/>
      </c>
      <c r="L255" s="2" t="str">
        <f t="shared" si="3"/>
        <v>No</v>
      </c>
      <c r="M255" s="2" t="str">
        <f>IF(K255="","",F255*VLOOKUP(E255,WEIGHTS!$A$2:$F$4,2,FALSE)+G255*VLOOKUP(E255,WEIGHTS!$A$2:$F$4,3,FALSE)+H255*VLOOKUP(E255,WEIGHTS!$A$2:$F$4,4,FALSE)+I255*VLOOKUP(E255,WEIGHTS!$A$2:$F$4,5,FALSE)+J255*VLOOKUP(E255,WEIGHTS!$A$2:$F$4,6,FALSE))</f>
        <v/>
      </c>
      <c r="N255" s="2" t="str">
        <f t="shared" si="4"/>
        <v/>
      </c>
    </row>
    <row r="256" ht="15.75" customHeight="1">
      <c r="A256" s="3"/>
      <c r="B256" s="2" t="str">
        <f t="shared" si="1"/>
        <v/>
      </c>
      <c r="E256" s="2"/>
      <c r="F256" s="2"/>
      <c r="G256" s="2"/>
      <c r="H256" s="2"/>
      <c r="I256" s="2"/>
      <c r="J256" s="2"/>
      <c r="K256" s="2" t="str">
        <f t="shared" si="2"/>
        <v/>
      </c>
      <c r="L256" s="2" t="str">
        <f t="shared" si="3"/>
        <v>No</v>
      </c>
      <c r="M256" s="2" t="str">
        <f>IF(K256="","",F256*VLOOKUP(E256,WEIGHTS!$A$2:$F$4,2,FALSE)+G256*VLOOKUP(E256,WEIGHTS!$A$2:$F$4,3,FALSE)+H256*VLOOKUP(E256,WEIGHTS!$A$2:$F$4,4,FALSE)+I256*VLOOKUP(E256,WEIGHTS!$A$2:$F$4,5,FALSE)+J256*VLOOKUP(E256,WEIGHTS!$A$2:$F$4,6,FALSE))</f>
        <v/>
      </c>
      <c r="N256" s="2" t="str">
        <f t="shared" si="4"/>
        <v/>
      </c>
    </row>
    <row r="257" ht="15.75" customHeight="1">
      <c r="A257" s="3"/>
      <c r="B257" s="2" t="str">
        <f t="shared" si="1"/>
        <v/>
      </c>
      <c r="E257" s="2"/>
      <c r="F257" s="2"/>
      <c r="G257" s="2"/>
      <c r="H257" s="2"/>
      <c r="I257" s="2"/>
      <c r="J257" s="2"/>
      <c r="K257" s="2" t="str">
        <f t="shared" si="2"/>
        <v/>
      </c>
      <c r="L257" s="2" t="str">
        <f t="shared" si="3"/>
        <v>No</v>
      </c>
      <c r="M257" s="2" t="str">
        <f>IF(K257="","",F257*VLOOKUP(E257,WEIGHTS!$A$2:$F$4,2,FALSE)+G257*VLOOKUP(E257,WEIGHTS!$A$2:$F$4,3,FALSE)+H257*VLOOKUP(E257,WEIGHTS!$A$2:$F$4,4,FALSE)+I257*VLOOKUP(E257,WEIGHTS!$A$2:$F$4,5,FALSE)+J257*VLOOKUP(E257,WEIGHTS!$A$2:$F$4,6,FALSE))</f>
        <v/>
      </c>
      <c r="N257" s="2" t="str">
        <f t="shared" si="4"/>
        <v/>
      </c>
    </row>
    <row r="258" ht="15.75" customHeight="1">
      <c r="A258" s="3"/>
      <c r="B258" s="2" t="str">
        <f t="shared" si="1"/>
        <v/>
      </c>
      <c r="E258" s="2"/>
      <c r="F258" s="2"/>
      <c r="G258" s="2"/>
      <c r="H258" s="2"/>
      <c r="I258" s="2"/>
      <c r="J258" s="2"/>
      <c r="K258" s="2" t="str">
        <f t="shared" si="2"/>
        <v/>
      </c>
      <c r="L258" s="2" t="str">
        <f t="shared" si="3"/>
        <v>No</v>
      </c>
      <c r="M258" s="2" t="str">
        <f>IF(K258="","",F258*VLOOKUP(E258,WEIGHTS!$A$2:$F$4,2,FALSE)+G258*VLOOKUP(E258,WEIGHTS!$A$2:$F$4,3,FALSE)+H258*VLOOKUP(E258,WEIGHTS!$A$2:$F$4,4,FALSE)+I258*VLOOKUP(E258,WEIGHTS!$A$2:$F$4,5,FALSE)+J258*VLOOKUP(E258,WEIGHTS!$A$2:$F$4,6,FALSE))</f>
        <v/>
      </c>
      <c r="N258" s="2" t="str">
        <f t="shared" si="4"/>
        <v/>
      </c>
    </row>
    <row r="259" ht="15.75" customHeight="1">
      <c r="A259" s="3"/>
      <c r="B259" s="2" t="str">
        <f t="shared" si="1"/>
        <v/>
      </c>
      <c r="E259" s="2"/>
      <c r="F259" s="2"/>
      <c r="G259" s="2"/>
      <c r="H259" s="2"/>
      <c r="I259" s="2"/>
      <c r="J259" s="2"/>
      <c r="K259" s="2" t="str">
        <f t="shared" si="2"/>
        <v/>
      </c>
      <c r="L259" s="2" t="str">
        <f t="shared" si="3"/>
        <v>No</v>
      </c>
      <c r="M259" s="2" t="str">
        <f>IF(K259="","",F259*VLOOKUP(E259,WEIGHTS!$A$2:$F$4,2,FALSE)+G259*VLOOKUP(E259,WEIGHTS!$A$2:$F$4,3,FALSE)+H259*VLOOKUP(E259,WEIGHTS!$A$2:$F$4,4,FALSE)+I259*VLOOKUP(E259,WEIGHTS!$A$2:$F$4,5,FALSE)+J259*VLOOKUP(E259,WEIGHTS!$A$2:$F$4,6,FALSE))</f>
        <v/>
      </c>
      <c r="N259" s="2" t="str">
        <f t="shared" si="4"/>
        <v/>
      </c>
    </row>
    <row r="260" ht="15.75" customHeight="1">
      <c r="A260" s="3"/>
      <c r="B260" s="2" t="str">
        <f t="shared" si="1"/>
        <v/>
      </c>
      <c r="E260" s="2"/>
      <c r="F260" s="2"/>
      <c r="G260" s="2"/>
      <c r="H260" s="2"/>
      <c r="I260" s="2"/>
      <c r="J260" s="2"/>
      <c r="K260" s="2" t="str">
        <f t="shared" si="2"/>
        <v/>
      </c>
      <c r="L260" s="2" t="str">
        <f t="shared" si="3"/>
        <v>No</v>
      </c>
      <c r="M260" s="2" t="str">
        <f>IF(K260="","",F260*VLOOKUP(E260,WEIGHTS!$A$2:$F$4,2,FALSE)+G260*VLOOKUP(E260,WEIGHTS!$A$2:$F$4,3,FALSE)+H260*VLOOKUP(E260,WEIGHTS!$A$2:$F$4,4,FALSE)+I260*VLOOKUP(E260,WEIGHTS!$A$2:$F$4,5,FALSE)+J260*VLOOKUP(E260,WEIGHTS!$A$2:$F$4,6,FALSE))</f>
        <v/>
      </c>
      <c r="N260" s="2" t="str">
        <f t="shared" si="4"/>
        <v/>
      </c>
    </row>
    <row r="261" ht="15.75" customHeight="1">
      <c r="A261" s="3"/>
      <c r="B261" s="2" t="str">
        <f t="shared" si="1"/>
        <v/>
      </c>
      <c r="E261" s="2"/>
      <c r="F261" s="2"/>
      <c r="G261" s="2"/>
      <c r="H261" s="2"/>
      <c r="I261" s="2"/>
      <c r="J261" s="2"/>
      <c r="K261" s="2" t="str">
        <f t="shared" si="2"/>
        <v/>
      </c>
      <c r="L261" s="2" t="str">
        <f t="shared" si="3"/>
        <v>No</v>
      </c>
      <c r="M261" s="2" t="str">
        <f>IF(K261="","",F261*VLOOKUP(E261,WEIGHTS!$A$2:$F$4,2,FALSE)+G261*VLOOKUP(E261,WEIGHTS!$A$2:$F$4,3,FALSE)+H261*VLOOKUP(E261,WEIGHTS!$A$2:$F$4,4,FALSE)+I261*VLOOKUP(E261,WEIGHTS!$A$2:$F$4,5,FALSE)+J261*VLOOKUP(E261,WEIGHTS!$A$2:$F$4,6,FALSE))</f>
        <v/>
      </c>
      <c r="N261" s="2" t="str">
        <f t="shared" si="4"/>
        <v/>
      </c>
    </row>
    <row r="262" ht="15.75" customHeight="1">
      <c r="A262" s="3"/>
      <c r="B262" s="2" t="str">
        <f t="shared" si="1"/>
        <v/>
      </c>
      <c r="E262" s="2"/>
      <c r="F262" s="2"/>
      <c r="G262" s="2"/>
      <c r="H262" s="2"/>
      <c r="I262" s="2"/>
      <c r="J262" s="2"/>
      <c r="K262" s="2" t="str">
        <f t="shared" si="2"/>
        <v/>
      </c>
      <c r="L262" s="2" t="str">
        <f t="shared" si="3"/>
        <v>No</v>
      </c>
      <c r="M262" s="2" t="str">
        <f>IF(K262="","",F262*VLOOKUP(E262,WEIGHTS!$A$2:$F$4,2,FALSE)+G262*VLOOKUP(E262,WEIGHTS!$A$2:$F$4,3,FALSE)+H262*VLOOKUP(E262,WEIGHTS!$A$2:$F$4,4,FALSE)+I262*VLOOKUP(E262,WEIGHTS!$A$2:$F$4,5,FALSE)+J262*VLOOKUP(E262,WEIGHTS!$A$2:$F$4,6,FALSE))</f>
        <v/>
      </c>
      <c r="N262" s="2" t="str">
        <f t="shared" si="4"/>
        <v/>
      </c>
    </row>
    <row r="263" ht="15.75" customHeight="1">
      <c r="A263" s="3"/>
      <c r="B263" s="2" t="str">
        <f t="shared" si="1"/>
        <v/>
      </c>
      <c r="E263" s="2"/>
      <c r="F263" s="2"/>
      <c r="G263" s="2"/>
      <c r="H263" s="2"/>
      <c r="I263" s="2"/>
      <c r="J263" s="2"/>
      <c r="K263" s="2" t="str">
        <f t="shared" si="2"/>
        <v/>
      </c>
      <c r="L263" s="2" t="str">
        <f t="shared" si="3"/>
        <v>No</v>
      </c>
      <c r="M263" s="2" t="str">
        <f>IF(K263="","",F263*VLOOKUP(E263,WEIGHTS!$A$2:$F$4,2,FALSE)+G263*VLOOKUP(E263,WEIGHTS!$A$2:$F$4,3,FALSE)+H263*VLOOKUP(E263,WEIGHTS!$A$2:$F$4,4,FALSE)+I263*VLOOKUP(E263,WEIGHTS!$A$2:$F$4,5,FALSE)+J263*VLOOKUP(E263,WEIGHTS!$A$2:$F$4,6,FALSE))</f>
        <v/>
      </c>
      <c r="N263" s="2" t="str">
        <f t="shared" si="4"/>
        <v/>
      </c>
    </row>
    <row r="264" ht="15.75" customHeight="1">
      <c r="A264" s="3"/>
      <c r="B264" s="2" t="str">
        <f t="shared" si="1"/>
        <v/>
      </c>
      <c r="E264" s="2"/>
      <c r="F264" s="2"/>
      <c r="G264" s="2"/>
      <c r="H264" s="2"/>
      <c r="I264" s="2"/>
      <c r="J264" s="2"/>
      <c r="K264" s="2" t="str">
        <f t="shared" si="2"/>
        <v/>
      </c>
      <c r="L264" s="2" t="str">
        <f t="shared" si="3"/>
        <v>No</v>
      </c>
      <c r="M264" s="2" t="str">
        <f>IF(K264="","",F264*VLOOKUP(E264,WEIGHTS!$A$2:$F$4,2,FALSE)+G264*VLOOKUP(E264,WEIGHTS!$A$2:$F$4,3,FALSE)+H264*VLOOKUP(E264,WEIGHTS!$A$2:$F$4,4,FALSE)+I264*VLOOKUP(E264,WEIGHTS!$A$2:$F$4,5,FALSE)+J264*VLOOKUP(E264,WEIGHTS!$A$2:$F$4,6,FALSE))</f>
        <v/>
      </c>
      <c r="N264" s="2" t="str">
        <f t="shared" si="4"/>
        <v/>
      </c>
    </row>
    <row r="265" ht="15.75" customHeight="1">
      <c r="A265" s="3"/>
      <c r="B265" s="2" t="str">
        <f t="shared" si="1"/>
        <v/>
      </c>
      <c r="E265" s="2"/>
      <c r="F265" s="2"/>
      <c r="G265" s="2"/>
      <c r="H265" s="2"/>
      <c r="I265" s="2"/>
      <c r="J265" s="2"/>
      <c r="K265" s="2" t="str">
        <f t="shared" si="2"/>
        <v/>
      </c>
      <c r="L265" s="2" t="str">
        <f t="shared" si="3"/>
        <v>No</v>
      </c>
      <c r="M265" s="2" t="str">
        <f>IF(K265="","",F265*VLOOKUP(E265,WEIGHTS!$A$2:$F$4,2,FALSE)+G265*VLOOKUP(E265,WEIGHTS!$A$2:$F$4,3,FALSE)+H265*VLOOKUP(E265,WEIGHTS!$A$2:$F$4,4,FALSE)+I265*VLOOKUP(E265,WEIGHTS!$A$2:$F$4,5,FALSE)+J265*VLOOKUP(E265,WEIGHTS!$A$2:$F$4,6,FALSE))</f>
        <v/>
      </c>
      <c r="N265" s="2" t="str">
        <f t="shared" si="4"/>
        <v/>
      </c>
    </row>
    <row r="266" ht="15.75" customHeight="1">
      <c r="A266" s="3"/>
      <c r="B266" s="2" t="str">
        <f t="shared" si="1"/>
        <v/>
      </c>
      <c r="E266" s="2"/>
      <c r="F266" s="2"/>
      <c r="G266" s="2"/>
      <c r="H266" s="2"/>
      <c r="I266" s="2"/>
      <c r="J266" s="2"/>
      <c r="K266" s="2" t="str">
        <f t="shared" si="2"/>
        <v/>
      </c>
      <c r="L266" s="2" t="str">
        <f t="shared" si="3"/>
        <v>No</v>
      </c>
      <c r="M266" s="2" t="str">
        <f>IF(K266="","",F266*VLOOKUP(E266,WEIGHTS!$A$2:$F$4,2,FALSE)+G266*VLOOKUP(E266,WEIGHTS!$A$2:$F$4,3,FALSE)+H266*VLOOKUP(E266,WEIGHTS!$A$2:$F$4,4,FALSE)+I266*VLOOKUP(E266,WEIGHTS!$A$2:$F$4,5,FALSE)+J266*VLOOKUP(E266,WEIGHTS!$A$2:$F$4,6,FALSE))</f>
        <v/>
      </c>
      <c r="N266" s="2" t="str">
        <f t="shared" si="4"/>
        <v/>
      </c>
    </row>
    <row r="267" ht="15.75" customHeight="1">
      <c r="A267" s="3"/>
      <c r="B267" s="2" t="str">
        <f t="shared" si="1"/>
        <v/>
      </c>
      <c r="E267" s="2"/>
      <c r="F267" s="2"/>
      <c r="G267" s="2"/>
      <c r="H267" s="2"/>
      <c r="I267" s="2"/>
      <c r="J267" s="2"/>
      <c r="K267" s="2" t="str">
        <f t="shared" si="2"/>
        <v/>
      </c>
      <c r="L267" s="2" t="str">
        <f t="shared" si="3"/>
        <v>No</v>
      </c>
      <c r="M267" s="2" t="str">
        <f>IF(K267="","",F267*VLOOKUP(E267,WEIGHTS!$A$2:$F$4,2,FALSE)+G267*VLOOKUP(E267,WEIGHTS!$A$2:$F$4,3,FALSE)+H267*VLOOKUP(E267,WEIGHTS!$A$2:$F$4,4,FALSE)+I267*VLOOKUP(E267,WEIGHTS!$A$2:$F$4,5,FALSE)+J267*VLOOKUP(E267,WEIGHTS!$A$2:$F$4,6,FALSE))</f>
        <v/>
      </c>
      <c r="N267" s="2" t="str">
        <f t="shared" si="4"/>
        <v/>
      </c>
    </row>
    <row r="268" ht="15.75" customHeight="1">
      <c r="A268" s="3"/>
      <c r="B268" s="2" t="str">
        <f t="shared" si="1"/>
        <v/>
      </c>
      <c r="E268" s="2"/>
      <c r="F268" s="2"/>
      <c r="G268" s="2"/>
      <c r="H268" s="2"/>
      <c r="I268" s="2"/>
      <c r="J268" s="2"/>
      <c r="K268" s="2" t="str">
        <f t="shared" si="2"/>
        <v/>
      </c>
      <c r="L268" s="2" t="str">
        <f t="shared" si="3"/>
        <v>No</v>
      </c>
      <c r="M268" s="2" t="str">
        <f>IF(K268="","",F268*VLOOKUP(E268,WEIGHTS!$A$2:$F$4,2,FALSE)+G268*VLOOKUP(E268,WEIGHTS!$A$2:$F$4,3,FALSE)+H268*VLOOKUP(E268,WEIGHTS!$A$2:$F$4,4,FALSE)+I268*VLOOKUP(E268,WEIGHTS!$A$2:$F$4,5,FALSE)+J268*VLOOKUP(E268,WEIGHTS!$A$2:$F$4,6,FALSE))</f>
        <v/>
      </c>
      <c r="N268" s="2" t="str">
        <f t="shared" si="4"/>
        <v/>
      </c>
    </row>
    <row r="269" ht="15.75" customHeight="1">
      <c r="A269" s="3"/>
      <c r="B269" s="2" t="str">
        <f t="shared" si="1"/>
        <v/>
      </c>
      <c r="E269" s="2"/>
      <c r="F269" s="2"/>
      <c r="G269" s="2"/>
      <c r="H269" s="2"/>
      <c r="I269" s="2"/>
      <c r="J269" s="2"/>
      <c r="K269" s="2" t="str">
        <f t="shared" si="2"/>
        <v/>
      </c>
      <c r="L269" s="2" t="str">
        <f t="shared" si="3"/>
        <v>No</v>
      </c>
      <c r="M269" s="2" t="str">
        <f>IF(K269="","",F269*VLOOKUP(E269,WEIGHTS!$A$2:$F$4,2,FALSE)+G269*VLOOKUP(E269,WEIGHTS!$A$2:$F$4,3,FALSE)+H269*VLOOKUP(E269,WEIGHTS!$A$2:$F$4,4,FALSE)+I269*VLOOKUP(E269,WEIGHTS!$A$2:$F$4,5,FALSE)+J269*VLOOKUP(E269,WEIGHTS!$A$2:$F$4,6,FALSE))</f>
        <v/>
      </c>
      <c r="N269" s="2" t="str">
        <f t="shared" si="4"/>
        <v/>
      </c>
    </row>
    <row r="270" ht="15.75" customHeight="1">
      <c r="A270" s="3"/>
      <c r="B270" s="2" t="str">
        <f t="shared" si="1"/>
        <v/>
      </c>
      <c r="E270" s="2"/>
      <c r="F270" s="2"/>
      <c r="G270" s="2"/>
      <c r="H270" s="2"/>
      <c r="I270" s="2"/>
      <c r="J270" s="2"/>
      <c r="K270" s="2" t="str">
        <f t="shared" si="2"/>
        <v/>
      </c>
      <c r="L270" s="2" t="str">
        <f t="shared" si="3"/>
        <v>No</v>
      </c>
      <c r="M270" s="2" t="str">
        <f>IF(K270="","",F270*VLOOKUP(E270,WEIGHTS!$A$2:$F$4,2,FALSE)+G270*VLOOKUP(E270,WEIGHTS!$A$2:$F$4,3,FALSE)+H270*VLOOKUP(E270,WEIGHTS!$A$2:$F$4,4,FALSE)+I270*VLOOKUP(E270,WEIGHTS!$A$2:$F$4,5,FALSE)+J270*VLOOKUP(E270,WEIGHTS!$A$2:$F$4,6,FALSE))</f>
        <v/>
      </c>
      <c r="N270" s="2" t="str">
        <f t="shared" si="4"/>
        <v/>
      </c>
    </row>
    <row r="271" ht="15.75" customHeight="1">
      <c r="A271" s="3"/>
      <c r="B271" s="2" t="str">
        <f t="shared" si="1"/>
        <v/>
      </c>
      <c r="E271" s="2"/>
      <c r="F271" s="2"/>
      <c r="G271" s="2"/>
      <c r="H271" s="2"/>
      <c r="I271" s="2"/>
      <c r="J271" s="2"/>
      <c r="K271" s="2" t="str">
        <f t="shared" si="2"/>
        <v/>
      </c>
      <c r="L271" s="2" t="str">
        <f t="shared" si="3"/>
        <v>No</v>
      </c>
      <c r="M271" s="2" t="str">
        <f>IF(K271="","",F271*VLOOKUP(E271,WEIGHTS!$A$2:$F$4,2,FALSE)+G271*VLOOKUP(E271,WEIGHTS!$A$2:$F$4,3,FALSE)+H271*VLOOKUP(E271,WEIGHTS!$A$2:$F$4,4,FALSE)+I271*VLOOKUP(E271,WEIGHTS!$A$2:$F$4,5,FALSE)+J271*VLOOKUP(E271,WEIGHTS!$A$2:$F$4,6,FALSE))</f>
        <v/>
      </c>
      <c r="N271" s="2" t="str">
        <f t="shared" si="4"/>
        <v/>
      </c>
    </row>
    <row r="272" ht="15.75" customHeight="1">
      <c r="A272" s="3"/>
      <c r="B272" s="2" t="str">
        <f t="shared" si="1"/>
        <v/>
      </c>
      <c r="E272" s="2"/>
      <c r="F272" s="2"/>
      <c r="G272" s="2"/>
      <c r="H272" s="2"/>
      <c r="I272" s="2"/>
      <c r="J272" s="2"/>
      <c r="K272" s="2" t="str">
        <f t="shared" si="2"/>
        <v/>
      </c>
      <c r="L272" s="2" t="str">
        <f t="shared" si="3"/>
        <v>No</v>
      </c>
      <c r="M272" s="2" t="str">
        <f>IF(K272="","",F272*VLOOKUP(E272,WEIGHTS!$A$2:$F$4,2,FALSE)+G272*VLOOKUP(E272,WEIGHTS!$A$2:$F$4,3,FALSE)+H272*VLOOKUP(E272,WEIGHTS!$A$2:$F$4,4,FALSE)+I272*VLOOKUP(E272,WEIGHTS!$A$2:$F$4,5,FALSE)+J272*VLOOKUP(E272,WEIGHTS!$A$2:$F$4,6,FALSE))</f>
        <v/>
      </c>
      <c r="N272" s="2" t="str">
        <f t="shared" si="4"/>
        <v/>
      </c>
    </row>
    <row r="273" ht="15.75" customHeight="1">
      <c r="A273" s="3"/>
      <c r="B273" s="2" t="str">
        <f t="shared" si="1"/>
        <v/>
      </c>
      <c r="E273" s="2"/>
      <c r="F273" s="2"/>
      <c r="G273" s="2"/>
      <c r="H273" s="2"/>
      <c r="I273" s="2"/>
      <c r="J273" s="2"/>
      <c r="K273" s="2" t="str">
        <f t="shared" si="2"/>
        <v/>
      </c>
      <c r="L273" s="2" t="str">
        <f t="shared" si="3"/>
        <v>No</v>
      </c>
      <c r="M273" s="2" t="str">
        <f>IF(K273="","",F273*VLOOKUP(E273,WEIGHTS!$A$2:$F$4,2,FALSE)+G273*VLOOKUP(E273,WEIGHTS!$A$2:$F$4,3,FALSE)+H273*VLOOKUP(E273,WEIGHTS!$A$2:$F$4,4,FALSE)+I273*VLOOKUP(E273,WEIGHTS!$A$2:$F$4,5,FALSE)+J273*VLOOKUP(E273,WEIGHTS!$A$2:$F$4,6,FALSE))</f>
        <v/>
      </c>
      <c r="N273" s="2" t="str">
        <f t="shared" si="4"/>
        <v/>
      </c>
    </row>
    <row r="274" ht="15.75" customHeight="1">
      <c r="A274" s="3"/>
      <c r="B274" s="2" t="str">
        <f t="shared" si="1"/>
        <v/>
      </c>
      <c r="E274" s="2"/>
      <c r="F274" s="2"/>
      <c r="G274" s="2"/>
      <c r="H274" s="2"/>
      <c r="I274" s="2"/>
      <c r="J274" s="2"/>
      <c r="K274" s="2" t="str">
        <f t="shared" si="2"/>
        <v/>
      </c>
      <c r="L274" s="2" t="str">
        <f t="shared" si="3"/>
        <v>No</v>
      </c>
      <c r="M274" s="2" t="str">
        <f>IF(K274="","",F274*VLOOKUP(E274,WEIGHTS!$A$2:$F$4,2,FALSE)+G274*VLOOKUP(E274,WEIGHTS!$A$2:$F$4,3,FALSE)+H274*VLOOKUP(E274,WEIGHTS!$A$2:$F$4,4,FALSE)+I274*VLOOKUP(E274,WEIGHTS!$A$2:$F$4,5,FALSE)+J274*VLOOKUP(E274,WEIGHTS!$A$2:$F$4,6,FALSE))</f>
        <v/>
      </c>
      <c r="N274" s="2" t="str">
        <f t="shared" si="4"/>
        <v/>
      </c>
    </row>
    <row r="275" ht="15.75" customHeight="1">
      <c r="A275" s="3"/>
      <c r="B275" s="2" t="str">
        <f t="shared" si="1"/>
        <v/>
      </c>
      <c r="E275" s="2"/>
      <c r="F275" s="2"/>
      <c r="G275" s="2"/>
      <c r="H275" s="2"/>
      <c r="I275" s="2"/>
      <c r="J275" s="2"/>
      <c r="K275" s="2" t="str">
        <f t="shared" si="2"/>
        <v/>
      </c>
      <c r="L275" s="2" t="str">
        <f t="shared" si="3"/>
        <v>No</v>
      </c>
      <c r="M275" s="2" t="str">
        <f>IF(K275="","",F275*VLOOKUP(E275,WEIGHTS!$A$2:$F$4,2,FALSE)+G275*VLOOKUP(E275,WEIGHTS!$A$2:$F$4,3,FALSE)+H275*VLOOKUP(E275,WEIGHTS!$A$2:$F$4,4,FALSE)+I275*VLOOKUP(E275,WEIGHTS!$A$2:$F$4,5,FALSE)+J275*VLOOKUP(E275,WEIGHTS!$A$2:$F$4,6,FALSE))</f>
        <v/>
      </c>
      <c r="N275" s="2" t="str">
        <f t="shared" si="4"/>
        <v/>
      </c>
    </row>
    <row r="276" ht="15.75" customHeight="1">
      <c r="A276" s="3"/>
      <c r="B276" s="2" t="str">
        <f t="shared" si="1"/>
        <v/>
      </c>
      <c r="E276" s="2"/>
      <c r="F276" s="2"/>
      <c r="G276" s="2"/>
      <c r="H276" s="2"/>
      <c r="I276" s="2"/>
      <c r="J276" s="2"/>
      <c r="K276" s="2" t="str">
        <f t="shared" si="2"/>
        <v/>
      </c>
      <c r="L276" s="2" t="str">
        <f t="shared" si="3"/>
        <v>No</v>
      </c>
      <c r="M276" s="2" t="str">
        <f>IF(K276="","",F276*VLOOKUP(E276,WEIGHTS!$A$2:$F$4,2,FALSE)+G276*VLOOKUP(E276,WEIGHTS!$A$2:$F$4,3,FALSE)+H276*VLOOKUP(E276,WEIGHTS!$A$2:$F$4,4,FALSE)+I276*VLOOKUP(E276,WEIGHTS!$A$2:$F$4,5,FALSE)+J276*VLOOKUP(E276,WEIGHTS!$A$2:$F$4,6,FALSE))</f>
        <v/>
      </c>
      <c r="N276" s="2" t="str">
        <f t="shared" si="4"/>
        <v/>
      </c>
    </row>
    <row r="277" ht="15.75" customHeight="1">
      <c r="A277" s="3"/>
      <c r="B277" s="2" t="str">
        <f t="shared" si="1"/>
        <v/>
      </c>
      <c r="E277" s="2"/>
      <c r="F277" s="2"/>
      <c r="G277" s="2"/>
      <c r="H277" s="2"/>
      <c r="I277" s="2"/>
      <c r="J277" s="2"/>
      <c r="K277" s="2" t="str">
        <f t="shared" si="2"/>
        <v/>
      </c>
      <c r="L277" s="2" t="str">
        <f t="shared" si="3"/>
        <v>No</v>
      </c>
      <c r="M277" s="2" t="str">
        <f>IF(K277="","",F277*VLOOKUP(E277,WEIGHTS!$A$2:$F$4,2,FALSE)+G277*VLOOKUP(E277,WEIGHTS!$A$2:$F$4,3,FALSE)+H277*VLOOKUP(E277,WEIGHTS!$A$2:$F$4,4,FALSE)+I277*VLOOKUP(E277,WEIGHTS!$A$2:$F$4,5,FALSE)+J277*VLOOKUP(E277,WEIGHTS!$A$2:$F$4,6,FALSE))</f>
        <v/>
      </c>
      <c r="N277" s="2" t="str">
        <f t="shared" si="4"/>
        <v/>
      </c>
    </row>
    <row r="278" ht="15.75" customHeight="1">
      <c r="A278" s="3"/>
      <c r="B278" s="2" t="str">
        <f t="shared" si="1"/>
        <v/>
      </c>
      <c r="E278" s="2"/>
      <c r="F278" s="2"/>
      <c r="G278" s="2"/>
      <c r="H278" s="2"/>
      <c r="I278" s="2"/>
      <c r="J278" s="2"/>
      <c r="K278" s="2" t="str">
        <f t="shared" si="2"/>
        <v/>
      </c>
      <c r="L278" s="2" t="str">
        <f t="shared" si="3"/>
        <v>No</v>
      </c>
      <c r="M278" s="2" t="str">
        <f>IF(K278="","",F278*VLOOKUP(E278,WEIGHTS!$A$2:$F$4,2,FALSE)+G278*VLOOKUP(E278,WEIGHTS!$A$2:$F$4,3,FALSE)+H278*VLOOKUP(E278,WEIGHTS!$A$2:$F$4,4,FALSE)+I278*VLOOKUP(E278,WEIGHTS!$A$2:$F$4,5,FALSE)+J278*VLOOKUP(E278,WEIGHTS!$A$2:$F$4,6,FALSE))</f>
        <v/>
      </c>
      <c r="N278" s="2" t="str">
        <f t="shared" si="4"/>
        <v/>
      </c>
    </row>
    <row r="279" ht="15.75" customHeight="1">
      <c r="A279" s="3"/>
      <c r="B279" s="2" t="str">
        <f t="shared" si="1"/>
        <v/>
      </c>
      <c r="E279" s="2"/>
      <c r="F279" s="2"/>
      <c r="G279" s="2"/>
      <c r="H279" s="2"/>
      <c r="I279" s="2"/>
      <c r="J279" s="2"/>
      <c r="K279" s="2" t="str">
        <f t="shared" si="2"/>
        <v/>
      </c>
      <c r="L279" s="2" t="str">
        <f t="shared" si="3"/>
        <v>No</v>
      </c>
      <c r="M279" s="2" t="str">
        <f>IF(K279="","",F279*VLOOKUP(E279,WEIGHTS!$A$2:$F$4,2,FALSE)+G279*VLOOKUP(E279,WEIGHTS!$A$2:$F$4,3,FALSE)+H279*VLOOKUP(E279,WEIGHTS!$A$2:$F$4,4,FALSE)+I279*VLOOKUP(E279,WEIGHTS!$A$2:$F$4,5,FALSE)+J279*VLOOKUP(E279,WEIGHTS!$A$2:$F$4,6,FALSE))</f>
        <v/>
      </c>
      <c r="N279" s="2" t="str">
        <f t="shared" si="4"/>
        <v/>
      </c>
    </row>
    <row r="280" ht="15.75" customHeight="1">
      <c r="A280" s="3"/>
      <c r="B280" s="2" t="str">
        <f t="shared" si="1"/>
        <v/>
      </c>
      <c r="E280" s="2"/>
      <c r="F280" s="2"/>
      <c r="G280" s="2"/>
      <c r="H280" s="2"/>
      <c r="I280" s="2"/>
      <c r="J280" s="2"/>
      <c r="K280" s="2" t="str">
        <f t="shared" si="2"/>
        <v/>
      </c>
      <c r="L280" s="2" t="str">
        <f t="shared" si="3"/>
        <v>No</v>
      </c>
      <c r="M280" s="2" t="str">
        <f>IF(K280="","",F280*VLOOKUP(E280,WEIGHTS!$A$2:$F$4,2,FALSE)+G280*VLOOKUP(E280,WEIGHTS!$A$2:$F$4,3,FALSE)+H280*VLOOKUP(E280,WEIGHTS!$A$2:$F$4,4,FALSE)+I280*VLOOKUP(E280,WEIGHTS!$A$2:$F$4,5,FALSE)+J280*VLOOKUP(E280,WEIGHTS!$A$2:$F$4,6,FALSE))</f>
        <v/>
      </c>
      <c r="N280" s="2" t="str">
        <f t="shared" si="4"/>
        <v/>
      </c>
    </row>
    <row r="281" ht="15.75" customHeight="1">
      <c r="A281" s="3"/>
      <c r="B281" s="2" t="str">
        <f t="shared" si="1"/>
        <v/>
      </c>
      <c r="E281" s="2"/>
      <c r="F281" s="2"/>
      <c r="G281" s="2"/>
      <c r="H281" s="2"/>
      <c r="I281" s="2"/>
      <c r="J281" s="2"/>
      <c r="K281" s="2" t="str">
        <f t="shared" si="2"/>
        <v/>
      </c>
      <c r="L281" s="2" t="str">
        <f t="shared" si="3"/>
        <v>No</v>
      </c>
      <c r="M281" s="2" t="str">
        <f>IF(K281="","",F281*VLOOKUP(E281,WEIGHTS!$A$2:$F$4,2,FALSE)+G281*VLOOKUP(E281,WEIGHTS!$A$2:$F$4,3,FALSE)+H281*VLOOKUP(E281,WEIGHTS!$A$2:$F$4,4,FALSE)+I281*VLOOKUP(E281,WEIGHTS!$A$2:$F$4,5,FALSE)+J281*VLOOKUP(E281,WEIGHTS!$A$2:$F$4,6,FALSE))</f>
        <v/>
      </c>
      <c r="N281" s="2" t="str">
        <f t="shared" si="4"/>
        <v/>
      </c>
    </row>
    <row r="282" ht="15.75" customHeight="1">
      <c r="A282" s="3"/>
      <c r="B282" s="2" t="str">
        <f t="shared" si="1"/>
        <v/>
      </c>
      <c r="E282" s="2"/>
      <c r="F282" s="2"/>
      <c r="G282" s="2"/>
      <c r="H282" s="2"/>
      <c r="I282" s="2"/>
      <c r="J282" s="2"/>
      <c r="K282" s="2" t="str">
        <f t="shared" si="2"/>
        <v/>
      </c>
      <c r="L282" s="2" t="str">
        <f t="shared" si="3"/>
        <v>No</v>
      </c>
      <c r="M282" s="2" t="str">
        <f>IF(K282="","",F282*VLOOKUP(E282,WEIGHTS!$A$2:$F$4,2,FALSE)+G282*VLOOKUP(E282,WEIGHTS!$A$2:$F$4,3,FALSE)+H282*VLOOKUP(E282,WEIGHTS!$A$2:$F$4,4,FALSE)+I282*VLOOKUP(E282,WEIGHTS!$A$2:$F$4,5,FALSE)+J282*VLOOKUP(E282,WEIGHTS!$A$2:$F$4,6,FALSE))</f>
        <v/>
      </c>
      <c r="N282" s="2" t="str">
        <f t="shared" si="4"/>
        <v/>
      </c>
    </row>
    <row r="283" ht="15.75" customHeight="1">
      <c r="A283" s="3"/>
      <c r="B283" s="2" t="str">
        <f t="shared" si="1"/>
        <v/>
      </c>
      <c r="E283" s="2"/>
      <c r="F283" s="2"/>
      <c r="G283" s="2"/>
      <c r="H283" s="2"/>
      <c r="I283" s="2"/>
      <c r="J283" s="2"/>
      <c r="K283" s="2" t="str">
        <f t="shared" si="2"/>
        <v/>
      </c>
      <c r="L283" s="2" t="str">
        <f t="shared" si="3"/>
        <v>No</v>
      </c>
      <c r="M283" s="2" t="str">
        <f>IF(K283="","",F283*VLOOKUP(E283,WEIGHTS!$A$2:$F$4,2,FALSE)+G283*VLOOKUP(E283,WEIGHTS!$A$2:$F$4,3,FALSE)+H283*VLOOKUP(E283,WEIGHTS!$A$2:$F$4,4,FALSE)+I283*VLOOKUP(E283,WEIGHTS!$A$2:$F$4,5,FALSE)+J283*VLOOKUP(E283,WEIGHTS!$A$2:$F$4,6,FALSE))</f>
        <v/>
      </c>
      <c r="N283" s="2" t="str">
        <f t="shared" si="4"/>
        <v/>
      </c>
    </row>
    <row r="284" ht="15.75" customHeight="1">
      <c r="A284" s="3"/>
      <c r="B284" s="2" t="str">
        <f t="shared" si="1"/>
        <v/>
      </c>
      <c r="E284" s="2"/>
      <c r="F284" s="2"/>
      <c r="G284" s="2"/>
      <c r="H284" s="2"/>
      <c r="I284" s="2"/>
      <c r="J284" s="2"/>
      <c r="K284" s="2" t="str">
        <f t="shared" si="2"/>
        <v/>
      </c>
      <c r="L284" s="2" t="str">
        <f t="shared" si="3"/>
        <v>No</v>
      </c>
      <c r="M284" s="2" t="str">
        <f>IF(K284="","",F284*VLOOKUP(E284,WEIGHTS!$A$2:$F$4,2,FALSE)+G284*VLOOKUP(E284,WEIGHTS!$A$2:$F$4,3,FALSE)+H284*VLOOKUP(E284,WEIGHTS!$A$2:$F$4,4,FALSE)+I284*VLOOKUP(E284,WEIGHTS!$A$2:$F$4,5,FALSE)+J284*VLOOKUP(E284,WEIGHTS!$A$2:$F$4,6,FALSE))</f>
        <v/>
      </c>
      <c r="N284" s="2" t="str">
        <f t="shared" si="4"/>
        <v/>
      </c>
    </row>
    <row r="285" ht="15.75" customHeight="1">
      <c r="A285" s="3"/>
      <c r="B285" s="2" t="str">
        <f t="shared" si="1"/>
        <v/>
      </c>
      <c r="E285" s="2"/>
      <c r="F285" s="2"/>
      <c r="G285" s="2"/>
      <c r="H285" s="2"/>
      <c r="I285" s="2"/>
      <c r="J285" s="2"/>
      <c r="K285" s="2" t="str">
        <f t="shared" si="2"/>
        <v/>
      </c>
      <c r="L285" s="2" t="str">
        <f t="shared" si="3"/>
        <v>No</v>
      </c>
      <c r="M285" s="2" t="str">
        <f>IF(K285="","",F285*VLOOKUP(E285,WEIGHTS!$A$2:$F$4,2,FALSE)+G285*VLOOKUP(E285,WEIGHTS!$A$2:$F$4,3,FALSE)+H285*VLOOKUP(E285,WEIGHTS!$A$2:$F$4,4,FALSE)+I285*VLOOKUP(E285,WEIGHTS!$A$2:$F$4,5,FALSE)+J285*VLOOKUP(E285,WEIGHTS!$A$2:$F$4,6,FALSE))</f>
        <v/>
      </c>
      <c r="N285" s="2" t="str">
        <f t="shared" si="4"/>
        <v/>
      </c>
    </row>
    <row r="286" ht="15.75" customHeight="1">
      <c r="A286" s="3"/>
      <c r="B286" s="2" t="str">
        <f t="shared" si="1"/>
        <v/>
      </c>
      <c r="E286" s="2"/>
      <c r="F286" s="2"/>
      <c r="G286" s="2"/>
      <c r="H286" s="2"/>
      <c r="I286" s="2"/>
      <c r="J286" s="2"/>
      <c r="K286" s="2" t="str">
        <f t="shared" si="2"/>
        <v/>
      </c>
      <c r="L286" s="2" t="str">
        <f t="shared" si="3"/>
        <v>No</v>
      </c>
      <c r="M286" s="2" t="str">
        <f>IF(K286="","",F286*VLOOKUP(E286,WEIGHTS!$A$2:$F$4,2,FALSE)+G286*VLOOKUP(E286,WEIGHTS!$A$2:$F$4,3,FALSE)+H286*VLOOKUP(E286,WEIGHTS!$A$2:$F$4,4,FALSE)+I286*VLOOKUP(E286,WEIGHTS!$A$2:$F$4,5,FALSE)+J286*VLOOKUP(E286,WEIGHTS!$A$2:$F$4,6,FALSE))</f>
        <v/>
      </c>
      <c r="N286" s="2" t="str">
        <f t="shared" si="4"/>
        <v/>
      </c>
    </row>
    <row r="287" ht="15.75" customHeight="1">
      <c r="A287" s="3"/>
      <c r="B287" s="2" t="str">
        <f t="shared" si="1"/>
        <v/>
      </c>
      <c r="E287" s="2"/>
      <c r="F287" s="2"/>
      <c r="G287" s="2"/>
      <c r="H287" s="2"/>
      <c r="I287" s="2"/>
      <c r="J287" s="2"/>
      <c r="K287" s="2" t="str">
        <f t="shared" si="2"/>
        <v/>
      </c>
      <c r="L287" s="2" t="str">
        <f t="shared" si="3"/>
        <v>No</v>
      </c>
      <c r="M287" s="2" t="str">
        <f>IF(K287="","",F287*VLOOKUP(E287,WEIGHTS!$A$2:$F$4,2,FALSE)+G287*VLOOKUP(E287,WEIGHTS!$A$2:$F$4,3,FALSE)+H287*VLOOKUP(E287,WEIGHTS!$A$2:$F$4,4,FALSE)+I287*VLOOKUP(E287,WEIGHTS!$A$2:$F$4,5,FALSE)+J287*VLOOKUP(E287,WEIGHTS!$A$2:$F$4,6,FALSE))</f>
        <v/>
      </c>
      <c r="N287" s="2" t="str">
        <f t="shared" si="4"/>
        <v/>
      </c>
    </row>
    <row r="288" ht="15.75" customHeight="1">
      <c r="A288" s="3"/>
      <c r="B288" s="2" t="str">
        <f t="shared" si="1"/>
        <v/>
      </c>
      <c r="E288" s="2"/>
      <c r="F288" s="2"/>
      <c r="G288" s="2"/>
      <c r="H288" s="2"/>
      <c r="I288" s="2"/>
      <c r="J288" s="2"/>
      <c r="K288" s="2" t="str">
        <f t="shared" si="2"/>
        <v/>
      </c>
      <c r="L288" s="2" t="str">
        <f t="shared" si="3"/>
        <v>No</v>
      </c>
      <c r="M288" s="2" t="str">
        <f>IF(K288="","",F288*VLOOKUP(E288,WEIGHTS!$A$2:$F$4,2,FALSE)+G288*VLOOKUP(E288,WEIGHTS!$A$2:$F$4,3,FALSE)+H288*VLOOKUP(E288,WEIGHTS!$A$2:$F$4,4,FALSE)+I288*VLOOKUP(E288,WEIGHTS!$A$2:$F$4,5,FALSE)+J288*VLOOKUP(E288,WEIGHTS!$A$2:$F$4,6,FALSE))</f>
        <v/>
      </c>
      <c r="N288" s="2" t="str">
        <f t="shared" si="4"/>
        <v/>
      </c>
    </row>
    <row r="289" ht="15.75" customHeight="1">
      <c r="A289" s="3"/>
      <c r="B289" s="2" t="str">
        <f t="shared" si="1"/>
        <v/>
      </c>
      <c r="E289" s="2"/>
      <c r="F289" s="2"/>
      <c r="G289" s="2"/>
      <c r="H289" s="2"/>
      <c r="I289" s="2"/>
      <c r="J289" s="2"/>
      <c r="K289" s="2" t="str">
        <f t="shared" si="2"/>
        <v/>
      </c>
      <c r="L289" s="2" t="str">
        <f t="shared" si="3"/>
        <v>No</v>
      </c>
      <c r="M289" s="2" t="str">
        <f>IF(K289="","",F289*VLOOKUP(E289,WEIGHTS!$A$2:$F$4,2,FALSE)+G289*VLOOKUP(E289,WEIGHTS!$A$2:$F$4,3,FALSE)+H289*VLOOKUP(E289,WEIGHTS!$A$2:$F$4,4,FALSE)+I289*VLOOKUP(E289,WEIGHTS!$A$2:$F$4,5,FALSE)+J289*VLOOKUP(E289,WEIGHTS!$A$2:$F$4,6,FALSE))</f>
        <v/>
      </c>
      <c r="N289" s="2" t="str">
        <f t="shared" si="4"/>
        <v/>
      </c>
    </row>
    <row r="290" ht="15.75" customHeight="1">
      <c r="A290" s="3"/>
      <c r="B290" s="2" t="str">
        <f t="shared" si="1"/>
        <v/>
      </c>
      <c r="E290" s="2"/>
      <c r="F290" s="2"/>
      <c r="G290" s="2"/>
      <c r="H290" s="2"/>
      <c r="I290" s="2"/>
      <c r="J290" s="2"/>
      <c r="K290" s="2" t="str">
        <f t="shared" si="2"/>
        <v/>
      </c>
      <c r="L290" s="2" t="str">
        <f t="shared" si="3"/>
        <v>No</v>
      </c>
      <c r="M290" s="2" t="str">
        <f>IF(K290="","",F290*VLOOKUP(E290,WEIGHTS!$A$2:$F$4,2,FALSE)+G290*VLOOKUP(E290,WEIGHTS!$A$2:$F$4,3,FALSE)+H290*VLOOKUP(E290,WEIGHTS!$A$2:$F$4,4,FALSE)+I290*VLOOKUP(E290,WEIGHTS!$A$2:$F$4,5,FALSE)+J290*VLOOKUP(E290,WEIGHTS!$A$2:$F$4,6,FALSE))</f>
        <v/>
      </c>
      <c r="N290" s="2" t="str">
        <f t="shared" si="4"/>
        <v/>
      </c>
    </row>
    <row r="291" ht="15.75" customHeight="1">
      <c r="A291" s="3"/>
      <c r="B291" s="2" t="str">
        <f t="shared" si="1"/>
        <v/>
      </c>
      <c r="E291" s="2"/>
      <c r="F291" s="2"/>
      <c r="G291" s="2"/>
      <c r="H291" s="2"/>
      <c r="I291" s="2"/>
      <c r="J291" s="2"/>
      <c r="K291" s="2" t="str">
        <f t="shared" si="2"/>
        <v/>
      </c>
      <c r="L291" s="2" t="str">
        <f t="shared" si="3"/>
        <v>No</v>
      </c>
      <c r="M291" s="2" t="str">
        <f>IF(K291="","",F291*VLOOKUP(E291,WEIGHTS!$A$2:$F$4,2,FALSE)+G291*VLOOKUP(E291,WEIGHTS!$A$2:$F$4,3,FALSE)+H291*VLOOKUP(E291,WEIGHTS!$A$2:$F$4,4,FALSE)+I291*VLOOKUP(E291,WEIGHTS!$A$2:$F$4,5,FALSE)+J291*VLOOKUP(E291,WEIGHTS!$A$2:$F$4,6,FALSE))</f>
        <v/>
      </c>
      <c r="N291" s="2" t="str">
        <f t="shared" si="4"/>
        <v/>
      </c>
    </row>
    <row r="292" ht="15.75" customHeight="1">
      <c r="A292" s="3"/>
      <c r="B292" s="2" t="str">
        <f t="shared" si="1"/>
        <v/>
      </c>
      <c r="E292" s="2"/>
      <c r="F292" s="2"/>
      <c r="G292" s="2"/>
      <c r="H292" s="2"/>
      <c r="I292" s="2"/>
      <c r="J292" s="2"/>
      <c r="K292" s="2" t="str">
        <f t="shared" si="2"/>
        <v/>
      </c>
      <c r="L292" s="2" t="str">
        <f t="shared" si="3"/>
        <v>No</v>
      </c>
      <c r="M292" s="2" t="str">
        <f>IF(K292="","",F292*VLOOKUP(E292,WEIGHTS!$A$2:$F$4,2,FALSE)+G292*VLOOKUP(E292,WEIGHTS!$A$2:$F$4,3,FALSE)+H292*VLOOKUP(E292,WEIGHTS!$A$2:$F$4,4,FALSE)+I292*VLOOKUP(E292,WEIGHTS!$A$2:$F$4,5,FALSE)+J292*VLOOKUP(E292,WEIGHTS!$A$2:$F$4,6,FALSE))</f>
        <v/>
      </c>
      <c r="N292" s="2" t="str">
        <f t="shared" si="4"/>
        <v/>
      </c>
    </row>
    <row r="293" ht="15.75" customHeight="1">
      <c r="A293" s="3"/>
      <c r="B293" s="2" t="str">
        <f t="shared" si="1"/>
        <v/>
      </c>
      <c r="E293" s="2"/>
      <c r="F293" s="2"/>
      <c r="G293" s="2"/>
      <c r="H293" s="2"/>
      <c r="I293" s="2"/>
      <c r="J293" s="2"/>
      <c r="K293" s="2" t="str">
        <f t="shared" si="2"/>
        <v/>
      </c>
      <c r="L293" s="2" t="str">
        <f t="shared" si="3"/>
        <v>No</v>
      </c>
      <c r="M293" s="2" t="str">
        <f>IF(K293="","",F293*VLOOKUP(E293,WEIGHTS!$A$2:$F$4,2,FALSE)+G293*VLOOKUP(E293,WEIGHTS!$A$2:$F$4,3,FALSE)+H293*VLOOKUP(E293,WEIGHTS!$A$2:$F$4,4,FALSE)+I293*VLOOKUP(E293,WEIGHTS!$A$2:$F$4,5,FALSE)+J293*VLOOKUP(E293,WEIGHTS!$A$2:$F$4,6,FALSE))</f>
        <v/>
      </c>
      <c r="N293" s="2" t="str">
        <f t="shared" si="4"/>
        <v/>
      </c>
    </row>
    <row r="294" ht="15.75" customHeight="1">
      <c r="A294" s="3"/>
      <c r="B294" s="2" t="str">
        <f t="shared" si="1"/>
        <v/>
      </c>
      <c r="E294" s="2"/>
      <c r="F294" s="2"/>
      <c r="G294" s="2"/>
      <c r="H294" s="2"/>
      <c r="I294" s="2"/>
      <c r="J294" s="2"/>
      <c r="K294" s="2" t="str">
        <f t="shared" si="2"/>
        <v/>
      </c>
      <c r="L294" s="2" t="str">
        <f t="shared" si="3"/>
        <v>No</v>
      </c>
      <c r="M294" s="2" t="str">
        <f>IF(K294="","",F294*VLOOKUP(E294,WEIGHTS!$A$2:$F$4,2,FALSE)+G294*VLOOKUP(E294,WEIGHTS!$A$2:$F$4,3,FALSE)+H294*VLOOKUP(E294,WEIGHTS!$A$2:$F$4,4,FALSE)+I294*VLOOKUP(E294,WEIGHTS!$A$2:$F$4,5,FALSE)+J294*VLOOKUP(E294,WEIGHTS!$A$2:$F$4,6,FALSE))</f>
        <v/>
      </c>
      <c r="N294" s="2" t="str">
        <f t="shared" si="4"/>
        <v/>
      </c>
    </row>
    <row r="295" ht="15.75" customHeight="1">
      <c r="A295" s="3"/>
      <c r="B295" s="2" t="str">
        <f t="shared" si="1"/>
        <v/>
      </c>
      <c r="E295" s="2"/>
      <c r="F295" s="2"/>
      <c r="G295" s="2"/>
      <c r="H295" s="2"/>
      <c r="I295" s="2"/>
      <c r="J295" s="2"/>
      <c r="K295" s="2" t="str">
        <f t="shared" si="2"/>
        <v/>
      </c>
      <c r="L295" s="2" t="str">
        <f t="shared" si="3"/>
        <v>No</v>
      </c>
      <c r="M295" s="2" t="str">
        <f>IF(K295="","",F295*VLOOKUP(E295,WEIGHTS!$A$2:$F$4,2,FALSE)+G295*VLOOKUP(E295,WEIGHTS!$A$2:$F$4,3,FALSE)+H295*VLOOKUP(E295,WEIGHTS!$A$2:$F$4,4,FALSE)+I295*VLOOKUP(E295,WEIGHTS!$A$2:$F$4,5,FALSE)+J295*VLOOKUP(E295,WEIGHTS!$A$2:$F$4,6,FALSE))</f>
        <v/>
      </c>
      <c r="N295" s="2" t="str">
        <f t="shared" si="4"/>
        <v/>
      </c>
    </row>
    <row r="296" ht="15.75" customHeight="1">
      <c r="A296" s="3"/>
      <c r="B296" s="2" t="str">
        <f t="shared" si="1"/>
        <v/>
      </c>
      <c r="E296" s="2"/>
      <c r="F296" s="2"/>
      <c r="G296" s="2"/>
      <c r="H296" s="2"/>
      <c r="I296" s="2"/>
      <c r="J296" s="2"/>
      <c r="K296" s="2" t="str">
        <f t="shared" si="2"/>
        <v/>
      </c>
      <c r="L296" s="2" t="str">
        <f t="shared" si="3"/>
        <v>No</v>
      </c>
      <c r="M296" s="2" t="str">
        <f>IF(K296="","",F296*VLOOKUP(E296,WEIGHTS!$A$2:$F$4,2,FALSE)+G296*VLOOKUP(E296,WEIGHTS!$A$2:$F$4,3,FALSE)+H296*VLOOKUP(E296,WEIGHTS!$A$2:$F$4,4,FALSE)+I296*VLOOKUP(E296,WEIGHTS!$A$2:$F$4,5,FALSE)+J296*VLOOKUP(E296,WEIGHTS!$A$2:$F$4,6,FALSE))</f>
        <v/>
      </c>
      <c r="N296" s="2" t="str">
        <f t="shared" si="4"/>
        <v/>
      </c>
    </row>
    <row r="297" ht="15.75" customHeight="1">
      <c r="A297" s="3"/>
      <c r="B297" s="2" t="str">
        <f t="shared" si="1"/>
        <v/>
      </c>
      <c r="E297" s="2"/>
      <c r="F297" s="2"/>
      <c r="G297" s="2"/>
      <c r="H297" s="2"/>
      <c r="I297" s="2"/>
      <c r="J297" s="2"/>
      <c r="K297" s="2" t="str">
        <f t="shared" si="2"/>
        <v/>
      </c>
      <c r="L297" s="2" t="str">
        <f t="shared" si="3"/>
        <v>No</v>
      </c>
      <c r="M297" s="2" t="str">
        <f>IF(K297="","",F297*VLOOKUP(E297,WEIGHTS!$A$2:$F$4,2,FALSE)+G297*VLOOKUP(E297,WEIGHTS!$A$2:$F$4,3,FALSE)+H297*VLOOKUP(E297,WEIGHTS!$A$2:$F$4,4,FALSE)+I297*VLOOKUP(E297,WEIGHTS!$A$2:$F$4,5,FALSE)+J297*VLOOKUP(E297,WEIGHTS!$A$2:$F$4,6,FALSE))</f>
        <v/>
      </c>
      <c r="N297" s="2" t="str">
        <f t="shared" si="4"/>
        <v/>
      </c>
    </row>
    <row r="298" ht="15.75" customHeight="1">
      <c r="A298" s="3"/>
      <c r="B298" s="2" t="str">
        <f t="shared" si="1"/>
        <v/>
      </c>
      <c r="E298" s="2"/>
      <c r="F298" s="2"/>
      <c r="G298" s="2"/>
      <c r="H298" s="2"/>
      <c r="I298" s="2"/>
      <c r="J298" s="2"/>
      <c r="K298" s="2" t="str">
        <f t="shared" si="2"/>
        <v/>
      </c>
      <c r="L298" s="2" t="str">
        <f t="shared" si="3"/>
        <v>No</v>
      </c>
      <c r="M298" s="2" t="str">
        <f>IF(K298="","",F298*VLOOKUP(E298,WEIGHTS!$A$2:$F$4,2,FALSE)+G298*VLOOKUP(E298,WEIGHTS!$A$2:$F$4,3,FALSE)+H298*VLOOKUP(E298,WEIGHTS!$A$2:$F$4,4,FALSE)+I298*VLOOKUP(E298,WEIGHTS!$A$2:$F$4,5,FALSE)+J298*VLOOKUP(E298,WEIGHTS!$A$2:$F$4,6,FALSE))</f>
        <v/>
      </c>
      <c r="N298" s="2" t="str">
        <f t="shared" si="4"/>
        <v/>
      </c>
    </row>
    <row r="299" ht="15.75" customHeight="1">
      <c r="A299" s="3"/>
      <c r="B299" s="2" t="str">
        <f t="shared" si="1"/>
        <v/>
      </c>
      <c r="E299" s="2"/>
      <c r="F299" s="2"/>
      <c r="G299" s="2"/>
      <c r="H299" s="2"/>
      <c r="I299" s="2"/>
      <c r="J299" s="2"/>
      <c r="K299" s="2" t="str">
        <f t="shared" si="2"/>
        <v/>
      </c>
      <c r="L299" s="2" t="str">
        <f t="shared" si="3"/>
        <v>No</v>
      </c>
      <c r="M299" s="2" t="str">
        <f>IF(K299="","",F299*VLOOKUP(E299,WEIGHTS!$A$2:$F$4,2,FALSE)+G299*VLOOKUP(E299,WEIGHTS!$A$2:$F$4,3,FALSE)+H299*VLOOKUP(E299,WEIGHTS!$A$2:$F$4,4,FALSE)+I299*VLOOKUP(E299,WEIGHTS!$A$2:$F$4,5,FALSE)+J299*VLOOKUP(E299,WEIGHTS!$A$2:$F$4,6,FALSE))</f>
        <v/>
      </c>
      <c r="N299" s="2" t="str">
        <f t="shared" si="4"/>
        <v/>
      </c>
    </row>
    <row r="300" ht="15.75" customHeight="1">
      <c r="A300" s="3"/>
      <c r="B300" s="2" t="str">
        <f t="shared" si="1"/>
        <v/>
      </c>
      <c r="E300" s="2"/>
      <c r="F300" s="2"/>
      <c r="G300" s="2"/>
      <c r="H300" s="2"/>
      <c r="I300" s="2"/>
      <c r="J300" s="2"/>
      <c r="K300" s="2" t="str">
        <f t="shared" si="2"/>
        <v/>
      </c>
      <c r="L300" s="2" t="str">
        <f t="shared" si="3"/>
        <v>No</v>
      </c>
      <c r="M300" s="2" t="str">
        <f>IF(K300="","",F300*VLOOKUP(E300,WEIGHTS!$A$2:$F$4,2,FALSE)+G300*VLOOKUP(E300,WEIGHTS!$A$2:$F$4,3,FALSE)+H300*VLOOKUP(E300,WEIGHTS!$A$2:$F$4,4,FALSE)+I300*VLOOKUP(E300,WEIGHTS!$A$2:$F$4,5,FALSE)+J300*VLOOKUP(E300,WEIGHTS!$A$2:$F$4,6,FALSE))</f>
        <v/>
      </c>
      <c r="N300" s="2" t="str">
        <f t="shared" si="4"/>
        <v/>
      </c>
    </row>
    <row r="301" ht="15.75" customHeight="1">
      <c r="A301" s="3"/>
      <c r="B301" s="2" t="str">
        <f t="shared" si="1"/>
        <v/>
      </c>
      <c r="E301" s="2"/>
      <c r="F301" s="2"/>
      <c r="G301" s="2"/>
      <c r="H301" s="2"/>
      <c r="I301" s="2"/>
      <c r="J301" s="2"/>
      <c r="K301" s="2" t="str">
        <f t="shared" si="2"/>
        <v/>
      </c>
      <c r="L301" s="2" t="str">
        <f t="shared" si="3"/>
        <v>No</v>
      </c>
      <c r="M301" s="2" t="str">
        <f>IF(K301="","",F301*VLOOKUP(E301,WEIGHTS!$A$2:$F$4,2,FALSE)+G301*VLOOKUP(E301,WEIGHTS!$A$2:$F$4,3,FALSE)+H301*VLOOKUP(E301,WEIGHTS!$A$2:$F$4,4,FALSE)+I301*VLOOKUP(E301,WEIGHTS!$A$2:$F$4,5,FALSE)+J301*VLOOKUP(E301,WEIGHTS!$A$2:$F$4,6,FALSE))</f>
        <v/>
      </c>
      <c r="N301" s="2" t="str">
        <f t="shared" si="4"/>
        <v/>
      </c>
    </row>
    <row r="302" ht="15.75" customHeight="1">
      <c r="A302" s="3"/>
      <c r="B302" s="2" t="str">
        <f t="shared" si="1"/>
        <v/>
      </c>
      <c r="E302" s="2"/>
      <c r="F302" s="2"/>
      <c r="G302" s="2"/>
      <c r="H302" s="2"/>
      <c r="I302" s="2"/>
      <c r="J302" s="2"/>
      <c r="K302" s="2" t="str">
        <f t="shared" si="2"/>
        <v/>
      </c>
      <c r="L302" s="2" t="str">
        <f t="shared" si="3"/>
        <v>No</v>
      </c>
      <c r="M302" s="2" t="str">
        <f>IF(K302="","",F302*VLOOKUP(E302,WEIGHTS!$A$2:$F$4,2,FALSE)+G302*VLOOKUP(E302,WEIGHTS!$A$2:$F$4,3,FALSE)+H302*VLOOKUP(E302,WEIGHTS!$A$2:$F$4,4,FALSE)+I302*VLOOKUP(E302,WEIGHTS!$A$2:$F$4,5,FALSE)+J302*VLOOKUP(E302,WEIGHTS!$A$2:$F$4,6,FALSE))</f>
        <v/>
      </c>
      <c r="N302" s="2" t="str">
        <f t="shared" si="4"/>
        <v/>
      </c>
    </row>
    <row r="303" ht="15.75" customHeight="1">
      <c r="A303" s="3"/>
      <c r="B303" s="2" t="str">
        <f t="shared" si="1"/>
        <v/>
      </c>
      <c r="E303" s="2"/>
      <c r="F303" s="2"/>
      <c r="G303" s="2"/>
      <c r="H303" s="2"/>
      <c r="I303" s="2"/>
      <c r="J303" s="2"/>
      <c r="K303" s="2" t="str">
        <f t="shared" si="2"/>
        <v/>
      </c>
      <c r="L303" s="2" t="str">
        <f t="shared" si="3"/>
        <v>No</v>
      </c>
      <c r="M303" s="2" t="str">
        <f>IF(K303="","",F303*VLOOKUP(E303,WEIGHTS!$A$2:$F$4,2,FALSE)+G303*VLOOKUP(E303,WEIGHTS!$A$2:$F$4,3,FALSE)+H303*VLOOKUP(E303,WEIGHTS!$A$2:$F$4,4,FALSE)+I303*VLOOKUP(E303,WEIGHTS!$A$2:$F$4,5,FALSE)+J303*VLOOKUP(E303,WEIGHTS!$A$2:$F$4,6,FALSE))</f>
        <v/>
      </c>
      <c r="N303" s="2" t="str">
        <f t="shared" si="4"/>
        <v/>
      </c>
    </row>
    <row r="304" ht="15.75" customHeight="1">
      <c r="A304" s="3"/>
      <c r="B304" s="2" t="str">
        <f t="shared" si="1"/>
        <v/>
      </c>
      <c r="E304" s="2"/>
      <c r="F304" s="2"/>
      <c r="G304" s="2"/>
      <c r="H304" s="2"/>
      <c r="I304" s="2"/>
      <c r="J304" s="2"/>
      <c r="K304" s="2" t="str">
        <f t="shared" si="2"/>
        <v/>
      </c>
      <c r="L304" s="2" t="str">
        <f t="shared" si="3"/>
        <v>No</v>
      </c>
      <c r="M304" s="2" t="str">
        <f>IF(K304="","",F304*VLOOKUP(E304,WEIGHTS!$A$2:$F$4,2,FALSE)+G304*VLOOKUP(E304,WEIGHTS!$A$2:$F$4,3,FALSE)+H304*VLOOKUP(E304,WEIGHTS!$A$2:$F$4,4,FALSE)+I304*VLOOKUP(E304,WEIGHTS!$A$2:$F$4,5,FALSE)+J304*VLOOKUP(E304,WEIGHTS!$A$2:$F$4,6,FALSE))</f>
        <v/>
      </c>
      <c r="N304" s="2" t="str">
        <f t="shared" si="4"/>
        <v/>
      </c>
    </row>
    <row r="305" ht="15.75" customHeight="1">
      <c r="A305" s="3"/>
      <c r="B305" s="2" t="str">
        <f t="shared" si="1"/>
        <v/>
      </c>
      <c r="E305" s="2"/>
      <c r="F305" s="2"/>
      <c r="G305" s="2"/>
      <c r="H305" s="2"/>
      <c r="I305" s="2"/>
      <c r="J305" s="2"/>
      <c r="K305" s="2" t="str">
        <f t="shared" si="2"/>
        <v/>
      </c>
      <c r="L305" s="2" t="str">
        <f t="shared" si="3"/>
        <v>No</v>
      </c>
      <c r="M305" s="2" t="str">
        <f>IF(K305="","",F305*VLOOKUP(E305,WEIGHTS!$A$2:$F$4,2,FALSE)+G305*VLOOKUP(E305,WEIGHTS!$A$2:$F$4,3,FALSE)+H305*VLOOKUP(E305,WEIGHTS!$A$2:$F$4,4,FALSE)+I305*VLOOKUP(E305,WEIGHTS!$A$2:$F$4,5,FALSE)+J305*VLOOKUP(E305,WEIGHTS!$A$2:$F$4,6,FALSE))</f>
        <v/>
      </c>
      <c r="N305" s="2" t="str">
        <f t="shared" si="4"/>
        <v/>
      </c>
    </row>
    <row r="306" ht="15.75" customHeight="1">
      <c r="A306" s="3"/>
      <c r="B306" s="2" t="str">
        <f t="shared" si="1"/>
        <v/>
      </c>
      <c r="E306" s="2"/>
      <c r="F306" s="2"/>
      <c r="G306" s="2"/>
      <c r="H306" s="2"/>
      <c r="I306" s="2"/>
      <c r="J306" s="2"/>
      <c r="K306" s="2" t="str">
        <f t="shared" si="2"/>
        <v/>
      </c>
      <c r="L306" s="2" t="str">
        <f t="shared" si="3"/>
        <v>No</v>
      </c>
      <c r="M306" s="2" t="str">
        <f>IF(K306="","",F306*VLOOKUP(E306,WEIGHTS!$A$2:$F$4,2,FALSE)+G306*VLOOKUP(E306,WEIGHTS!$A$2:$F$4,3,FALSE)+H306*VLOOKUP(E306,WEIGHTS!$A$2:$F$4,4,FALSE)+I306*VLOOKUP(E306,WEIGHTS!$A$2:$F$4,5,FALSE)+J306*VLOOKUP(E306,WEIGHTS!$A$2:$F$4,6,FALSE))</f>
        <v/>
      </c>
      <c r="N306" s="2" t="str">
        <f t="shared" si="4"/>
        <v/>
      </c>
    </row>
    <row r="307" ht="15.75" customHeight="1">
      <c r="A307" s="3"/>
      <c r="B307" s="2" t="str">
        <f t="shared" si="1"/>
        <v/>
      </c>
      <c r="E307" s="2"/>
      <c r="F307" s="2"/>
      <c r="G307" s="2"/>
      <c r="H307" s="2"/>
      <c r="I307" s="2"/>
      <c r="J307" s="2"/>
      <c r="K307" s="2" t="str">
        <f t="shared" si="2"/>
        <v/>
      </c>
      <c r="L307" s="2" t="str">
        <f t="shared" si="3"/>
        <v>No</v>
      </c>
      <c r="M307" s="2" t="str">
        <f>IF(K307="","",F307*VLOOKUP(E307,WEIGHTS!$A$2:$F$4,2,FALSE)+G307*VLOOKUP(E307,WEIGHTS!$A$2:$F$4,3,FALSE)+H307*VLOOKUP(E307,WEIGHTS!$A$2:$F$4,4,FALSE)+I307*VLOOKUP(E307,WEIGHTS!$A$2:$F$4,5,FALSE)+J307*VLOOKUP(E307,WEIGHTS!$A$2:$F$4,6,FALSE))</f>
        <v/>
      </c>
      <c r="N307" s="2" t="str">
        <f t="shared" si="4"/>
        <v/>
      </c>
    </row>
    <row r="308" ht="15.75" customHeight="1">
      <c r="A308" s="3"/>
      <c r="B308" s="2" t="str">
        <f t="shared" si="1"/>
        <v/>
      </c>
      <c r="E308" s="2"/>
      <c r="F308" s="2"/>
      <c r="G308" s="2"/>
      <c r="H308" s="2"/>
      <c r="I308" s="2"/>
      <c r="J308" s="2"/>
      <c r="K308" s="2" t="str">
        <f t="shared" si="2"/>
        <v/>
      </c>
      <c r="L308" s="2" t="str">
        <f t="shared" si="3"/>
        <v>No</v>
      </c>
      <c r="M308" s="2" t="str">
        <f>IF(K308="","",F308*VLOOKUP(E308,WEIGHTS!$A$2:$F$4,2,FALSE)+G308*VLOOKUP(E308,WEIGHTS!$A$2:$F$4,3,FALSE)+H308*VLOOKUP(E308,WEIGHTS!$A$2:$F$4,4,FALSE)+I308*VLOOKUP(E308,WEIGHTS!$A$2:$F$4,5,FALSE)+J308*VLOOKUP(E308,WEIGHTS!$A$2:$F$4,6,FALSE))</f>
        <v/>
      </c>
      <c r="N308" s="2" t="str">
        <f t="shared" si="4"/>
        <v/>
      </c>
    </row>
    <row r="309" ht="15.75" customHeight="1">
      <c r="A309" s="3"/>
      <c r="B309" s="2" t="str">
        <f t="shared" si="1"/>
        <v/>
      </c>
      <c r="E309" s="2"/>
      <c r="F309" s="2"/>
      <c r="G309" s="2"/>
      <c r="H309" s="2"/>
      <c r="I309" s="2"/>
      <c r="J309" s="2"/>
      <c r="K309" s="2" t="str">
        <f t="shared" si="2"/>
        <v/>
      </c>
      <c r="L309" s="2" t="str">
        <f t="shared" si="3"/>
        <v>No</v>
      </c>
      <c r="M309" s="2" t="str">
        <f>IF(K309="","",F309*VLOOKUP(E309,WEIGHTS!$A$2:$F$4,2,FALSE)+G309*VLOOKUP(E309,WEIGHTS!$A$2:$F$4,3,FALSE)+H309*VLOOKUP(E309,WEIGHTS!$A$2:$F$4,4,FALSE)+I309*VLOOKUP(E309,WEIGHTS!$A$2:$F$4,5,FALSE)+J309*VLOOKUP(E309,WEIGHTS!$A$2:$F$4,6,FALSE))</f>
        <v/>
      </c>
      <c r="N309" s="2" t="str">
        <f t="shared" si="4"/>
        <v/>
      </c>
    </row>
    <row r="310" ht="15.75" customHeight="1">
      <c r="A310" s="3"/>
      <c r="B310" s="2" t="str">
        <f t="shared" si="1"/>
        <v/>
      </c>
      <c r="E310" s="2"/>
      <c r="F310" s="2"/>
      <c r="G310" s="2"/>
      <c r="H310" s="2"/>
      <c r="I310" s="2"/>
      <c r="J310" s="2"/>
      <c r="K310" s="2" t="str">
        <f t="shared" si="2"/>
        <v/>
      </c>
      <c r="L310" s="2" t="str">
        <f t="shared" si="3"/>
        <v>No</v>
      </c>
      <c r="M310" s="2" t="str">
        <f>IF(K310="","",F310*VLOOKUP(E310,WEIGHTS!$A$2:$F$4,2,FALSE)+G310*VLOOKUP(E310,WEIGHTS!$A$2:$F$4,3,FALSE)+H310*VLOOKUP(E310,WEIGHTS!$A$2:$F$4,4,FALSE)+I310*VLOOKUP(E310,WEIGHTS!$A$2:$F$4,5,FALSE)+J310*VLOOKUP(E310,WEIGHTS!$A$2:$F$4,6,FALSE))</f>
        <v/>
      </c>
      <c r="N310" s="2" t="str">
        <f t="shared" si="4"/>
        <v/>
      </c>
    </row>
    <row r="311" ht="15.75" customHeight="1">
      <c r="A311" s="3"/>
      <c r="B311" s="2" t="str">
        <f t="shared" si="1"/>
        <v/>
      </c>
      <c r="E311" s="2"/>
      <c r="F311" s="2"/>
      <c r="G311" s="2"/>
      <c r="H311" s="2"/>
      <c r="I311" s="2"/>
      <c r="J311" s="2"/>
      <c r="K311" s="2" t="str">
        <f t="shared" si="2"/>
        <v/>
      </c>
      <c r="L311" s="2" t="str">
        <f t="shared" si="3"/>
        <v>No</v>
      </c>
      <c r="M311" s="2" t="str">
        <f>IF(K311="","",F311*VLOOKUP(E311,WEIGHTS!$A$2:$F$4,2,FALSE)+G311*VLOOKUP(E311,WEIGHTS!$A$2:$F$4,3,FALSE)+H311*VLOOKUP(E311,WEIGHTS!$A$2:$F$4,4,FALSE)+I311*VLOOKUP(E311,WEIGHTS!$A$2:$F$4,5,FALSE)+J311*VLOOKUP(E311,WEIGHTS!$A$2:$F$4,6,FALSE))</f>
        <v/>
      </c>
      <c r="N311" s="2" t="str">
        <f t="shared" si="4"/>
        <v/>
      </c>
    </row>
    <row r="312" ht="15.75" customHeight="1">
      <c r="A312" s="3"/>
      <c r="B312" s="2" t="str">
        <f t="shared" si="1"/>
        <v/>
      </c>
      <c r="E312" s="2"/>
      <c r="F312" s="2"/>
      <c r="G312" s="2"/>
      <c r="H312" s="2"/>
      <c r="I312" s="2"/>
      <c r="J312" s="2"/>
      <c r="K312" s="2" t="str">
        <f t="shared" si="2"/>
        <v/>
      </c>
      <c r="L312" s="2" t="str">
        <f t="shared" si="3"/>
        <v>No</v>
      </c>
      <c r="M312" s="2" t="str">
        <f>IF(K312="","",F312*VLOOKUP(E312,WEIGHTS!$A$2:$F$4,2,FALSE)+G312*VLOOKUP(E312,WEIGHTS!$A$2:$F$4,3,FALSE)+H312*VLOOKUP(E312,WEIGHTS!$A$2:$F$4,4,FALSE)+I312*VLOOKUP(E312,WEIGHTS!$A$2:$F$4,5,FALSE)+J312*VLOOKUP(E312,WEIGHTS!$A$2:$F$4,6,FALSE))</f>
        <v/>
      </c>
      <c r="N312" s="2" t="str">
        <f t="shared" si="4"/>
        <v/>
      </c>
    </row>
    <row r="313" ht="15.75" customHeight="1">
      <c r="A313" s="3"/>
      <c r="B313" s="2" t="str">
        <f t="shared" si="1"/>
        <v/>
      </c>
      <c r="E313" s="2"/>
      <c r="F313" s="2"/>
      <c r="G313" s="2"/>
      <c r="H313" s="2"/>
      <c r="I313" s="2"/>
      <c r="J313" s="2"/>
      <c r="K313" s="2" t="str">
        <f t="shared" si="2"/>
        <v/>
      </c>
      <c r="L313" s="2" t="str">
        <f t="shared" si="3"/>
        <v>No</v>
      </c>
      <c r="M313" s="2" t="str">
        <f>IF(K313="","",F313*VLOOKUP(E313,WEIGHTS!$A$2:$F$4,2,FALSE)+G313*VLOOKUP(E313,WEIGHTS!$A$2:$F$4,3,FALSE)+H313*VLOOKUP(E313,WEIGHTS!$A$2:$F$4,4,FALSE)+I313*VLOOKUP(E313,WEIGHTS!$A$2:$F$4,5,FALSE)+J313*VLOOKUP(E313,WEIGHTS!$A$2:$F$4,6,FALSE))</f>
        <v/>
      </c>
      <c r="N313" s="2" t="str">
        <f t="shared" si="4"/>
        <v/>
      </c>
    </row>
    <row r="314" ht="15.75" customHeight="1">
      <c r="A314" s="3"/>
      <c r="B314" s="2" t="str">
        <f t="shared" si="1"/>
        <v/>
      </c>
      <c r="E314" s="2"/>
      <c r="F314" s="2"/>
      <c r="G314" s="2"/>
      <c r="H314" s="2"/>
      <c r="I314" s="2"/>
      <c r="J314" s="2"/>
      <c r="K314" s="2" t="str">
        <f t="shared" si="2"/>
        <v/>
      </c>
      <c r="L314" s="2" t="str">
        <f t="shared" si="3"/>
        <v>No</v>
      </c>
      <c r="M314" s="2" t="str">
        <f>IF(K314="","",F314*VLOOKUP(E314,WEIGHTS!$A$2:$F$4,2,FALSE)+G314*VLOOKUP(E314,WEIGHTS!$A$2:$F$4,3,FALSE)+H314*VLOOKUP(E314,WEIGHTS!$A$2:$F$4,4,FALSE)+I314*VLOOKUP(E314,WEIGHTS!$A$2:$F$4,5,FALSE)+J314*VLOOKUP(E314,WEIGHTS!$A$2:$F$4,6,FALSE))</f>
        <v/>
      </c>
      <c r="N314" s="2" t="str">
        <f t="shared" si="4"/>
        <v/>
      </c>
    </row>
    <row r="315" ht="15.75" customHeight="1">
      <c r="A315" s="3"/>
      <c r="B315" s="2" t="str">
        <f t="shared" si="1"/>
        <v/>
      </c>
      <c r="E315" s="2"/>
      <c r="F315" s="2"/>
      <c r="G315" s="2"/>
      <c r="H315" s="2"/>
      <c r="I315" s="2"/>
      <c r="J315" s="2"/>
      <c r="K315" s="2" t="str">
        <f t="shared" si="2"/>
        <v/>
      </c>
      <c r="L315" s="2" t="str">
        <f t="shared" si="3"/>
        <v>No</v>
      </c>
      <c r="M315" s="2" t="str">
        <f>IF(K315="","",F315*VLOOKUP(E315,WEIGHTS!$A$2:$F$4,2,FALSE)+G315*VLOOKUP(E315,WEIGHTS!$A$2:$F$4,3,FALSE)+H315*VLOOKUP(E315,WEIGHTS!$A$2:$F$4,4,FALSE)+I315*VLOOKUP(E315,WEIGHTS!$A$2:$F$4,5,FALSE)+J315*VLOOKUP(E315,WEIGHTS!$A$2:$F$4,6,FALSE))</f>
        <v/>
      </c>
      <c r="N315" s="2" t="str">
        <f t="shared" si="4"/>
        <v/>
      </c>
    </row>
    <row r="316" ht="15.75" customHeight="1">
      <c r="A316" s="3"/>
      <c r="B316" s="2" t="str">
        <f t="shared" si="1"/>
        <v/>
      </c>
      <c r="E316" s="2"/>
      <c r="F316" s="2"/>
      <c r="G316" s="2"/>
      <c r="H316" s="2"/>
      <c r="I316" s="2"/>
      <c r="J316" s="2"/>
      <c r="K316" s="2" t="str">
        <f t="shared" si="2"/>
        <v/>
      </c>
      <c r="L316" s="2" t="str">
        <f t="shared" si="3"/>
        <v>No</v>
      </c>
      <c r="M316" s="2" t="str">
        <f>IF(K316="","",F316*VLOOKUP(E316,WEIGHTS!$A$2:$F$4,2,FALSE)+G316*VLOOKUP(E316,WEIGHTS!$A$2:$F$4,3,FALSE)+H316*VLOOKUP(E316,WEIGHTS!$A$2:$F$4,4,FALSE)+I316*VLOOKUP(E316,WEIGHTS!$A$2:$F$4,5,FALSE)+J316*VLOOKUP(E316,WEIGHTS!$A$2:$F$4,6,FALSE))</f>
        <v/>
      </c>
      <c r="N316" s="2" t="str">
        <f t="shared" si="4"/>
        <v/>
      </c>
    </row>
    <row r="317" ht="15.75" customHeight="1">
      <c r="A317" s="3"/>
      <c r="B317" s="2" t="str">
        <f t="shared" si="1"/>
        <v/>
      </c>
      <c r="E317" s="2"/>
      <c r="F317" s="2"/>
      <c r="G317" s="2"/>
      <c r="H317" s="2"/>
      <c r="I317" s="2"/>
      <c r="J317" s="2"/>
      <c r="K317" s="2" t="str">
        <f t="shared" si="2"/>
        <v/>
      </c>
      <c r="L317" s="2" t="str">
        <f t="shared" si="3"/>
        <v>No</v>
      </c>
      <c r="M317" s="2" t="str">
        <f>IF(K317="","",F317*VLOOKUP(E317,WEIGHTS!$A$2:$F$4,2,FALSE)+G317*VLOOKUP(E317,WEIGHTS!$A$2:$F$4,3,FALSE)+H317*VLOOKUP(E317,WEIGHTS!$A$2:$F$4,4,FALSE)+I317*VLOOKUP(E317,WEIGHTS!$A$2:$F$4,5,FALSE)+J317*VLOOKUP(E317,WEIGHTS!$A$2:$F$4,6,FALSE))</f>
        <v/>
      </c>
      <c r="N317" s="2" t="str">
        <f t="shared" si="4"/>
        <v/>
      </c>
    </row>
    <row r="318" ht="15.75" customHeight="1">
      <c r="A318" s="3"/>
      <c r="B318" s="2" t="str">
        <f t="shared" si="1"/>
        <v/>
      </c>
      <c r="E318" s="2"/>
      <c r="F318" s="2"/>
      <c r="G318" s="2"/>
      <c r="H318" s="2"/>
      <c r="I318" s="2"/>
      <c r="J318" s="2"/>
      <c r="K318" s="2" t="str">
        <f t="shared" si="2"/>
        <v/>
      </c>
      <c r="L318" s="2" t="str">
        <f t="shared" si="3"/>
        <v>No</v>
      </c>
      <c r="M318" s="2" t="str">
        <f>IF(K318="","",F318*VLOOKUP(E318,WEIGHTS!$A$2:$F$4,2,FALSE)+G318*VLOOKUP(E318,WEIGHTS!$A$2:$F$4,3,FALSE)+H318*VLOOKUP(E318,WEIGHTS!$A$2:$F$4,4,FALSE)+I318*VLOOKUP(E318,WEIGHTS!$A$2:$F$4,5,FALSE)+J318*VLOOKUP(E318,WEIGHTS!$A$2:$F$4,6,FALSE))</f>
        <v/>
      </c>
      <c r="N318" s="2" t="str">
        <f t="shared" si="4"/>
        <v/>
      </c>
    </row>
    <row r="319" ht="15.75" customHeight="1">
      <c r="A319" s="3"/>
      <c r="B319" s="2" t="str">
        <f t="shared" si="1"/>
        <v/>
      </c>
      <c r="E319" s="2"/>
      <c r="F319" s="2"/>
      <c r="G319" s="2"/>
      <c r="H319" s="2"/>
      <c r="I319" s="2"/>
      <c r="J319" s="2"/>
      <c r="K319" s="2" t="str">
        <f t="shared" si="2"/>
        <v/>
      </c>
      <c r="L319" s="2" t="str">
        <f t="shared" si="3"/>
        <v>No</v>
      </c>
      <c r="M319" s="2" t="str">
        <f>IF(K319="","",F319*VLOOKUP(E319,WEIGHTS!$A$2:$F$4,2,FALSE)+G319*VLOOKUP(E319,WEIGHTS!$A$2:$F$4,3,FALSE)+H319*VLOOKUP(E319,WEIGHTS!$A$2:$F$4,4,FALSE)+I319*VLOOKUP(E319,WEIGHTS!$A$2:$F$4,5,FALSE)+J319*VLOOKUP(E319,WEIGHTS!$A$2:$F$4,6,FALSE))</f>
        <v/>
      </c>
      <c r="N319" s="2" t="str">
        <f t="shared" si="4"/>
        <v/>
      </c>
    </row>
    <row r="320" ht="15.75" customHeight="1">
      <c r="A320" s="3"/>
      <c r="B320" s="2" t="str">
        <f t="shared" si="1"/>
        <v/>
      </c>
      <c r="E320" s="2"/>
      <c r="F320" s="2"/>
      <c r="G320" s="2"/>
      <c r="H320" s="2"/>
      <c r="I320" s="2"/>
      <c r="J320" s="2"/>
      <c r="K320" s="2" t="str">
        <f t="shared" si="2"/>
        <v/>
      </c>
      <c r="L320" s="2" t="str">
        <f t="shared" si="3"/>
        <v>No</v>
      </c>
      <c r="M320" s="2" t="str">
        <f>IF(K320="","",F320*VLOOKUP(E320,WEIGHTS!$A$2:$F$4,2,FALSE)+G320*VLOOKUP(E320,WEIGHTS!$A$2:$F$4,3,FALSE)+H320*VLOOKUP(E320,WEIGHTS!$A$2:$F$4,4,FALSE)+I320*VLOOKUP(E320,WEIGHTS!$A$2:$F$4,5,FALSE)+J320*VLOOKUP(E320,WEIGHTS!$A$2:$F$4,6,FALSE))</f>
        <v/>
      </c>
      <c r="N320" s="2" t="str">
        <f t="shared" si="4"/>
        <v/>
      </c>
    </row>
    <row r="321" ht="15.75" customHeight="1">
      <c r="A321" s="3"/>
      <c r="B321" s="2" t="str">
        <f t="shared" si="1"/>
        <v/>
      </c>
      <c r="E321" s="2"/>
      <c r="F321" s="2"/>
      <c r="G321" s="2"/>
      <c r="H321" s="2"/>
      <c r="I321" s="2"/>
      <c r="J321" s="2"/>
      <c r="K321" s="2" t="str">
        <f t="shared" si="2"/>
        <v/>
      </c>
      <c r="L321" s="2" t="str">
        <f t="shared" si="3"/>
        <v>No</v>
      </c>
      <c r="M321" s="2" t="str">
        <f>IF(K321="","",F321*VLOOKUP(E321,WEIGHTS!$A$2:$F$4,2,FALSE)+G321*VLOOKUP(E321,WEIGHTS!$A$2:$F$4,3,FALSE)+H321*VLOOKUP(E321,WEIGHTS!$A$2:$F$4,4,FALSE)+I321*VLOOKUP(E321,WEIGHTS!$A$2:$F$4,5,FALSE)+J321*VLOOKUP(E321,WEIGHTS!$A$2:$F$4,6,FALSE))</f>
        <v/>
      </c>
      <c r="N321" s="2" t="str">
        <f t="shared" si="4"/>
        <v/>
      </c>
    </row>
    <row r="322" ht="15.75" customHeight="1">
      <c r="A322" s="3"/>
      <c r="B322" s="2" t="str">
        <f t="shared" si="1"/>
        <v/>
      </c>
      <c r="E322" s="2"/>
      <c r="F322" s="2"/>
      <c r="G322" s="2"/>
      <c r="H322" s="2"/>
      <c r="I322" s="2"/>
      <c r="J322" s="2"/>
      <c r="K322" s="2" t="str">
        <f t="shared" si="2"/>
        <v/>
      </c>
      <c r="L322" s="2" t="str">
        <f t="shared" si="3"/>
        <v>No</v>
      </c>
      <c r="M322" s="2" t="str">
        <f>IF(K322="","",F322*VLOOKUP(E322,WEIGHTS!$A$2:$F$4,2,FALSE)+G322*VLOOKUP(E322,WEIGHTS!$A$2:$F$4,3,FALSE)+H322*VLOOKUP(E322,WEIGHTS!$A$2:$F$4,4,FALSE)+I322*VLOOKUP(E322,WEIGHTS!$A$2:$F$4,5,FALSE)+J322*VLOOKUP(E322,WEIGHTS!$A$2:$F$4,6,FALSE))</f>
        <v/>
      </c>
      <c r="N322" s="2" t="str">
        <f t="shared" si="4"/>
        <v/>
      </c>
    </row>
    <row r="323" ht="15.75" customHeight="1">
      <c r="A323" s="3"/>
      <c r="B323" s="2" t="str">
        <f t="shared" si="1"/>
        <v/>
      </c>
      <c r="E323" s="2"/>
      <c r="F323" s="2"/>
      <c r="G323" s="2"/>
      <c r="H323" s="2"/>
      <c r="I323" s="2"/>
      <c r="J323" s="2"/>
      <c r="K323" s="2" t="str">
        <f t="shared" si="2"/>
        <v/>
      </c>
      <c r="L323" s="2" t="str">
        <f t="shared" si="3"/>
        <v>No</v>
      </c>
      <c r="M323" s="2" t="str">
        <f>IF(K323="","",F323*VLOOKUP(E323,WEIGHTS!$A$2:$F$4,2,FALSE)+G323*VLOOKUP(E323,WEIGHTS!$A$2:$F$4,3,FALSE)+H323*VLOOKUP(E323,WEIGHTS!$A$2:$F$4,4,FALSE)+I323*VLOOKUP(E323,WEIGHTS!$A$2:$F$4,5,FALSE)+J323*VLOOKUP(E323,WEIGHTS!$A$2:$F$4,6,FALSE))</f>
        <v/>
      </c>
      <c r="N323" s="2" t="str">
        <f t="shared" si="4"/>
        <v/>
      </c>
    </row>
    <row r="324" ht="15.75" customHeight="1">
      <c r="A324" s="3"/>
      <c r="B324" s="2" t="str">
        <f t="shared" si="1"/>
        <v/>
      </c>
      <c r="E324" s="2"/>
      <c r="F324" s="2"/>
      <c r="G324" s="2"/>
      <c r="H324" s="2"/>
      <c r="I324" s="2"/>
      <c r="J324" s="2"/>
      <c r="K324" s="2" t="str">
        <f t="shared" si="2"/>
        <v/>
      </c>
      <c r="L324" s="2" t="str">
        <f t="shared" si="3"/>
        <v>No</v>
      </c>
      <c r="M324" s="2" t="str">
        <f>IF(K324="","",F324*VLOOKUP(E324,WEIGHTS!$A$2:$F$4,2,FALSE)+G324*VLOOKUP(E324,WEIGHTS!$A$2:$F$4,3,FALSE)+H324*VLOOKUP(E324,WEIGHTS!$A$2:$F$4,4,FALSE)+I324*VLOOKUP(E324,WEIGHTS!$A$2:$F$4,5,FALSE)+J324*VLOOKUP(E324,WEIGHTS!$A$2:$F$4,6,FALSE))</f>
        <v/>
      </c>
      <c r="N324" s="2" t="str">
        <f t="shared" si="4"/>
        <v/>
      </c>
    </row>
    <row r="325" ht="15.75" customHeight="1">
      <c r="A325" s="3"/>
      <c r="B325" s="2" t="str">
        <f t="shared" si="1"/>
        <v/>
      </c>
      <c r="E325" s="2"/>
      <c r="F325" s="2"/>
      <c r="G325" s="2"/>
      <c r="H325" s="2"/>
      <c r="I325" s="2"/>
      <c r="J325" s="2"/>
      <c r="K325" s="2" t="str">
        <f t="shared" si="2"/>
        <v/>
      </c>
      <c r="L325" s="2" t="str">
        <f t="shared" si="3"/>
        <v>No</v>
      </c>
      <c r="M325" s="2" t="str">
        <f>IF(K325="","",F325*VLOOKUP(E325,WEIGHTS!$A$2:$F$4,2,FALSE)+G325*VLOOKUP(E325,WEIGHTS!$A$2:$F$4,3,FALSE)+H325*VLOOKUP(E325,WEIGHTS!$A$2:$F$4,4,FALSE)+I325*VLOOKUP(E325,WEIGHTS!$A$2:$F$4,5,FALSE)+J325*VLOOKUP(E325,WEIGHTS!$A$2:$F$4,6,FALSE))</f>
        <v/>
      </c>
      <c r="N325" s="2" t="str">
        <f t="shared" si="4"/>
        <v/>
      </c>
    </row>
    <row r="326" ht="15.75" customHeight="1">
      <c r="A326" s="3"/>
      <c r="B326" s="2" t="str">
        <f t="shared" si="1"/>
        <v/>
      </c>
      <c r="E326" s="2"/>
      <c r="F326" s="2"/>
      <c r="G326" s="2"/>
      <c r="H326" s="2"/>
      <c r="I326" s="2"/>
      <c r="J326" s="2"/>
      <c r="K326" s="2" t="str">
        <f t="shared" si="2"/>
        <v/>
      </c>
      <c r="L326" s="2" t="str">
        <f t="shared" si="3"/>
        <v>No</v>
      </c>
      <c r="M326" s="2" t="str">
        <f>IF(K326="","",F326*VLOOKUP(E326,WEIGHTS!$A$2:$F$4,2,FALSE)+G326*VLOOKUP(E326,WEIGHTS!$A$2:$F$4,3,FALSE)+H326*VLOOKUP(E326,WEIGHTS!$A$2:$F$4,4,FALSE)+I326*VLOOKUP(E326,WEIGHTS!$A$2:$F$4,5,FALSE)+J326*VLOOKUP(E326,WEIGHTS!$A$2:$F$4,6,FALSE))</f>
        <v/>
      </c>
      <c r="N326" s="2" t="str">
        <f t="shared" si="4"/>
        <v/>
      </c>
    </row>
    <row r="327" ht="15.75" customHeight="1">
      <c r="A327" s="3"/>
      <c r="B327" s="2" t="str">
        <f t="shared" si="1"/>
        <v/>
      </c>
      <c r="E327" s="2"/>
      <c r="F327" s="2"/>
      <c r="G327" s="2"/>
      <c r="H327" s="2"/>
      <c r="I327" s="2"/>
      <c r="J327" s="2"/>
      <c r="K327" s="2" t="str">
        <f t="shared" si="2"/>
        <v/>
      </c>
      <c r="L327" s="2" t="str">
        <f t="shared" si="3"/>
        <v>No</v>
      </c>
      <c r="M327" s="2" t="str">
        <f>IF(K327="","",F327*VLOOKUP(E327,WEIGHTS!$A$2:$F$4,2,FALSE)+G327*VLOOKUP(E327,WEIGHTS!$A$2:$F$4,3,FALSE)+H327*VLOOKUP(E327,WEIGHTS!$A$2:$F$4,4,FALSE)+I327*VLOOKUP(E327,WEIGHTS!$A$2:$F$4,5,FALSE)+J327*VLOOKUP(E327,WEIGHTS!$A$2:$F$4,6,FALSE))</f>
        <v/>
      </c>
      <c r="N327" s="2" t="str">
        <f t="shared" si="4"/>
        <v/>
      </c>
    </row>
    <row r="328" ht="15.75" customHeight="1">
      <c r="A328" s="3"/>
      <c r="B328" s="2" t="str">
        <f t="shared" si="1"/>
        <v/>
      </c>
      <c r="E328" s="2"/>
      <c r="F328" s="2"/>
      <c r="G328" s="2"/>
      <c r="H328" s="2"/>
      <c r="I328" s="2"/>
      <c r="J328" s="2"/>
      <c r="K328" s="2" t="str">
        <f t="shared" si="2"/>
        <v/>
      </c>
      <c r="L328" s="2" t="str">
        <f t="shared" si="3"/>
        <v>No</v>
      </c>
      <c r="M328" s="2" t="str">
        <f>IF(K328="","",F328*VLOOKUP(E328,WEIGHTS!$A$2:$F$4,2,FALSE)+G328*VLOOKUP(E328,WEIGHTS!$A$2:$F$4,3,FALSE)+H328*VLOOKUP(E328,WEIGHTS!$A$2:$F$4,4,FALSE)+I328*VLOOKUP(E328,WEIGHTS!$A$2:$F$4,5,FALSE)+J328*VLOOKUP(E328,WEIGHTS!$A$2:$F$4,6,FALSE))</f>
        <v/>
      </c>
      <c r="N328" s="2" t="str">
        <f t="shared" si="4"/>
        <v/>
      </c>
    </row>
    <row r="329" ht="15.75" customHeight="1">
      <c r="A329" s="3"/>
      <c r="B329" s="2" t="str">
        <f t="shared" si="1"/>
        <v/>
      </c>
      <c r="E329" s="2"/>
      <c r="F329" s="2"/>
      <c r="G329" s="2"/>
      <c r="H329" s="2"/>
      <c r="I329" s="2"/>
      <c r="J329" s="2"/>
      <c r="K329" s="2" t="str">
        <f t="shared" si="2"/>
        <v/>
      </c>
      <c r="L329" s="2" t="str">
        <f t="shared" si="3"/>
        <v>No</v>
      </c>
      <c r="M329" s="2" t="str">
        <f>IF(K329="","",F329*VLOOKUP(E329,WEIGHTS!$A$2:$F$4,2,FALSE)+G329*VLOOKUP(E329,WEIGHTS!$A$2:$F$4,3,FALSE)+H329*VLOOKUP(E329,WEIGHTS!$A$2:$F$4,4,FALSE)+I329*VLOOKUP(E329,WEIGHTS!$A$2:$F$4,5,FALSE)+J329*VLOOKUP(E329,WEIGHTS!$A$2:$F$4,6,FALSE))</f>
        <v/>
      </c>
      <c r="N329" s="2" t="str">
        <f t="shared" si="4"/>
        <v/>
      </c>
    </row>
    <row r="330" ht="15.75" customHeight="1">
      <c r="A330" s="3"/>
      <c r="B330" s="2" t="str">
        <f t="shared" si="1"/>
        <v/>
      </c>
      <c r="E330" s="2"/>
      <c r="F330" s="2"/>
      <c r="G330" s="2"/>
      <c r="H330" s="2"/>
      <c r="I330" s="2"/>
      <c r="J330" s="2"/>
      <c r="K330" s="2" t="str">
        <f t="shared" si="2"/>
        <v/>
      </c>
      <c r="L330" s="2" t="str">
        <f t="shared" si="3"/>
        <v>No</v>
      </c>
      <c r="M330" s="2" t="str">
        <f>IF(K330="","",F330*VLOOKUP(E330,WEIGHTS!$A$2:$F$4,2,FALSE)+G330*VLOOKUP(E330,WEIGHTS!$A$2:$F$4,3,FALSE)+H330*VLOOKUP(E330,WEIGHTS!$A$2:$F$4,4,FALSE)+I330*VLOOKUP(E330,WEIGHTS!$A$2:$F$4,5,FALSE)+J330*VLOOKUP(E330,WEIGHTS!$A$2:$F$4,6,FALSE))</f>
        <v/>
      </c>
      <c r="N330" s="2" t="str">
        <f t="shared" si="4"/>
        <v/>
      </c>
    </row>
    <row r="331" ht="15.75" customHeight="1">
      <c r="A331" s="3"/>
      <c r="B331" s="2" t="str">
        <f t="shared" si="1"/>
        <v/>
      </c>
      <c r="E331" s="2"/>
      <c r="F331" s="2"/>
      <c r="G331" s="2"/>
      <c r="H331" s="2"/>
      <c r="I331" s="2"/>
      <c r="J331" s="2"/>
      <c r="K331" s="2" t="str">
        <f t="shared" si="2"/>
        <v/>
      </c>
      <c r="L331" s="2" t="str">
        <f t="shared" si="3"/>
        <v>No</v>
      </c>
      <c r="M331" s="2" t="str">
        <f>IF(K331="","",F331*VLOOKUP(E331,WEIGHTS!$A$2:$F$4,2,FALSE)+G331*VLOOKUP(E331,WEIGHTS!$A$2:$F$4,3,FALSE)+H331*VLOOKUP(E331,WEIGHTS!$A$2:$F$4,4,FALSE)+I331*VLOOKUP(E331,WEIGHTS!$A$2:$F$4,5,FALSE)+J331*VLOOKUP(E331,WEIGHTS!$A$2:$F$4,6,FALSE))</f>
        <v/>
      </c>
      <c r="N331" s="2" t="str">
        <f t="shared" si="4"/>
        <v/>
      </c>
    </row>
    <row r="332" ht="15.75" customHeight="1">
      <c r="A332" s="3"/>
      <c r="B332" s="2" t="str">
        <f t="shared" si="1"/>
        <v/>
      </c>
      <c r="E332" s="2"/>
      <c r="F332" s="2"/>
      <c r="G332" s="2"/>
      <c r="H332" s="2"/>
      <c r="I332" s="2"/>
      <c r="J332" s="2"/>
      <c r="K332" s="2" t="str">
        <f t="shared" si="2"/>
        <v/>
      </c>
      <c r="L332" s="2" t="str">
        <f t="shared" si="3"/>
        <v>No</v>
      </c>
      <c r="M332" s="2" t="str">
        <f>IF(K332="","",F332*VLOOKUP(E332,WEIGHTS!$A$2:$F$4,2,FALSE)+G332*VLOOKUP(E332,WEIGHTS!$A$2:$F$4,3,FALSE)+H332*VLOOKUP(E332,WEIGHTS!$A$2:$F$4,4,FALSE)+I332*VLOOKUP(E332,WEIGHTS!$A$2:$F$4,5,FALSE)+J332*VLOOKUP(E332,WEIGHTS!$A$2:$F$4,6,FALSE))</f>
        <v/>
      </c>
      <c r="N332" s="2" t="str">
        <f t="shared" si="4"/>
        <v/>
      </c>
    </row>
    <row r="333" ht="15.75" customHeight="1">
      <c r="A333" s="3"/>
      <c r="B333" s="2" t="str">
        <f t="shared" si="1"/>
        <v/>
      </c>
      <c r="E333" s="2"/>
      <c r="F333" s="2"/>
      <c r="G333" s="2"/>
      <c r="H333" s="2"/>
      <c r="I333" s="2"/>
      <c r="J333" s="2"/>
      <c r="K333" s="2" t="str">
        <f t="shared" si="2"/>
        <v/>
      </c>
      <c r="L333" s="2" t="str">
        <f t="shared" si="3"/>
        <v>No</v>
      </c>
      <c r="M333" s="2" t="str">
        <f>IF(K333="","",F333*VLOOKUP(E333,WEIGHTS!$A$2:$F$4,2,FALSE)+G333*VLOOKUP(E333,WEIGHTS!$A$2:$F$4,3,FALSE)+H333*VLOOKUP(E333,WEIGHTS!$A$2:$F$4,4,FALSE)+I333*VLOOKUP(E333,WEIGHTS!$A$2:$F$4,5,FALSE)+J333*VLOOKUP(E333,WEIGHTS!$A$2:$F$4,6,FALSE))</f>
        <v/>
      </c>
      <c r="N333" s="2" t="str">
        <f t="shared" si="4"/>
        <v/>
      </c>
    </row>
    <row r="334" ht="15.75" customHeight="1">
      <c r="A334" s="3"/>
      <c r="B334" s="2" t="str">
        <f t="shared" si="1"/>
        <v/>
      </c>
      <c r="E334" s="2"/>
      <c r="F334" s="2"/>
      <c r="G334" s="2"/>
      <c r="H334" s="2"/>
      <c r="I334" s="2"/>
      <c r="J334" s="2"/>
      <c r="K334" s="2" t="str">
        <f t="shared" si="2"/>
        <v/>
      </c>
      <c r="L334" s="2" t="str">
        <f t="shared" si="3"/>
        <v>No</v>
      </c>
      <c r="M334" s="2" t="str">
        <f>IF(K334="","",F334*VLOOKUP(E334,WEIGHTS!$A$2:$F$4,2,FALSE)+G334*VLOOKUP(E334,WEIGHTS!$A$2:$F$4,3,FALSE)+H334*VLOOKUP(E334,WEIGHTS!$A$2:$F$4,4,FALSE)+I334*VLOOKUP(E334,WEIGHTS!$A$2:$F$4,5,FALSE)+J334*VLOOKUP(E334,WEIGHTS!$A$2:$F$4,6,FALSE))</f>
        <v/>
      </c>
      <c r="N334" s="2" t="str">
        <f t="shared" si="4"/>
        <v/>
      </c>
    </row>
    <row r="335" ht="15.75" customHeight="1">
      <c r="A335" s="3"/>
      <c r="B335" s="2" t="str">
        <f t="shared" si="1"/>
        <v/>
      </c>
      <c r="E335" s="2"/>
      <c r="F335" s="2"/>
      <c r="G335" s="2"/>
      <c r="H335" s="2"/>
      <c r="I335" s="2"/>
      <c r="J335" s="2"/>
      <c r="K335" s="2" t="str">
        <f t="shared" si="2"/>
        <v/>
      </c>
      <c r="L335" s="2" t="str">
        <f t="shared" si="3"/>
        <v>No</v>
      </c>
      <c r="M335" s="2" t="str">
        <f>IF(K335="","",F335*VLOOKUP(E335,WEIGHTS!$A$2:$F$4,2,FALSE)+G335*VLOOKUP(E335,WEIGHTS!$A$2:$F$4,3,FALSE)+H335*VLOOKUP(E335,WEIGHTS!$A$2:$F$4,4,FALSE)+I335*VLOOKUP(E335,WEIGHTS!$A$2:$F$4,5,FALSE)+J335*VLOOKUP(E335,WEIGHTS!$A$2:$F$4,6,FALSE))</f>
        <v/>
      </c>
      <c r="N335" s="2" t="str">
        <f t="shared" si="4"/>
        <v/>
      </c>
    </row>
    <row r="336" ht="15.75" customHeight="1">
      <c r="A336" s="3"/>
      <c r="B336" s="2" t="str">
        <f t="shared" si="1"/>
        <v/>
      </c>
      <c r="E336" s="2"/>
      <c r="F336" s="2"/>
      <c r="G336" s="2"/>
      <c r="H336" s="2"/>
      <c r="I336" s="2"/>
      <c r="J336" s="2"/>
      <c r="K336" s="2" t="str">
        <f t="shared" si="2"/>
        <v/>
      </c>
      <c r="L336" s="2" t="str">
        <f t="shared" si="3"/>
        <v>No</v>
      </c>
      <c r="M336" s="2" t="str">
        <f>IF(K336="","",F336*VLOOKUP(E336,WEIGHTS!$A$2:$F$4,2,FALSE)+G336*VLOOKUP(E336,WEIGHTS!$A$2:$F$4,3,FALSE)+H336*VLOOKUP(E336,WEIGHTS!$A$2:$F$4,4,FALSE)+I336*VLOOKUP(E336,WEIGHTS!$A$2:$F$4,5,FALSE)+J336*VLOOKUP(E336,WEIGHTS!$A$2:$F$4,6,FALSE))</f>
        <v/>
      </c>
      <c r="N336" s="2" t="str">
        <f t="shared" si="4"/>
        <v/>
      </c>
    </row>
    <row r="337" ht="15.75" customHeight="1">
      <c r="A337" s="3"/>
      <c r="B337" s="2" t="str">
        <f t="shared" si="1"/>
        <v/>
      </c>
      <c r="E337" s="2"/>
      <c r="F337" s="2"/>
      <c r="G337" s="2"/>
      <c r="H337" s="2"/>
      <c r="I337" s="2"/>
      <c r="J337" s="2"/>
      <c r="K337" s="2" t="str">
        <f t="shared" si="2"/>
        <v/>
      </c>
      <c r="L337" s="2" t="str">
        <f t="shared" si="3"/>
        <v>No</v>
      </c>
      <c r="M337" s="2" t="str">
        <f>IF(K337="","",F337*VLOOKUP(E337,WEIGHTS!$A$2:$F$4,2,FALSE)+G337*VLOOKUP(E337,WEIGHTS!$A$2:$F$4,3,FALSE)+H337*VLOOKUP(E337,WEIGHTS!$A$2:$F$4,4,FALSE)+I337*VLOOKUP(E337,WEIGHTS!$A$2:$F$4,5,FALSE)+J337*VLOOKUP(E337,WEIGHTS!$A$2:$F$4,6,FALSE))</f>
        <v/>
      </c>
      <c r="N337" s="2" t="str">
        <f t="shared" si="4"/>
        <v/>
      </c>
    </row>
    <row r="338" ht="15.75" customHeight="1">
      <c r="A338" s="3"/>
      <c r="B338" s="2" t="str">
        <f t="shared" si="1"/>
        <v/>
      </c>
      <c r="E338" s="2"/>
      <c r="F338" s="2"/>
      <c r="G338" s="2"/>
      <c r="H338" s="2"/>
      <c r="I338" s="2"/>
      <c r="J338" s="2"/>
      <c r="K338" s="2" t="str">
        <f t="shared" si="2"/>
        <v/>
      </c>
      <c r="L338" s="2" t="str">
        <f t="shared" si="3"/>
        <v>No</v>
      </c>
      <c r="M338" s="2" t="str">
        <f>IF(K338="","",F338*VLOOKUP(E338,WEIGHTS!$A$2:$F$4,2,FALSE)+G338*VLOOKUP(E338,WEIGHTS!$A$2:$F$4,3,FALSE)+H338*VLOOKUP(E338,WEIGHTS!$A$2:$F$4,4,FALSE)+I338*VLOOKUP(E338,WEIGHTS!$A$2:$F$4,5,FALSE)+J338*VLOOKUP(E338,WEIGHTS!$A$2:$F$4,6,FALSE))</f>
        <v/>
      </c>
      <c r="N338" s="2" t="str">
        <f t="shared" si="4"/>
        <v/>
      </c>
    </row>
    <row r="339" ht="15.75" customHeight="1">
      <c r="A339" s="3"/>
      <c r="B339" s="2" t="str">
        <f t="shared" si="1"/>
        <v/>
      </c>
      <c r="E339" s="2"/>
      <c r="F339" s="2"/>
      <c r="G339" s="2"/>
      <c r="H339" s="2"/>
      <c r="I339" s="2"/>
      <c r="J339" s="2"/>
      <c r="K339" s="2" t="str">
        <f t="shared" si="2"/>
        <v/>
      </c>
      <c r="L339" s="2" t="str">
        <f t="shared" si="3"/>
        <v>No</v>
      </c>
      <c r="M339" s="2" t="str">
        <f>IF(K339="","",F339*VLOOKUP(E339,WEIGHTS!$A$2:$F$4,2,FALSE)+G339*VLOOKUP(E339,WEIGHTS!$A$2:$F$4,3,FALSE)+H339*VLOOKUP(E339,WEIGHTS!$A$2:$F$4,4,FALSE)+I339*VLOOKUP(E339,WEIGHTS!$A$2:$F$4,5,FALSE)+J339*VLOOKUP(E339,WEIGHTS!$A$2:$F$4,6,FALSE))</f>
        <v/>
      </c>
      <c r="N339" s="2" t="str">
        <f t="shared" si="4"/>
        <v/>
      </c>
    </row>
    <row r="340" ht="15.75" customHeight="1">
      <c r="A340" s="3"/>
      <c r="B340" s="2" t="str">
        <f t="shared" si="1"/>
        <v/>
      </c>
      <c r="E340" s="2"/>
      <c r="F340" s="2"/>
      <c r="G340" s="2"/>
      <c r="H340" s="2"/>
      <c r="I340" s="2"/>
      <c r="J340" s="2"/>
      <c r="K340" s="2" t="str">
        <f t="shared" si="2"/>
        <v/>
      </c>
      <c r="L340" s="2" t="str">
        <f t="shared" si="3"/>
        <v>No</v>
      </c>
      <c r="M340" s="2" t="str">
        <f>IF(K340="","",F340*VLOOKUP(E340,WEIGHTS!$A$2:$F$4,2,FALSE)+G340*VLOOKUP(E340,WEIGHTS!$A$2:$F$4,3,FALSE)+H340*VLOOKUP(E340,WEIGHTS!$A$2:$F$4,4,FALSE)+I340*VLOOKUP(E340,WEIGHTS!$A$2:$F$4,5,FALSE)+J340*VLOOKUP(E340,WEIGHTS!$A$2:$F$4,6,FALSE))</f>
        <v/>
      </c>
      <c r="N340" s="2" t="str">
        <f t="shared" si="4"/>
        <v/>
      </c>
    </row>
    <row r="341" ht="15.75" customHeight="1">
      <c r="A341" s="3"/>
      <c r="B341" s="2" t="str">
        <f t="shared" si="1"/>
        <v/>
      </c>
      <c r="E341" s="2"/>
      <c r="F341" s="2"/>
      <c r="G341" s="2"/>
      <c r="H341" s="2"/>
      <c r="I341" s="2"/>
      <c r="J341" s="2"/>
      <c r="K341" s="2" t="str">
        <f t="shared" si="2"/>
        <v/>
      </c>
      <c r="L341" s="2" t="str">
        <f t="shared" si="3"/>
        <v>No</v>
      </c>
      <c r="M341" s="2" t="str">
        <f>IF(K341="","",F341*VLOOKUP(E341,WEIGHTS!$A$2:$F$4,2,FALSE)+G341*VLOOKUP(E341,WEIGHTS!$A$2:$F$4,3,FALSE)+H341*VLOOKUP(E341,WEIGHTS!$A$2:$F$4,4,FALSE)+I341*VLOOKUP(E341,WEIGHTS!$A$2:$F$4,5,FALSE)+J341*VLOOKUP(E341,WEIGHTS!$A$2:$F$4,6,FALSE))</f>
        <v/>
      </c>
      <c r="N341" s="2" t="str">
        <f t="shared" si="4"/>
        <v/>
      </c>
    </row>
    <row r="342" ht="15.75" customHeight="1">
      <c r="A342" s="3"/>
      <c r="B342" s="2" t="str">
        <f t="shared" si="1"/>
        <v/>
      </c>
      <c r="E342" s="2"/>
      <c r="F342" s="2"/>
      <c r="G342" s="2"/>
      <c r="H342" s="2"/>
      <c r="I342" s="2"/>
      <c r="J342" s="2"/>
      <c r="K342" s="2" t="str">
        <f t="shared" si="2"/>
        <v/>
      </c>
      <c r="L342" s="2" t="str">
        <f t="shared" si="3"/>
        <v>No</v>
      </c>
      <c r="M342" s="2" t="str">
        <f>IF(K342="","",F342*VLOOKUP(E342,WEIGHTS!$A$2:$F$4,2,FALSE)+G342*VLOOKUP(E342,WEIGHTS!$A$2:$F$4,3,FALSE)+H342*VLOOKUP(E342,WEIGHTS!$A$2:$F$4,4,FALSE)+I342*VLOOKUP(E342,WEIGHTS!$A$2:$F$4,5,FALSE)+J342*VLOOKUP(E342,WEIGHTS!$A$2:$F$4,6,FALSE))</f>
        <v/>
      </c>
      <c r="N342" s="2" t="str">
        <f t="shared" si="4"/>
        <v/>
      </c>
    </row>
    <row r="343" ht="15.75" customHeight="1">
      <c r="A343" s="3"/>
      <c r="B343" s="2" t="str">
        <f t="shared" si="1"/>
        <v/>
      </c>
      <c r="E343" s="2"/>
      <c r="F343" s="2"/>
      <c r="G343" s="2"/>
      <c r="H343" s="2"/>
      <c r="I343" s="2"/>
      <c r="J343" s="2"/>
      <c r="K343" s="2" t="str">
        <f t="shared" si="2"/>
        <v/>
      </c>
      <c r="L343" s="2" t="str">
        <f t="shared" si="3"/>
        <v>No</v>
      </c>
      <c r="M343" s="2" t="str">
        <f>IF(K343="","",F343*VLOOKUP(E343,WEIGHTS!$A$2:$F$4,2,FALSE)+G343*VLOOKUP(E343,WEIGHTS!$A$2:$F$4,3,FALSE)+H343*VLOOKUP(E343,WEIGHTS!$A$2:$F$4,4,FALSE)+I343*VLOOKUP(E343,WEIGHTS!$A$2:$F$4,5,FALSE)+J343*VLOOKUP(E343,WEIGHTS!$A$2:$F$4,6,FALSE))</f>
        <v/>
      </c>
      <c r="N343" s="2" t="str">
        <f t="shared" si="4"/>
        <v/>
      </c>
    </row>
    <row r="344" ht="15.75" customHeight="1">
      <c r="A344" s="3"/>
      <c r="B344" s="2" t="str">
        <f t="shared" si="1"/>
        <v/>
      </c>
      <c r="E344" s="2"/>
      <c r="F344" s="2"/>
      <c r="G344" s="2"/>
      <c r="H344" s="2"/>
      <c r="I344" s="2"/>
      <c r="J344" s="2"/>
      <c r="K344" s="2" t="str">
        <f t="shared" si="2"/>
        <v/>
      </c>
      <c r="L344" s="2" t="str">
        <f t="shared" si="3"/>
        <v>No</v>
      </c>
      <c r="M344" s="2" t="str">
        <f>IF(K344="","",F344*VLOOKUP(E344,WEIGHTS!$A$2:$F$4,2,FALSE)+G344*VLOOKUP(E344,WEIGHTS!$A$2:$F$4,3,FALSE)+H344*VLOOKUP(E344,WEIGHTS!$A$2:$F$4,4,FALSE)+I344*VLOOKUP(E344,WEIGHTS!$A$2:$F$4,5,FALSE)+J344*VLOOKUP(E344,WEIGHTS!$A$2:$F$4,6,FALSE))</f>
        <v/>
      </c>
      <c r="N344" s="2" t="str">
        <f t="shared" si="4"/>
        <v/>
      </c>
    </row>
    <row r="345" ht="15.75" customHeight="1">
      <c r="A345" s="3"/>
      <c r="B345" s="2" t="str">
        <f t="shared" si="1"/>
        <v/>
      </c>
      <c r="E345" s="2"/>
      <c r="F345" s="2"/>
      <c r="G345" s="2"/>
      <c r="H345" s="2"/>
      <c r="I345" s="2"/>
      <c r="J345" s="2"/>
      <c r="K345" s="2" t="str">
        <f t="shared" si="2"/>
        <v/>
      </c>
      <c r="L345" s="2" t="str">
        <f t="shared" si="3"/>
        <v>No</v>
      </c>
      <c r="M345" s="2" t="str">
        <f>IF(K345="","",F345*VLOOKUP(E345,WEIGHTS!$A$2:$F$4,2,FALSE)+G345*VLOOKUP(E345,WEIGHTS!$A$2:$F$4,3,FALSE)+H345*VLOOKUP(E345,WEIGHTS!$A$2:$F$4,4,FALSE)+I345*VLOOKUP(E345,WEIGHTS!$A$2:$F$4,5,FALSE)+J345*VLOOKUP(E345,WEIGHTS!$A$2:$F$4,6,FALSE))</f>
        <v/>
      </c>
      <c r="N345" s="2" t="str">
        <f t="shared" si="4"/>
        <v/>
      </c>
    </row>
    <row r="346" ht="15.75" customHeight="1">
      <c r="A346" s="3"/>
      <c r="B346" s="2" t="str">
        <f t="shared" si="1"/>
        <v/>
      </c>
      <c r="E346" s="2"/>
      <c r="F346" s="2"/>
      <c r="G346" s="2"/>
      <c r="H346" s="2"/>
      <c r="I346" s="2"/>
      <c r="J346" s="2"/>
      <c r="K346" s="2" t="str">
        <f t="shared" si="2"/>
        <v/>
      </c>
      <c r="L346" s="2" t="str">
        <f t="shared" si="3"/>
        <v>No</v>
      </c>
      <c r="M346" s="2" t="str">
        <f>IF(K346="","",F346*VLOOKUP(E346,WEIGHTS!$A$2:$F$4,2,FALSE)+G346*VLOOKUP(E346,WEIGHTS!$A$2:$F$4,3,FALSE)+H346*VLOOKUP(E346,WEIGHTS!$A$2:$F$4,4,FALSE)+I346*VLOOKUP(E346,WEIGHTS!$A$2:$F$4,5,FALSE)+J346*VLOOKUP(E346,WEIGHTS!$A$2:$F$4,6,FALSE))</f>
        <v/>
      </c>
      <c r="N346" s="2" t="str">
        <f t="shared" si="4"/>
        <v/>
      </c>
    </row>
    <row r="347" ht="15.75" customHeight="1">
      <c r="A347" s="3"/>
      <c r="B347" s="2" t="str">
        <f t="shared" si="1"/>
        <v/>
      </c>
      <c r="E347" s="2"/>
      <c r="F347" s="2"/>
      <c r="G347" s="2"/>
      <c r="H347" s="2"/>
      <c r="I347" s="2"/>
      <c r="J347" s="2"/>
      <c r="K347" s="2" t="str">
        <f t="shared" si="2"/>
        <v/>
      </c>
      <c r="L347" s="2" t="str">
        <f t="shared" si="3"/>
        <v>No</v>
      </c>
      <c r="M347" s="2" t="str">
        <f>IF(K347="","",F347*VLOOKUP(E347,WEIGHTS!$A$2:$F$4,2,FALSE)+G347*VLOOKUP(E347,WEIGHTS!$A$2:$F$4,3,FALSE)+H347*VLOOKUP(E347,WEIGHTS!$A$2:$F$4,4,FALSE)+I347*VLOOKUP(E347,WEIGHTS!$A$2:$F$4,5,FALSE)+J347*VLOOKUP(E347,WEIGHTS!$A$2:$F$4,6,FALSE))</f>
        <v/>
      </c>
      <c r="N347" s="2" t="str">
        <f t="shared" si="4"/>
        <v/>
      </c>
    </row>
    <row r="348" ht="15.75" customHeight="1">
      <c r="A348" s="3"/>
      <c r="B348" s="2" t="str">
        <f t="shared" si="1"/>
        <v/>
      </c>
      <c r="E348" s="2"/>
      <c r="F348" s="2"/>
      <c r="G348" s="2"/>
      <c r="H348" s="2"/>
      <c r="I348" s="2"/>
      <c r="J348" s="2"/>
      <c r="K348" s="2" t="str">
        <f t="shared" si="2"/>
        <v/>
      </c>
      <c r="L348" s="2" t="str">
        <f t="shared" si="3"/>
        <v>No</v>
      </c>
      <c r="M348" s="2" t="str">
        <f>IF(K348="","",F348*VLOOKUP(E348,WEIGHTS!$A$2:$F$4,2,FALSE)+G348*VLOOKUP(E348,WEIGHTS!$A$2:$F$4,3,FALSE)+H348*VLOOKUP(E348,WEIGHTS!$A$2:$F$4,4,FALSE)+I348*VLOOKUP(E348,WEIGHTS!$A$2:$F$4,5,FALSE)+J348*VLOOKUP(E348,WEIGHTS!$A$2:$F$4,6,FALSE))</f>
        <v/>
      </c>
      <c r="N348" s="2" t="str">
        <f t="shared" si="4"/>
        <v/>
      </c>
    </row>
    <row r="349" ht="15.75" customHeight="1">
      <c r="A349" s="3"/>
      <c r="B349" s="2" t="str">
        <f t="shared" si="1"/>
        <v/>
      </c>
      <c r="E349" s="2"/>
      <c r="F349" s="2"/>
      <c r="G349" s="2"/>
      <c r="H349" s="2"/>
      <c r="I349" s="2"/>
      <c r="J349" s="2"/>
      <c r="K349" s="2" t="str">
        <f t="shared" si="2"/>
        <v/>
      </c>
      <c r="L349" s="2" t="str">
        <f t="shared" si="3"/>
        <v>No</v>
      </c>
      <c r="M349" s="2" t="str">
        <f>IF(K349="","",F349*VLOOKUP(E349,WEIGHTS!$A$2:$F$4,2,FALSE)+G349*VLOOKUP(E349,WEIGHTS!$A$2:$F$4,3,FALSE)+H349*VLOOKUP(E349,WEIGHTS!$A$2:$F$4,4,FALSE)+I349*VLOOKUP(E349,WEIGHTS!$A$2:$F$4,5,FALSE)+J349*VLOOKUP(E349,WEIGHTS!$A$2:$F$4,6,FALSE))</f>
        <v/>
      </c>
      <c r="N349" s="2" t="str">
        <f t="shared" si="4"/>
        <v/>
      </c>
    </row>
    <row r="350" ht="15.75" customHeight="1">
      <c r="A350" s="3"/>
      <c r="B350" s="2" t="str">
        <f t="shared" si="1"/>
        <v/>
      </c>
      <c r="E350" s="2"/>
      <c r="F350" s="2"/>
      <c r="G350" s="2"/>
      <c r="H350" s="2"/>
      <c r="I350" s="2"/>
      <c r="J350" s="2"/>
      <c r="K350" s="2" t="str">
        <f t="shared" si="2"/>
        <v/>
      </c>
      <c r="L350" s="2" t="str">
        <f t="shared" si="3"/>
        <v>No</v>
      </c>
      <c r="M350" s="2" t="str">
        <f>IF(K350="","",F350*VLOOKUP(E350,WEIGHTS!$A$2:$F$4,2,FALSE)+G350*VLOOKUP(E350,WEIGHTS!$A$2:$F$4,3,FALSE)+H350*VLOOKUP(E350,WEIGHTS!$A$2:$F$4,4,FALSE)+I350*VLOOKUP(E350,WEIGHTS!$A$2:$F$4,5,FALSE)+J350*VLOOKUP(E350,WEIGHTS!$A$2:$F$4,6,FALSE))</f>
        <v/>
      </c>
      <c r="N350" s="2" t="str">
        <f t="shared" si="4"/>
        <v/>
      </c>
    </row>
    <row r="351" ht="15.75" customHeight="1">
      <c r="A351" s="3"/>
      <c r="B351" s="2" t="str">
        <f t="shared" si="1"/>
        <v/>
      </c>
      <c r="E351" s="2"/>
      <c r="F351" s="2"/>
      <c r="G351" s="2"/>
      <c r="H351" s="2"/>
      <c r="I351" s="2"/>
      <c r="J351" s="2"/>
      <c r="K351" s="2" t="str">
        <f t="shared" si="2"/>
        <v/>
      </c>
      <c r="L351" s="2" t="str">
        <f t="shared" si="3"/>
        <v>No</v>
      </c>
      <c r="M351" s="2" t="str">
        <f>IF(K351="","",F351*VLOOKUP(E351,WEIGHTS!$A$2:$F$4,2,FALSE)+G351*VLOOKUP(E351,WEIGHTS!$A$2:$F$4,3,FALSE)+H351*VLOOKUP(E351,WEIGHTS!$A$2:$F$4,4,FALSE)+I351*VLOOKUP(E351,WEIGHTS!$A$2:$F$4,5,FALSE)+J351*VLOOKUP(E351,WEIGHTS!$A$2:$F$4,6,FALSE))</f>
        <v/>
      </c>
      <c r="N351" s="2" t="str">
        <f t="shared" si="4"/>
        <v/>
      </c>
    </row>
    <row r="352" ht="15.75" customHeight="1">
      <c r="A352" s="3"/>
      <c r="B352" s="2" t="str">
        <f t="shared" si="1"/>
        <v/>
      </c>
      <c r="E352" s="2"/>
      <c r="F352" s="2"/>
      <c r="G352" s="2"/>
      <c r="H352" s="2"/>
      <c r="I352" s="2"/>
      <c r="J352" s="2"/>
      <c r="K352" s="2" t="str">
        <f t="shared" si="2"/>
        <v/>
      </c>
      <c r="L352" s="2" t="str">
        <f t="shared" si="3"/>
        <v>No</v>
      </c>
      <c r="M352" s="2" t="str">
        <f>IF(K352="","",F352*VLOOKUP(E352,WEIGHTS!$A$2:$F$4,2,FALSE)+G352*VLOOKUP(E352,WEIGHTS!$A$2:$F$4,3,FALSE)+H352*VLOOKUP(E352,WEIGHTS!$A$2:$F$4,4,FALSE)+I352*VLOOKUP(E352,WEIGHTS!$A$2:$F$4,5,FALSE)+J352*VLOOKUP(E352,WEIGHTS!$A$2:$F$4,6,FALSE))</f>
        <v/>
      </c>
      <c r="N352" s="2" t="str">
        <f t="shared" si="4"/>
        <v/>
      </c>
    </row>
    <row r="353" ht="15.75" customHeight="1">
      <c r="A353" s="3"/>
      <c r="B353" s="2" t="str">
        <f t="shared" si="1"/>
        <v/>
      </c>
      <c r="E353" s="2"/>
      <c r="F353" s="2"/>
      <c r="G353" s="2"/>
      <c r="H353" s="2"/>
      <c r="I353" s="2"/>
      <c r="J353" s="2"/>
      <c r="K353" s="2" t="str">
        <f t="shared" si="2"/>
        <v/>
      </c>
      <c r="L353" s="2" t="str">
        <f t="shared" si="3"/>
        <v>No</v>
      </c>
      <c r="M353" s="2" t="str">
        <f>IF(K353="","",F353*VLOOKUP(E353,WEIGHTS!$A$2:$F$4,2,FALSE)+G353*VLOOKUP(E353,WEIGHTS!$A$2:$F$4,3,FALSE)+H353*VLOOKUP(E353,WEIGHTS!$A$2:$F$4,4,FALSE)+I353*VLOOKUP(E353,WEIGHTS!$A$2:$F$4,5,FALSE)+J353*VLOOKUP(E353,WEIGHTS!$A$2:$F$4,6,FALSE))</f>
        <v/>
      </c>
      <c r="N353" s="2" t="str">
        <f t="shared" si="4"/>
        <v/>
      </c>
    </row>
    <row r="354" ht="15.75" customHeight="1">
      <c r="A354" s="3"/>
      <c r="B354" s="2" t="str">
        <f t="shared" si="1"/>
        <v/>
      </c>
      <c r="E354" s="2"/>
      <c r="F354" s="2"/>
      <c r="G354" s="2"/>
      <c r="H354" s="2"/>
      <c r="I354" s="2"/>
      <c r="J354" s="2"/>
      <c r="K354" s="2" t="str">
        <f t="shared" si="2"/>
        <v/>
      </c>
      <c r="L354" s="2" t="str">
        <f t="shared" si="3"/>
        <v>No</v>
      </c>
      <c r="M354" s="2" t="str">
        <f>IF(K354="","",F354*VLOOKUP(E354,WEIGHTS!$A$2:$F$4,2,FALSE)+G354*VLOOKUP(E354,WEIGHTS!$A$2:$F$4,3,FALSE)+H354*VLOOKUP(E354,WEIGHTS!$A$2:$F$4,4,FALSE)+I354*VLOOKUP(E354,WEIGHTS!$A$2:$F$4,5,FALSE)+J354*VLOOKUP(E354,WEIGHTS!$A$2:$F$4,6,FALSE))</f>
        <v/>
      </c>
      <c r="N354" s="2" t="str">
        <f t="shared" si="4"/>
        <v/>
      </c>
    </row>
    <row r="355" ht="15.75" customHeight="1">
      <c r="A355" s="3"/>
      <c r="B355" s="2" t="str">
        <f t="shared" si="1"/>
        <v/>
      </c>
      <c r="E355" s="2"/>
      <c r="F355" s="2"/>
      <c r="G355" s="2"/>
      <c r="H355" s="2"/>
      <c r="I355" s="2"/>
      <c r="J355" s="2"/>
      <c r="K355" s="2" t="str">
        <f t="shared" si="2"/>
        <v/>
      </c>
      <c r="L355" s="2" t="str">
        <f t="shared" si="3"/>
        <v>No</v>
      </c>
      <c r="M355" s="2" t="str">
        <f>IF(K355="","",F355*VLOOKUP(E355,WEIGHTS!$A$2:$F$4,2,FALSE)+G355*VLOOKUP(E355,WEIGHTS!$A$2:$F$4,3,FALSE)+H355*VLOOKUP(E355,WEIGHTS!$A$2:$F$4,4,FALSE)+I355*VLOOKUP(E355,WEIGHTS!$A$2:$F$4,5,FALSE)+J355*VLOOKUP(E355,WEIGHTS!$A$2:$F$4,6,FALSE))</f>
        <v/>
      </c>
      <c r="N355" s="2" t="str">
        <f t="shared" si="4"/>
        <v/>
      </c>
    </row>
    <row r="356" ht="15.75" customHeight="1">
      <c r="A356" s="3"/>
      <c r="B356" s="2" t="str">
        <f t="shared" si="1"/>
        <v/>
      </c>
      <c r="E356" s="2"/>
      <c r="F356" s="2"/>
      <c r="G356" s="2"/>
      <c r="H356" s="2"/>
      <c r="I356" s="2"/>
      <c r="J356" s="2"/>
      <c r="K356" s="2" t="str">
        <f t="shared" si="2"/>
        <v/>
      </c>
      <c r="L356" s="2" t="str">
        <f t="shared" si="3"/>
        <v>No</v>
      </c>
      <c r="M356" s="2" t="str">
        <f>IF(K356="","",F356*VLOOKUP(E356,WEIGHTS!$A$2:$F$4,2,FALSE)+G356*VLOOKUP(E356,WEIGHTS!$A$2:$F$4,3,FALSE)+H356*VLOOKUP(E356,WEIGHTS!$A$2:$F$4,4,FALSE)+I356*VLOOKUP(E356,WEIGHTS!$A$2:$F$4,5,FALSE)+J356*VLOOKUP(E356,WEIGHTS!$A$2:$F$4,6,FALSE))</f>
        <v/>
      </c>
      <c r="N356" s="2" t="str">
        <f t="shared" si="4"/>
        <v/>
      </c>
    </row>
    <row r="357" ht="15.75" customHeight="1">
      <c r="A357" s="3"/>
      <c r="B357" s="2" t="str">
        <f t="shared" si="1"/>
        <v/>
      </c>
      <c r="E357" s="2"/>
      <c r="F357" s="2"/>
      <c r="G357" s="2"/>
      <c r="H357" s="2"/>
      <c r="I357" s="2"/>
      <c r="J357" s="2"/>
      <c r="K357" s="2" t="str">
        <f t="shared" si="2"/>
        <v/>
      </c>
      <c r="L357" s="2" t="str">
        <f t="shared" si="3"/>
        <v>No</v>
      </c>
      <c r="M357" s="2" t="str">
        <f>IF(K357="","",F357*VLOOKUP(E357,WEIGHTS!$A$2:$F$4,2,FALSE)+G357*VLOOKUP(E357,WEIGHTS!$A$2:$F$4,3,FALSE)+H357*VLOOKUP(E357,WEIGHTS!$A$2:$F$4,4,FALSE)+I357*VLOOKUP(E357,WEIGHTS!$A$2:$F$4,5,FALSE)+J357*VLOOKUP(E357,WEIGHTS!$A$2:$F$4,6,FALSE))</f>
        <v/>
      </c>
      <c r="N357" s="2" t="str">
        <f t="shared" si="4"/>
        <v/>
      </c>
    </row>
    <row r="358" ht="15.75" customHeight="1">
      <c r="A358" s="3"/>
      <c r="B358" s="2" t="str">
        <f t="shared" si="1"/>
        <v/>
      </c>
      <c r="E358" s="2"/>
      <c r="F358" s="2"/>
      <c r="G358" s="2"/>
      <c r="H358" s="2"/>
      <c r="I358" s="2"/>
      <c r="J358" s="2"/>
      <c r="K358" s="2" t="str">
        <f t="shared" si="2"/>
        <v/>
      </c>
      <c r="L358" s="2" t="str">
        <f t="shared" si="3"/>
        <v>No</v>
      </c>
      <c r="M358" s="2" t="str">
        <f>IF(K358="","",F358*VLOOKUP(E358,WEIGHTS!$A$2:$F$4,2,FALSE)+G358*VLOOKUP(E358,WEIGHTS!$A$2:$F$4,3,FALSE)+H358*VLOOKUP(E358,WEIGHTS!$A$2:$F$4,4,FALSE)+I358*VLOOKUP(E358,WEIGHTS!$A$2:$F$4,5,FALSE)+J358*VLOOKUP(E358,WEIGHTS!$A$2:$F$4,6,FALSE))</f>
        <v/>
      </c>
      <c r="N358" s="2" t="str">
        <f t="shared" si="4"/>
        <v/>
      </c>
    </row>
    <row r="359" ht="15.75" customHeight="1">
      <c r="A359" s="3"/>
      <c r="B359" s="2" t="str">
        <f t="shared" si="1"/>
        <v/>
      </c>
      <c r="E359" s="2"/>
      <c r="F359" s="2"/>
      <c r="G359" s="2"/>
      <c r="H359" s="2"/>
      <c r="I359" s="2"/>
      <c r="J359" s="2"/>
      <c r="K359" s="2" t="str">
        <f t="shared" si="2"/>
        <v/>
      </c>
      <c r="L359" s="2" t="str">
        <f t="shared" si="3"/>
        <v>No</v>
      </c>
      <c r="M359" s="2" t="str">
        <f>IF(K359="","",F359*VLOOKUP(E359,WEIGHTS!$A$2:$F$4,2,FALSE)+G359*VLOOKUP(E359,WEIGHTS!$A$2:$F$4,3,FALSE)+H359*VLOOKUP(E359,WEIGHTS!$A$2:$F$4,4,FALSE)+I359*VLOOKUP(E359,WEIGHTS!$A$2:$F$4,5,FALSE)+J359*VLOOKUP(E359,WEIGHTS!$A$2:$F$4,6,FALSE))</f>
        <v/>
      </c>
      <c r="N359" s="2" t="str">
        <f t="shared" si="4"/>
        <v/>
      </c>
    </row>
    <row r="360" ht="15.75" customHeight="1">
      <c r="A360" s="3"/>
      <c r="B360" s="2" t="str">
        <f t="shared" si="1"/>
        <v/>
      </c>
      <c r="E360" s="2"/>
      <c r="F360" s="2"/>
      <c r="G360" s="2"/>
      <c r="H360" s="2"/>
      <c r="I360" s="2"/>
      <c r="J360" s="2"/>
      <c r="K360" s="2" t="str">
        <f t="shared" si="2"/>
        <v/>
      </c>
      <c r="L360" s="2" t="str">
        <f t="shared" si="3"/>
        <v>No</v>
      </c>
      <c r="M360" s="2" t="str">
        <f>IF(K360="","",F360*VLOOKUP(E360,WEIGHTS!$A$2:$F$4,2,FALSE)+G360*VLOOKUP(E360,WEIGHTS!$A$2:$F$4,3,FALSE)+H360*VLOOKUP(E360,WEIGHTS!$A$2:$F$4,4,FALSE)+I360*VLOOKUP(E360,WEIGHTS!$A$2:$F$4,5,FALSE)+J360*VLOOKUP(E360,WEIGHTS!$A$2:$F$4,6,FALSE))</f>
        <v/>
      </c>
      <c r="N360" s="2" t="str">
        <f t="shared" si="4"/>
        <v/>
      </c>
    </row>
    <row r="361" ht="15.75" customHeight="1">
      <c r="A361" s="3"/>
      <c r="B361" s="2" t="str">
        <f t="shared" si="1"/>
        <v/>
      </c>
      <c r="E361" s="2"/>
      <c r="F361" s="2"/>
      <c r="G361" s="2"/>
      <c r="H361" s="2"/>
      <c r="I361" s="2"/>
      <c r="J361" s="2"/>
      <c r="K361" s="2" t="str">
        <f t="shared" si="2"/>
        <v/>
      </c>
      <c r="L361" s="2" t="str">
        <f t="shared" si="3"/>
        <v>No</v>
      </c>
      <c r="M361" s="2" t="str">
        <f>IF(K361="","",F361*VLOOKUP(E361,WEIGHTS!$A$2:$F$4,2,FALSE)+G361*VLOOKUP(E361,WEIGHTS!$A$2:$F$4,3,FALSE)+H361*VLOOKUP(E361,WEIGHTS!$A$2:$F$4,4,FALSE)+I361*VLOOKUP(E361,WEIGHTS!$A$2:$F$4,5,FALSE)+J361*VLOOKUP(E361,WEIGHTS!$A$2:$F$4,6,FALSE))</f>
        <v/>
      </c>
      <c r="N361" s="2" t="str">
        <f t="shared" si="4"/>
        <v/>
      </c>
    </row>
    <row r="362" ht="15.75" customHeight="1">
      <c r="A362" s="3"/>
      <c r="B362" s="2" t="str">
        <f t="shared" si="1"/>
        <v/>
      </c>
      <c r="E362" s="2"/>
      <c r="F362" s="2"/>
      <c r="G362" s="2"/>
      <c r="H362" s="2"/>
      <c r="I362" s="2"/>
      <c r="J362" s="2"/>
      <c r="K362" s="2" t="str">
        <f t="shared" si="2"/>
        <v/>
      </c>
      <c r="L362" s="2" t="str">
        <f t="shared" si="3"/>
        <v>No</v>
      </c>
      <c r="M362" s="2" t="str">
        <f>IF(K362="","",F362*VLOOKUP(E362,WEIGHTS!$A$2:$F$4,2,FALSE)+G362*VLOOKUP(E362,WEIGHTS!$A$2:$F$4,3,FALSE)+H362*VLOOKUP(E362,WEIGHTS!$A$2:$F$4,4,FALSE)+I362*VLOOKUP(E362,WEIGHTS!$A$2:$F$4,5,FALSE)+J362*VLOOKUP(E362,WEIGHTS!$A$2:$F$4,6,FALSE))</f>
        <v/>
      </c>
      <c r="N362" s="2" t="str">
        <f t="shared" si="4"/>
        <v/>
      </c>
    </row>
    <row r="363" ht="15.75" customHeight="1">
      <c r="A363" s="3"/>
      <c r="B363" s="2" t="str">
        <f t="shared" si="1"/>
        <v/>
      </c>
      <c r="E363" s="2"/>
      <c r="F363" s="2"/>
      <c r="G363" s="2"/>
      <c r="H363" s="2"/>
      <c r="I363" s="2"/>
      <c r="J363" s="2"/>
      <c r="K363" s="2" t="str">
        <f t="shared" si="2"/>
        <v/>
      </c>
      <c r="L363" s="2" t="str">
        <f t="shared" si="3"/>
        <v>No</v>
      </c>
      <c r="M363" s="2" t="str">
        <f>IF(K363="","",F363*VLOOKUP(E363,WEIGHTS!$A$2:$F$4,2,FALSE)+G363*VLOOKUP(E363,WEIGHTS!$A$2:$F$4,3,FALSE)+H363*VLOOKUP(E363,WEIGHTS!$A$2:$F$4,4,FALSE)+I363*VLOOKUP(E363,WEIGHTS!$A$2:$F$4,5,FALSE)+J363*VLOOKUP(E363,WEIGHTS!$A$2:$F$4,6,FALSE))</f>
        <v/>
      </c>
      <c r="N363" s="2" t="str">
        <f t="shared" si="4"/>
        <v/>
      </c>
    </row>
    <row r="364" ht="15.75" customHeight="1">
      <c r="A364" s="3"/>
      <c r="B364" s="2" t="str">
        <f t="shared" si="1"/>
        <v/>
      </c>
      <c r="E364" s="2"/>
      <c r="F364" s="2"/>
      <c r="G364" s="2"/>
      <c r="H364" s="2"/>
      <c r="I364" s="2"/>
      <c r="J364" s="2"/>
      <c r="K364" s="2" t="str">
        <f t="shared" si="2"/>
        <v/>
      </c>
      <c r="L364" s="2" t="str">
        <f t="shared" si="3"/>
        <v>No</v>
      </c>
      <c r="M364" s="2" t="str">
        <f>IF(K364="","",F364*VLOOKUP(E364,WEIGHTS!$A$2:$F$4,2,FALSE)+G364*VLOOKUP(E364,WEIGHTS!$A$2:$F$4,3,FALSE)+H364*VLOOKUP(E364,WEIGHTS!$A$2:$F$4,4,FALSE)+I364*VLOOKUP(E364,WEIGHTS!$A$2:$F$4,5,FALSE)+J364*VLOOKUP(E364,WEIGHTS!$A$2:$F$4,6,FALSE))</f>
        <v/>
      </c>
      <c r="N364" s="2" t="str">
        <f t="shared" si="4"/>
        <v/>
      </c>
    </row>
    <row r="365" ht="15.75" customHeight="1">
      <c r="A365" s="3"/>
      <c r="B365" s="2" t="str">
        <f t="shared" si="1"/>
        <v/>
      </c>
      <c r="E365" s="2"/>
      <c r="F365" s="2"/>
      <c r="G365" s="2"/>
      <c r="H365" s="2"/>
      <c r="I365" s="2"/>
      <c r="J365" s="2"/>
      <c r="K365" s="2" t="str">
        <f t="shared" si="2"/>
        <v/>
      </c>
      <c r="L365" s="2" t="str">
        <f t="shared" si="3"/>
        <v>No</v>
      </c>
      <c r="M365" s="2" t="str">
        <f>IF(K365="","",F365*VLOOKUP(E365,WEIGHTS!$A$2:$F$4,2,FALSE)+G365*VLOOKUP(E365,WEIGHTS!$A$2:$F$4,3,FALSE)+H365*VLOOKUP(E365,WEIGHTS!$A$2:$F$4,4,FALSE)+I365*VLOOKUP(E365,WEIGHTS!$A$2:$F$4,5,FALSE)+J365*VLOOKUP(E365,WEIGHTS!$A$2:$F$4,6,FALSE))</f>
        <v/>
      </c>
      <c r="N365" s="2" t="str">
        <f t="shared" si="4"/>
        <v/>
      </c>
    </row>
    <row r="366" ht="15.75" customHeight="1">
      <c r="A366" s="3"/>
      <c r="B366" s="2" t="str">
        <f t="shared" si="1"/>
        <v/>
      </c>
      <c r="E366" s="2"/>
      <c r="F366" s="2"/>
      <c r="G366" s="2"/>
      <c r="H366" s="2"/>
      <c r="I366" s="2"/>
      <c r="J366" s="2"/>
      <c r="K366" s="2" t="str">
        <f t="shared" si="2"/>
        <v/>
      </c>
      <c r="L366" s="2" t="str">
        <f t="shared" si="3"/>
        <v>No</v>
      </c>
      <c r="M366" s="2" t="str">
        <f>IF(K366="","",F366*VLOOKUP(E366,WEIGHTS!$A$2:$F$4,2,FALSE)+G366*VLOOKUP(E366,WEIGHTS!$A$2:$F$4,3,FALSE)+H366*VLOOKUP(E366,WEIGHTS!$A$2:$F$4,4,FALSE)+I366*VLOOKUP(E366,WEIGHTS!$A$2:$F$4,5,FALSE)+J366*VLOOKUP(E366,WEIGHTS!$A$2:$F$4,6,FALSE))</f>
        <v/>
      </c>
      <c r="N366" s="2" t="str">
        <f t="shared" si="4"/>
        <v/>
      </c>
    </row>
    <row r="367" ht="15.75" customHeight="1">
      <c r="A367" s="3"/>
      <c r="B367" s="2" t="str">
        <f t="shared" si="1"/>
        <v/>
      </c>
      <c r="E367" s="2"/>
      <c r="F367" s="2"/>
      <c r="G367" s="2"/>
      <c r="H367" s="2"/>
      <c r="I367" s="2"/>
      <c r="J367" s="2"/>
      <c r="K367" s="2" t="str">
        <f t="shared" si="2"/>
        <v/>
      </c>
      <c r="L367" s="2" t="str">
        <f t="shared" si="3"/>
        <v>No</v>
      </c>
      <c r="M367" s="2" t="str">
        <f>IF(K367="","",F367*VLOOKUP(E367,WEIGHTS!$A$2:$F$4,2,FALSE)+G367*VLOOKUP(E367,WEIGHTS!$A$2:$F$4,3,FALSE)+H367*VLOOKUP(E367,WEIGHTS!$A$2:$F$4,4,FALSE)+I367*VLOOKUP(E367,WEIGHTS!$A$2:$F$4,5,FALSE)+J367*VLOOKUP(E367,WEIGHTS!$A$2:$F$4,6,FALSE))</f>
        <v/>
      </c>
      <c r="N367" s="2" t="str">
        <f t="shared" si="4"/>
        <v/>
      </c>
    </row>
    <row r="368" ht="15.75" customHeight="1">
      <c r="A368" s="3"/>
      <c r="B368" s="2" t="str">
        <f t="shared" si="1"/>
        <v/>
      </c>
      <c r="E368" s="2"/>
      <c r="F368" s="2"/>
      <c r="G368" s="2"/>
      <c r="H368" s="2"/>
      <c r="I368" s="2"/>
      <c r="J368" s="2"/>
      <c r="K368" s="2" t="str">
        <f t="shared" si="2"/>
        <v/>
      </c>
      <c r="L368" s="2" t="str">
        <f t="shared" si="3"/>
        <v>No</v>
      </c>
      <c r="M368" s="2" t="str">
        <f>IF(K368="","",F368*VLOOKUP(E368,WEIGHTS!$A$2:$F$4,2,FALSE)+G368*VLOOKUP(E368,WEIGHTS!$A$2:$F$4,3,FALSE)+H368*VLOOKUP(E368,WEIGHTS!$A$2:$F$4,4,FALSE)+I368*VLOOKUP(E368,WEIGHTS!$A$2:$F$4,5,FALSE)+J368*VLOOKUP(E368,WEIGHTS!$A$2:$F$4,6,FALSE))</f>
        <v/>
      </c>
      <c r="N368" s="2" t="str">
        <f t="shared" si="4"/>
        <v/>
      </c>
    </row>
    <row r="369" ht="15.75" customHeight="1">
      <c r="A369" s="3"/>
      <c r="B369" s="2" t="str">
        <f t="shared" si="1"/>
        <v/>
      </c>
      <c r="E369" s="2"/>
      <c r="F369" s="2"/>
      <c r="G369" s="2"/>
      <c r="H369" s="2"/>
      <c r="I369" s="2"/>
      <c r="J369" s="2"/>
      <c r="K369" s="2" t="str">
        <f t="shared" si="2"/>
        <v/>
      </c>
      <c r="L369" s="2" t="str">
        <f t="shared" si="3"/>
        <v>No</v>
      </c>
      <c r="M369" s="2" t="str">
        <f>IF(K369="","",F369*VLOOKUP(E369,WEIGHTS!$A$2:$F$4,2,FALSE)+G369*VLOOKUP(E369,WEIGHTS!$A$2:$F$4,3,FALSE)+H369*VLOOKUP(E369,WEIGHTS!$A$2:$F$4,4,FALSE)+I369*VLOOKUP(E369,WEIGHTS!$A$2:$F$4,5,FALSE)+J369*VLOOKUP(E369,WEIGHTS!$A$2:$F$4,6,FALSE))</f>
        <v/>
      </c>
      <c r="N369" s="2" t="str">
        <f t="shared" si="4"/>
        <v/>
      </c>
    </row>
    <row r="370" ht="15.75" customHeight="1">
      <c r="A370" s="3"/>
      <c r="B370" s="2" t="str">
        <f t="shared" si="1"/>
        <v/>
      </c>
      <c r="E370" s="2"/>
      <c r="F370" s="2"/>
      <c r="G370" s="2"/>
      <c r="H370" s="2"/>
      <c r="I370" s="2"/>
      <c r="J370" s="2"/>
      <c r="K370" s="2" t="str">
        <f t="shared" si="2"/>
        <v/>
      </c>
      <c r="L370" s="2" t="str">
        <f t="shared" si="3"/>
        <v>No</v>
      </c>
      <c r="M370" s="2" t="str">
        <f>IF(K370="","",F370*VLOOKUP(E370,WEIGHTS!$A$2:$F$4,2,FALSE)+G370*VLOOKUP(E370,WEIGHTS!$A$2:$F$4,3,FALSE)+H370*VLOOKUP(E370,WEIGHTS!$A$2:$F$4,4,FALSE)+I370*VLOOKUP(E370,WEIGHTS!$A$2:$F$4,5,FALSE)+J370*VLOOKUP(E370,WEIGHTS!$A$2:$F$4,6,FALSE))</f>
        <v/>
      </c>
      <c r="N370" s="2" t="str">
        <f t="shared" si="4"/>
        <v/>
      </c>
    </row>
    <row r="371" ht="15.75" customHeight="1">
      <c r="A371" s="3"/>
      <c r="B371" s="2" t="str">
        <f t="shared" si="1"/>
        <v/>
      </c>
      <c r="E371" s="2"/>
      <c r="F371" s="2"/>
      <c r="G371" s="2"/>
      <c r="H371" s="2"/>
      <c r="I371" s="2"/>
      <c r="J371" s="2"/>
      <c r="K371" s="2" t="str">
        <f t="shared" si="2"/>
        <v/>
      </c>
      <c r="L371" s="2" t="str">
        <f t="shared" si="3"/>
        <v>No</v>
      </c>
      <c r="M371" s="2" t="str">
        <f>IF(K371="","",F371*VLOOKUP(E371,WEIGHTS!$A$2:$F$4,2,FALSE)+G371*VLOOKUP(E371,WEIGHTS!$A$2:$F$4,3,FALSE)+H371*VLOOKUP(E371,WEIGHTS!$A$2:$F$4,4,FALSE)+I371*VLOOKUP(E371,WEIGHTS!$A$2:$F$4,5,FALSE)+J371*VLOOKUP(E371,WEIGHTS!$A$2:$F$4,6,FALSE))</f>
        <v/>
      </c>
      <c r="N371" s="2" t="str">
        <f t="shared" si="4"/>
        <v/>
      </c>
    </row>
    <row r="372" ht="15.75" customHeight="1">
      <c r="A372" s="3"/>
      <c r="B372" s="2" t="str">
        <f t="shared" si="1"/>
        <v/>
      </c>
      <c r="E372" s="2"/>
      <c r="F372" s="2"/>
      <c r="G372" s="2"/>
      <c r="H372" s="2"/>
      <c r="I372" s="2"/>
      <c r="J372" s="2"/>
      <c r="K372" s="2" t="str">
        <f t="shared" si="2"/>
        <v/>
      </c>
      <c r="L372" s="2" t="str">
        <f t="shared" si="3"/>
        <v>No</v>
      </c>
      <c r="M372" s="2" t="str">
        <f>IF(K372="","",F372*VLOOKUP(E372,WEIGHTS!$A$2:$F$4,2,FALSE)+G372*VLOOKUP(E372,WEIGHTS!$A$2:$F$4,3,FALSE)+H372*VLOOKUP(E372,WEIGHTS!$A$2:$F$4,4,FALSE)+I372*VLOOKUP(E372,WEIGHTS!$A$2:$F$4,5,FALSE)+J372*VLOOKUP(E372,WEIGHTS!$A$2:$F$4,6,FALSE))</f>
        <v/>
      </c>
      <c r="N372" s="2" t="str">
        <f t="shared" si="4"/>
        <v/>
      </c>
    </row>
    <row r="373" ht="15.75" customHeight="1">
      <c r="A373" s="3"/>
      <c r="B373" s="2" t="str">
        <f t="shared" si="1"/>
        <v/>
      </c>
      <c r="E373" s="2"/>
      <c r="F373" s="2"/>
      <c r="G373" s="2"/>
      <c r="H373" s="2"/>
      <c r="I373" s="2"/>
      <c r="J373" s="2"/>
      <c r="K373" s="2" t="str">
        <f t="shared" si="2"/>
        <v/>
      </c>
      <c r="L373" s="2" t="str">
        <f t="shared" si="3"/>
        <v>No</v>
      </c>
      <c r="M373" s="2" t="str">
        <f>IF(K373="","",F373*VLOOKUP(E373,WEIGHTS!$A$2:$F$4,2,FALSE)+G373*VLOOKUP(E373,WEIGHTS!$A$2:$F$4,3,FALSE)+H373*VLOOKUP(E373,WEIGHTS!$A$2:$F$4,4,FALSE)+I373*VLOOKUP(E373,WEIGHTS!$A$2:$F$4,5,FALSE)+J373*VLOOKUP(E373,WEIGHTS!$A$2:$F$4,6,FALSE))</f>
        <v/>
      </c>
      <c r="N373" s="2" t="str">
        <f t="shared" si="4"/>
        <v/>
      </c>
    </row>
    <row r="374" ht="15.75" customHeight="1">
      <c r="A374" s="3"/>
      <c r="B374" s="2" t="str">
        <f t="shared" si="1"/>
        <v/>
      </c>
      <c r="E374" s="2"/>
      <c r="F374" s="2"/>
      <c r="G374" s="2"/>
      <c r="H374" s="2"/>
      <c r="I374" s="2"/>
      <c r="J374" s="2"/>
      <c r="K374" s="2" t="str">
        <f t="shared" si="2"/>
        <v/>
      </c>
      <c r="L374" s="2" t="str">
        <f t="shared" si="3"/>
        <v>No</v>
      </c>
      <c r="M374" s="2" t="str">
        <f>IF(K374="","",F374*VLOOKUP(E374,WEIGHTS!$A$2:$F$4,2,FALSE)+G374*VLOOKUP(E374,WEIGHTS!$A$2:$F$4,3,FALSE)+H374*VLOOKUP(E374,WEIGHTS!$A$2:$F$4,4,FALSE)+I374*VLOOKUP(E374,WEIGHTS!$A$2:$F$4,5,FALSE)+J374*VLOOKUP(E374,WEIGHTS!$A$2:$F$4,6,FALSE))</f>
        <v/>
      </c>
      <c r="N374" s="2" t="str">
        <f t="shared" si="4"/>
        <v/>
      </c>
    </row>
    <row r="375" ht="15.75" customHeight="1">
      <c r="A375" s="3"/>
      <c r="B375" s="2" t="str">
        <f t="shared" si="1"/>
        <v/>
      </c>
      <c r="E375" s="2"/>
      <c r="F375" s="2"/>
      <c r="G375" s="2"/>
      <c r="H375" s="2"/>
      <c r="I375" s="2"/>
      <c r="J375" s="2"/>
      <c r="K375" s="2" t="str">
        <f t="shared" si="2"/>
        <v/>
      </c>
      <c r="L375" s="2" t="str">
        <f t="shared" si="3"/>
        <v>No</v>
      </c>
      <c r="M375" s="2" t="str">
        <f>IF(K375="","",F375*VLOOKUP(E375,WEIGHTS!$A$2:$F$4,2,FALSE)+G375*VLOOKUP(E375,WEIGHTS!$A$2:$F$4,3,FALSE)+H375*VLOOKUP(E375,WEIGHTS!$A$2:$F$4,4,FALSE)+I375*VLOOKUP(E375,WEIGHTS!$A$2:$F$4,5,FALSE)+J375*VLOOKUP(E375,WEIGHTS!$A$2:$F$4,6,FALSE))</f>
        <v/>
      </c>
      <c r="N375" s="2" t="str">
        <f t="shared" si="4"/>
        <v/>
      </c>
    </row>
    <row r="376" ht="15.75" customHeight="1">
      <c r="A376" s="3"/>
      <c r="B376" s="2" t="str">
        <f t="shared" si="1"/>
        <v/>
      </c>
      <c r="E376" s="2"/>
      <c r="F376" s="2"/>
      <c r="G376" s="2"/>
      <c r="H376" s="2"/>
      <c r="I376" s="2"/>
      <c r="J376" s="2"/>
      <c r="K376" s="2" t="str">
        <f t="shared" si="2"/>
        <v/>
      </c>
      <c r="L376" s="2" t="str">
        <f t="shared" si="3"/>
        <v>No</v>
      </c>
      <c r="M376" s="2" t="str">
        <f>IF(K376="","",F376*VLOOKUP(E376,WEIGHTS!$A$2:$F$4,2,FALSE)+G376*VLOOKUP(E376,WEIGHTS!$A$2:$F$4,3,FALSE)+H376*VLOOKUP(E376,WEIGHTS!$A$2:$F$4,4,FALSE)+I376*VLOOKUP(E376,WEIGHTS!$A$2:$F$4,5,FALSE)+J376*VLOOKUP(E376,WEIGHTS!$A$2:$F$4,6,FALSE))</f>
        <v/>
      </c>
      <c r="N376" s="2" t="str">
        <f t="shared" si="4"/>
        <v/>
      </c>
    </row>
    <row r="377" ht="15.75" customHeight="1">
      <c r="A377" s="3"/>
      <c r="B377" s="2" t="str">
        <f t="shared" si="1"/>
        <v/>
      </c>
      <c r="E377" s="2"/>
      <c r="F377" s="2"/>
      <c r="G377" s="2"/>
      <c r="H377" s="2"/>
      <c r="I377" s="2"/>
      <c r="J377" s="2"/>
      <c r="K377" s="2" t="str">
        <f t="shared" si="2"/>
        <v/>
      </c>
      <c r="L377" s="2" t="str">
        <f t="shared" si="3"/>
        <v>No</v>
      </c>
      <c r="M377" s="2" t="str">
        <f>IF(K377="","",F377*VLOOKUP(E377,WEIGHTS!$A$2:$F$4,2,FALSE)+G377*VLOOKUP(E377,WEIGHTS!$A$2:$F$4,3,FALSE)+H377*VLOOKUP(E377,WEIGHTS!$A$2:$F$4,4,FALSE)+I377*VLOOKUP(E377,WEIGHTS!$A$2:$F$4,5,FALSE)+J377*VLOOKUP(E377,WEIGHTS!$A$2:$F$4,6,FALSE))</f>
        <v/>
      </c>
      <c r="N377" s="2" t="str">
        <f t="shared" si="4"/>
        <v/>
      </c>
    </row>
    <row r="378" ht="15.75" customHeight="1">
      <c r="A378" s="3"/>
      <c r="B378" s="2" t="str">
        <f t="shared" si="1"/>
        <v/>
      </c>
      <c r="E378" s="2"/>
      <c r="F378" s="2"/>
      <c r="G378" s="2"/>
      <c r="H378" s="2"/>
      <c r="I378" s="2"/>
      <c r="J378" s="2"/>
      <c r="K378" s="2" t="str">
        <f t="shared" si="2"/>
        <v/>
      </c>
      <c r="L378" s="2" t="str">
        <f t="shared" si="3"/>
        <v>No</v>
      </c>
      <c r="M378" s="2" t="str">
        <f>IF(K378="","",F378*VLOOKUP(E378,WEIGHTS!$A$2:$F$4,2,FALSE)+G378*VLOOKUP(E378,WEIGHTS!$A$2:$F$4,3,FALSE)+H378*VLOOKUP(E378,WEIGHTS!$A$2:$F$4,4,FALSE)+I378*VLOOKUP(E378,WEIGHTS!$A$2:$F$4,5,FALSE)+J378*VLOOKUP(E378,WEIGHTS!$A$2:$F$4,6,FALSE))</f>
        <v/>
      </c>
      <c r="N378" s="2" t="str">
        <f t="shared" si="4"/>
        <v/>
      </c>
    </row>
    <row r="379" ht="15.75" customHeight="1">
      <c r="A379" s="3"/>
      <c r="B379" s="2" t="str">
        <f t="shared" si="1"/>
        <v/>
      </c>
      <c r="E379" s="2"/>
      <c r="F379" s="2"/>
      <c r="G379" s="2"/>
      <c r="H379" s="2"/>
      <c r="I379" s="2"/>
      <c r="J379" s="2"/>
      <c r="K379" s="2" t="str">
        <f t="shared" si="2"/>
        <v/>
      </c>
      <c r="L379" s="2" t="str">
        <f t="shared" si="3"/>
        <v>No</v>
      </c>
      <c r="M379" s="2" t="str">
        <f>IF(K379="","",F379*VLOOKUP(E379,WEIGHTS!$A$2:$F$4,2,FALSE)+G379*VLOOKUP(E379,WEIGHTS!$A$2:$F$4,3,FALSE)+H379*VLOOKUP(E379,WEIGHTS!$A$2:$F$4,4,FALSE)+I379*VLOOKUP(E379,WEIGHTS!$A$2:$F$4,5,FALSE)+J379*VLOOKUP(E379,WEIGHTS!$A$2:$F$4,6,FALSE))</f>
        <v/>
      </c>
      <c r="N379" s="2" t="str">
        <f t="shared" si="4"/>
        <v/>
      </c>
    </row>
    <row r="380" ht="15.75" customHeight="1">
      <c r="A380" s="3"/>
      <c r="B380" s="2" t="str">
        <f t="shared" si="1"/>
        <v/>
      </c>
      <c r="E380" s="2"/>
      <c r="F380" s="2"/>
      <c r="G380" s="2"/>
      <c r="H380" s="2"/>
      <c r="I380" s="2"/>
      <c r="J380" s="2"/>
      <c r="K380" s="2" t="str">
        <f t="shared" si="2"/>
        <v/>
      </c>
      <c r="L380" s="2" t="str">
        <f t="shared" si="3"/>
        <v>No</v>
      </c>
      <c r="M380" s="2" t="str">
        <f>IF(K380="","",F380*VLOOKUP(E380,WEIGHTS!$A$2:$F$4,2,FALSE)+G380*VLOOKUP(E380,WEIGHTS!$A$2:$F$4,3,FALSE)+H380*VLOOKUP(E380,WEIGHTS!$A$2:$F$4,4,FALSE)+I380*VLOOKUP(E380,WEIGHTS!$A$2:$F$4,5,FALSE)+J380*VLOOKUP(E380,WEIGHTS!$A$2:$F$4,6,FALSE))</f>
        <v/>
      </c>
      <c r="N380" s="2" t="str">
        <f t="shared" si="4"/>
        <v/>
      </c>
    </row>
    <row r="381" ht="15.75" customHeight="1">
      <c r="A381" s="3"/>
      <c r="B381" s="2" t="str">
        <f t="shared" si="1"/>
        <v/>
      </c>
      <c r="E381" s="2"/>
      <c r="F381" s="2"/>
      <c r="G381" s="2"/>
      <c r="H381" s="2"/>
      <c r="I381" s="2"/>
      <c r="J381" s="2"/>
      <c r="K381" s="2" t="str">
        <f t="shared" si="2"/>
        <v/>
      </c>
      <c r="L381" s="2" t="str">
        <f t="shared" si="3"/>
        <v>No</v>
      </c>
      <c r="M381" s="2" t="str">
        <f>IF(K381="","",F381*VLOOKUP(E381,WEIGHTS!$A$2:$F$4,2,FALSE)+G381*VLOOKUP(E381,WEIGHTS!$A$2:$F$4,3,FALSE)+H381*VLOOKUP(E381,WEIGHTS!$A$2:$F$4,4,FALSE)+I381*VLOOKUP(E381,WEIGHTS!$A$2:$F$4,5,FALSE)+J381*VLOOKUP(E381,WEIGHTS!$A$2:$F$4,6,FALSE))</f>
        <v/>
      </c>
      <c r="N381" s="2" t="str">
        <f t="shared" si="4"/>
        <v/>
      </c>
    </row>
    <row r="382" ht="15.75" customHeight="1">
      <c r="A382" s="3"/>
      <c r="B382" s="2" t="str">
        <f t="shared" si="1"/>
        <v/>
      </c>
      <c r="E382" s="2"/>
      <c r="F382" s="2"/>
      <c r="G382" s="2"/>
      <c r="H382" s="2"/>
      <c r="I382" s="2"/>
      <c r="J382" s="2"/>
      <c r="K382" s="2" t="str">
        <f t="shared" si="2"/>
        <v/>
      </c>
      <c r="L382" s="2" t="str">
        <f t="shared" si="3"/>
        <v>No</v>
      </c>
      <c r="M382" s="2" t="str">
        <f>IF(K382="","",F382*VLOOKUP(E382,WEIGHTS!$A$2:$F$4,2,FALSE)+G382*VLOOKUP(E382,WEIGHTS!$A$2:$F$4,3,FALSE)+H382*VLOOKUP(E382,WEIGHTS!$A$2:$F$4,4,FALSE)+I382*VLOOKUP(E382,WEIGHTS!$A$2:$F$4,5,FALSE)+J382*VLOOKUP(E382,WEIGHTS!$A$2:$F$4,6,FALSE))</f>
        <v/>
      </c>
      <c r="N382" s="2" t="str">
        <f t="shared" si="4"/>
        <v/>
      </c>
    </row>
    <row r="383" ht="15.75" customHeight="1">
      <c r="A383" s="3"/>
      <c r="B383" s="2" t="str">
        <f t="shared" si="1"/>
        <v/>
      </c>
      <c r="E383" s="2"/>
      <c r="F383" s="2"/>
      <c r="G383" s="2"/>
      <c r="H383" s="2"/>
      <c r="I383" s="2"/>
      <c r="J383" s="2"/>
      <c r="K383" s="2" t="str">
        <f t="shared" si="2"/>
        <v/>
      </c>
      <c r="L383" s="2" t="str">
        <f t="shared" si="3"/>
        <v>No</v>
      </c>
      <c r="M383" s="2" t="str">
        <f>IF(K383="","",F383*VLOOKUP(E383,WEIGHTS!$A$2:$F$4,2,FALSE)+G383*VLOOKUP(E383,WEIGHTS!$A$2:$F$4,3,FALSE)+H383*VLOOKUP(E383,WEIGHTS!$A$2:$F$4,4,FALSE)+I383*VLOOKUP(E383,WEIGHTS!$A$2:$F$4,5,FALSE)+J383*VLOOKUP(E383,WEIGHTS!$A$2:$F$4,6,FALSE))</f>
        <v/>
      </c>
      <c r="N383" s="2" t="str">
        <f t="shared" si="4"/>
        <v/>
      </c>
    </row>
    <row r="384" ht="15.75" customHeight="1">
      <c r="A384" s="3"/>
      <c r="B384" s="2" t="str">
        <f t="shared" si="1"/>
        <v/>
      </c>
      <c r="E384" s="2"/>
      <c r="F384" s="2"/>
      <c r="G384" s="2"/>
      <c r="H384" s="2"/>
      <c r="I384" s="2"/>
      <c r="J384" s="2"/>
      <c r="K384" s="2" t="str">
        <f t="shared" si="2"/>
        <v/>
      </c>
      <c r="L384" s="2" t="str">
        <f t="shared" si="3"/>
        <v>No</v>
      </c>
      <c r="M384" s="2" t="str">
        <f>IF(K384="","",F384*VLOOKUP(E384,WEIGHTS!$A$2:$F$4,2,FALSE)+G384*VLOOKUP(E384,WEIGHTS!$A$2:$F$4,3,FALSE)+H384*VLOOKUP(E384,WEIGHTS!$A$2:$F$4,4,FALSE)+I384*VLOOKUP(E384,WEIGHTS!$A$2:$F$4,5,FALSE)+J384*VLOOKUP(E384,WEIGHTS!$A$2:$F$4,6,FALSE))</f>
        <v/>
      </c>
      <c r="N384" s="2" t="str">
        <f t="shared" si="4"/>
        <v/>
      </c>
    </row>
    <row r="385" ht="15.75" customHeight="1">
      <c r="A385" s="3"/>
      <c r="B385" s="2" t="str">
        <f t="shared" si="1"/>
        <v/>
      </c>
      <c r="E385" s="2"/>
      <c r="F385" s="2"/>
      <c r="G385" s="2"/>
      <c r="H385" s="2"/>
      <c r="I385" s="2"/>
      <c r="J385" s="2"/>
      <c r="K385" s="2" t="str">
        <f t="shared" si="2"/>
        <v/>
      </c>
      <c r="L385" s="2" t="str">
        <f t="shared" si="3"/>
        <v>No</v>
      </c>
      <c r="M385" s="2" t="str">
        <f>IF(K385="","",F385*VLOOKUP(E385,WEIGHTS!$A$2:$F$4,2,FALSE)+G385*VLOOKUP(E385,WEIGHTS!$A$2:$F$4,3,FALSE)+H385*VLOOKUP(E385,WEIGHTS!$A$2:$F$4,4,FALSE)+I385*VLOOKUP(E385,WEIGHTS!$A$2:$F$4,5,FALSE)+J385*VLOOKUP(E385,WEIGHTS!$A$2:$F$4,6,FALSE))</f>
        <v/>
      </c>
      <c r="N385" s="2" t="str">
        <f t="shared" si="4"/>
        <v/>
      </c>
    </row>
    <row r="386" ht="15.75" customHeight="1">
      <c r="A386" s="3"/>
      <c r="B386" s="2" t="str">
        <f t="shared" si="1"/>
        <v/>
      </c>
      <c r="E386" s="2"/>
      <c r="F386" s="2"/>
      <c r="G386" s="2"/>
      <c r="H386" s="2"/>
      <c r="I386" s="2"/>
      <c r="J386" s="2"/>
      <c r="K386" s="2" t="str">
        <f t="shared" si="2"/>
        <v/>
      </c>
      <c r="L386" s="2" t="str">
        <f t="shared" si="3"/>
        <v>No</v>
      </c>
      <c r="M386" s="2" t="str">
        <f>IF(K386="","",F386*VLOOKUP(E386,WEIGHTS!$A$2:$F$4,2,FALSE)+G386*VLOOKUP(E386,WEIGHTS!$A$2:$F$4,3,FALSE)+H386*VLOOKUP(E386,WEIGHTS!$A$2:$F$4,4,FALSE)+I386*VLOOKUP(E386,WEIGHTS!$A$2:$F$4,5,FALSE)+J386*VLOOKUP(E386,WEIGHTS!$A$2:$F$4,6,FALSE))</f>
        <v/>
      </c>
      <c r="N386" s="2" t="str">
        <f t="shared" si="4"/>
        <v/>
      </c>
    </row>
    <row r="387" ht="15.75" customHeight="1">
      <c r="A387" s="3"/>
      <c r="B387" s="2" t="str">
        <f t="shared" si="1"/>
        <v/>
      </c>
      <c r="E387" s="2"/>
      <c r="F387" s="2"/>
      <c r="G387" s="2"/>
      <c r="H387" s="2"/>
      <c r="I387" s="2"/>
      <c r="J387" s="2"/>
      <c r="K387" s="2" t="str">
        <f t="shared" si="2"/>
        <v/>
      </c>
      <c r="L387" s="2" t="str">
        <f t="shared" si="3"/>
        <v>No</v>
      </c>
      <c r="M387" s="2" t="str">
        <f>IF(K387="","",F387*VLOOKUP(E387,WEIGHTS!$A$2:$F$4,2,FALSE)+G387*VLOOKUP(E387,WEIGHTS!$A$2:$F$4,3,FALSE)+H387*VLOOKUP(E387,WEIGHTS!$A$2:$F$4,4,FALSE)+I387*VLOOKUP(E387,WEIGHTS!$A$2:$F$4,5,FALSE)+J387*VLOOKUP(E387,WEIGHTS!$A$2:$F$4,6,FALSE))</f>
        <v/>
      </c>
      <c r="N387" s="2" t="str">
        <f t="shared" si="4"/>
        <v/>
      </c>
    </row>
    <row r="388" ht="15.75" customHeight="1">
      <c r="A388" s="3"/>
      <c r="B388" s="2" t="str">
        <f t="shared" si="1"/>
        <v/>
      </c>
      <c r="E388" s="2"/>
      <c r="F388" s="2"/>
      <c r="G388" s="2"/>
      <c r="H388" s="2"/>
      <c r="I388" s="2"/>
      <c r="J388" s="2"/>
      <c r="K388" s="2" t="str">
        <f t="shared" si="2"/>
        <v/>
      </c>
      <c r="L388" s="2" t="str">
        <f t="shared" si="3"/>
        <v>No</v>
      </c>
      <c r="M388" s="2" t="str">
        <f>IF(K388="","",F388*VLOOKUP(E388,WEIGHTS!$A$2:$F$4,2,FALSE)+G388*VLOOKUP(E388,WEIGHTS!$A$2:$F$4,3,FALSE)+H388*VLOOKUP(E388,WEIGHTS!$A$2:$F$4,4,FALSE)+I388*VLOOKUP(E388,WEIGHTS!$A$2:$F$4,5,FALSE)+J388*VLOOKUP(E388,WEIGHTS!$A$2:$F$4,6,FALSE))</f>
        <v/>
      </c>
      <c r="N388" s="2" t="str">
        <f t="shared" si="4"/>
        <v/>
      </c>
    </row>
    <row r="389" ht="15.75" customHeight="1">
      <c r="A389" s="3"/>
      <c r="B389" s="2" t="str">
        <f t="shared" si="1"/>
        <v/>
      </c>
      <c r="E389" s="2"/>
      <c r="F389" s="2"/>
      <c r="G389" s="2"/>
      <c r="H389" s="2"/>
      <c r="I389" s="2"/>
      <c r="J389" s="2"/>
      <c r="K389" s="2" t="str">
        <f t="shared" si="2"/>
        <v/>
      </c>
      <c r="L389" s="2" t="str">
        <f t="shared" si="3"/>
        <v>No</v>
      </c>
      <c r="M389" s="2" t="str">
        <f>IF(K389="","",F389*VLOOKUP(E389,WEIGHTS!$A$2:$F$4,2,FALSE)+G389*VLOOKUP(E389,WEIGHTS!$A$2:$F$4,3,FALSE)+H389*VLOOKUP(E389,WEIGHTS!$A$2:$F$4,4,FALSE)+I389*VLOOKUP(E389,WEIGHTS!$A$2:$F$4,5,FALSE)+J389*VLOOKUP(E389,WEIGHTS!$A$2:$F$4,6,FALSE))</f>
        <v/>
      </c>
      <c r="N389" s="2" t="str">
        <f t="shared" si="4"/>
        <v/>
      </c>
    </row>
    <row r="390" ht="15.75" customHeight="1">
      <c r="A390" s="3"/>
      <c r="B390" s="2" t="str">
        <f t="shared" si="1"/>
        <v/>
      </c>
      <c r="E390" s="2"/>
      <c r="F390" s="2"/>
      <c r="G390" s="2"/>
      <c r="H390" s="2"/>
      <c r="I390" s="2"/>
      <c r="J390" s="2"/>
      <c r="K390" s="2" t="str">
        <f t="shared" si="2"/>
        <v/>
      </c>
      <c r="L390" s="2" t="str">
        <f t="shared" si="3"/>
        <v>No</v>
      </c>
      <c r="M390" s="2" t="str">
        <f>IF(K390="","",F390*VLOOKUP(E390,WEIGHTS!$A$2:$F$4,2,FALSE)+G390*VLOOKUP(E390,WEIGHTS!$A$2:$F$4,3,FALSE)+H390*VLOOKUP(E390,WEIGHTS!$A$2:$F$4,4,FALSE)+I390*VLOOKUP(E390,WEIGHTS!$A$2:$F$4,5,FALSE)+J390*VLOOKUP(E390,WEIGHTS!$A$2:$F$4,6,FALSE))</f>
        <v/>
      </c>
      <c r="N390" s="2" t="str">
        <f t="shared" si="4"/>
        <v/>
      </c>
    </row>
    <row r="391" ht="15.75" customHeight="1">
      <c r="A391" s="3"/>
      <c r="B391" s="2" t="str">
        <f t="shared" si="1"/>
        <v/>
      </c>
      <c r="E391" s="2"/>
      <c r="F391" s="2"/>
      <c r="G391" s="2"/>
      <c r="H391" s="2"/>
      <c r="I391" s="2"/>
      <c r="J391" s="2"/>
      <c r="K391" s="2" t="str">
        <f t="shared" si="2"/>
        <v/>
      </c>
      <c r="L391" s="2" t="str">
        <f t="shared" si="3"/>
        <v>No</v>
      </c>
      <c r="M391" s="2" t="str">
        <f>IF(K391="","",F391*VLOOKUP(E391,WEIGHTS!$A$2:$F$4,2,FALSE)+G391*VLOOKUP(E391,WEIGHTS!$A$2:$F$4,3,FALSE)+H391*VLOOKUP(E391,WEIGHTS!$A$2:$F$4,4,FALSE)+I391*VLOOKUP(E391,WEIGHTS!$A$2:$F$4,5,FALSE)+J391*VLOOKUP(E391,WEIGHTS!$A$2:$F$4,6,FALSE))</f>
        <v/>
      </c>
      <c r="N391" s="2" t="str">
        <f t="shared" si="4"/>
        <v/>
      </c>
    </row>
    <row r="392" ht="15.75" customHeight="1">
      <c r="A392" s="3"/>
      <c r="B392" s="2" t="str">
        <f t="shared" si="1"/>
        <v/>
      </c>
      <c r="E392" s="2"/>
      <c r="F392" s="2"/>
      <c r="G392" s="2"/>
      <c r="H392" s="2"/>
      <c r="I392" s="2"/>
      <c r="J392" s="2"/>
      <c r="K392" s="2" t="str">
        <f t="shared" si="2"/>
        <v/>
      </c>
      <c r="L392" s="2" t="str">
        <f t="shared" si="3"/>
        <v>No</v>
      </c>
      <c r="M392" s="2" t="str">
        <f>IF(K392="","",F392*VLOOKUP(E392,WEIGHTS!$A$2:$F$4,2,FALSE)+G392*VLOOKUP(E392,WEIGHTS!$A$2:$F$4,3,FALSE)+H392*VLOOKUP(E392,WEIGHTS!$A$2:$F$4,4,FALSE)+I392*VLOOKUP(E392,WEIGHTS!$A$2:$F$4,5,FALSE)+J392*VLOOKUP(E392,WEIGHTS!$A$2:$F$4,6,FALSE))</f>
        <v/>
      </c>
      <c r="N392" s="2" t="str">
        <f t="shared" si="4"/>
        <v/>
      </c>
    </row>
    <row r="393" ht="15.75" customHeight="1">
      <c r="A393" s="3"/>
      <c r="B393" s="2" t="str">
        <f t="shared" si="1"/>
        <v/>
      </c>
      <c r="E393" s="2"/>
      <c r="F393" s="2"/>
      <c r="G393" s="2"/>
      <c r="H393" s="2"/>
      <c r="I393" s="2"/>
      <c r="J393" s="2"/>
      <c r="K393" s="2" t="str">
        <f t="shared" si="2"/>
        <v/>
      </c>
      <c r="L393" s="2" t="str">
        <f t="shared" si="3"/>
        <v>No</v>
      </c>
      <c r="M393" s="2" t="str">
        <f>IF(K393="","",F393*VLOOKUP(E393,WEIGHTS!$A$2:$F$4,2,FALSE)+G393*VLOOKUP(E393,WEIGHTS!$A$2:$F$4,3,FALSE)+H393*VLOOKUP(E393,WEIGHTS!$A$2:$F$4,4,FALSE)+I393*VLOOKUP(E393,WEIGHTS!$A$2:$F$4,5,FALSE)+J393*VLOOKUP(E393,WEIGHTS!$A$2:$F$4,6,FALSE))</f>
        <v/>
      </c>
      <c r="N393" s="2" t="str">
        <f t="shared" si="4"/>
        <v/>
      </c>
    </row>
    <row r="394" ht="15.75" customHeight="1">
      <c r="A394" s="3"/>
      <c r="B394" s="2" t="str">
        <f t="shared" si="1"/>
        <v/>
      </c>
      <c r="E394" s="2"/>
      <c r="F394" s="2"/>
      <c r="G394" s="2"/>
      <c r="H394" s="2"/>
      <c r="I394" s="2"/>
      <c r="J394" s="2"/>
      <c r="K394" s="2" t="str">
        <f t="shared" si="2"/>
        <v/>
      </c>
      <c r="L394" s="2" t="str">
        <f t="shared" si="3"/>
        <v>No</v>
      </c>
      <c r="M394" s="2" t="str">
        <f>IF(K394="","",F394*VLOOKUP(E394,WEIGHTS!$A$2:$F$4,2,FALSE)+G394*VLOOKUP(E394,WEIGHTS!$A$2:$F$4,3,FALSE)+H394*VLOOKUP(E394,WEIGHTS!$A$2:$F$4,4,FALSE)+I394*VLOOKUP(E394,WEIGHTS!$A$2:$F$4,5,FALSE)+J394*VLOOKUP(E394,WEIGHTS!$A$2:$F$4,6,FALSE))</f>
        <v/>
      </c>
      <c r="N394" s="2" t="str">
        <f t="shared" si="4"/>
        <v/>
      </c>
    </row>
    <row r="395" ht="15.75" customHeight="1">
      <c r="A395" s="3"/>
      <c r="B395" s="2" t="str">
        <f t="shared" si="1"/>
        <v/>
      </c>
      <c r="E395" s="2"/>
      <c r="F395" s="2"/>
      <c r="G395" s="2"/>
      <c r="H395" s="2"/>
      <c r="I395" s="2"/>
      <c r="J395" s="2"/>
      <c r="K395" s="2" t="str">
        <f t="shared" si="2"/>
        <v/>
      </c>
      <c r="L395" s="2" t="str">
        <f t="shared" si="3"/>
        <v>No</v>
      </c>
      <c r="M395" s="2" t="str">
        <f>IF(K395="","",F395*VLOOKUP(E395,WEIGHTS!$A$2:$F$4,2,FALSE)+G395*VLOOKUP(E395,WEIGHTS!$A$2:$F$4,3,FALSE)+H395*VLOOKUP(E395,WEIGHTS!$A$2:$F$4,4,FALSE)+I395*VLOOKUP(E395,WEIGHTS!$A$2:$F$4,5,FALSE)+J395*VLOOKUP(E395,WEIGHTS!$A$2:$F$4,6,FALSE))</f>
        <v/>
      </c>
      <c r="N395" s="2" t="str">
        <f t="shared" si="4"/>
        <v/>
      </c>
    </row>
    <row r="396" ht="15.75" customHeight="1">
      <c r="A396" s="3"/>
      <c r="B396" s="2" t="str">
        <f t="shared" si="1"/>
        <v/>
      </c>
      <c r="E396" s="2"/>
      <c r="F396" s="2"/>
      <c r="G396" s="2"/>
      <c r="H396" s="2"/>
      <c r="I396" s="2"/>
      <c r="J396" s="2"/>
      <c r="K396" s="2" t="str">
        <f t="shared" si="2"/>
        <v/>
      </c>
      <c r="L396" s="2" t="str">
        <f t="shared" si="3"/>
        <v>No</v>
      </c>
      <c r="M396" s="2" t="str">
        <f>IF(K396="","",F396*VLOOKUP(E396,WEIGHTS!$A$2:$F$4,2,FALSE)+G396*VLOOKUP(E396,WEIGHTS!$A$2:$F$4,3,FALSE)+H396*VLOOKUP(E396,WEIGHTS!$A$2:$F$4,4,FALSE)+I396*VLOOKUP(E396,WEIGHTS!$A$2:$F$4,5,FALSE)+J396*VLOOKUP(E396,WEIGHTS!$A$2:$F$4,6,FALSE))</f>
        <v/>
      </c>
      <c r="N396" s="2" t="str">
        <f t="shared" si="4"/>
        <v/>
      </c>
    </row>
    <row r="397" ht="15.75" customHeight="1">
      <c r="A397" s="3"/>
      <c r="B397" s="2" t="str">
        <f t="shared" si="1"/>
        <v/>
      </c>
      <c r="E397" s="2"/>
      <c r="F397" s="2"/>
      <c r="G397" s="2"/>
      <c r="H397" s="2"/>
      <c r="I397" s="2"/>
      <c r="J397" s="2"/>
      <c r="K397" s="2" t="str">
        <f t="shared" si="2"/>
        <v/>
      </c>
      <c r="L397" s="2" t="str">
        <f t="shared" si="3"/>
        <v>No</v>
      </c>
      <c r="M397" s="2" t="str">
        <f>IF(K397="","",F397*VLOOKUP(E397,WEIGHTS!$A$2:$F$4,2,FALSE)+G397*VLOOKUP(E397,WEIGHTS!$A$2:$F$4,3,FALSE)+H397*VLOOKUP(E397,WEIGHTS!$A$2:$F$4,4,FALSE)+I397*VLOOKUP(E397,WEIGHTS!$A$2:$F$4,5,FALSE)+J397*VLOOKUP(E397,WEIGHTS!$A$2:$F$4,6,FALSE))</f>
        <v/>
      </c>
      <c r="N397" s="2" t="str">
        <f t="shared" si="4"/>
        <v/>
      </c>
    </row>
    <row r="398" ht="15.75" customHeight="1">
      <c r="A398" s="3"/>
      <c r="B398" s="2" t="str">
        <f t="shared" si="1"/>
        <v/>
      </c>
      <c r="E398" s="2"/>
      <c r="F398" s="2"/>
      <c r="G398" s="2"/>
      <c r="H398" s="2"/>
      <c r="I398" s="2"/>
      <c r="J398" s="2"/>
      <c r="K398" s="2" t="str">
        <f t="shared" si="2"/>
        <v/>
      </c>
      <c r="L398" s="2" t="str">
        <f t="shared" si="3"/>
        <v>No</v>
      </c>
      <c r="M398" s="2" t="str">
        <f>IF(K398="","",F398*VLOOKUP(E398,WEIGHTS!$A$2:$F$4,2,FALSE)+G398*VLOOKUP(E398,WEIGHTS!$A$2:$F$4,3,FALSE)+H398*VLOOKUP(E398,WEIGHTS!$A$2:$F$4,4,FALSE)+I398*VLOOKUP(E398,WEIGHTS!$A$2:$F$4,5,FALSE)+J398*VLOOKUP(E398,WEIGHTS!$A$2:$F$4,6,FALSE))</f>
        <v/>
      </c>
      <c r="N398" s="2" t="str">
        <f t="shared" si="4"/>
        <v/>
      </c>
    </row>
    <row r="399" ht="15.75" customHeight="1">
      <c r="A399" s="3"/>
      <c r="B399" s="2" t="str">
        <f t="shared" si="1"/>
        <v/>
      </c>
      <c r="E399" s="2"/>
      <c r="F399" s="2"/>
      <c r="G399" s="2"/>
      <c r="H399" s="2"/>
      <c r="I399" s="2"/>
      <c r="J399" s="2"/>
      <c r="K399" s="2" t="str">
        <f t="shared" si="2"/>
        <v/>
      </c>
      <c r="L399" s="2" t="str">
        <f t="shared" si="3"/>
        <v>No</v>
      </c>
      <c r="M399" s="2" t="str">
        <f>IF(K399="","",F399*VLOOKUP(E399,WEIGHTS!$A$2:$F$4,2,FALSE)+G399*VLOOKUP(E399,WEIGHTS!$A$2:$F$4,3,FALSE)+H399*VLOOKUP(E399,WEIGHTS!$A$2:$F$4,4,FALSE)+I399*VLOOKUP(E399,WEIGHTS!$A$2:$F$4,5,FALSE)+J399*VLOOKUP(E399,WEIGHTS!$A$2:$F$4,6,FALSE))</f>
        <v/>
      </c>
      <c r="N399" s="2" t="str">
        <f t="shared" si="4"/>
        <v/>
      </c>
    </row>
    <row r="400" ht="15.75" customHeight="1">
      <c r="A400" s="3"/>
      <c r="B400" s="2" t="str">
        <f t="shared" si="1"/>
        <v/>
      </c>
      <c r="E400" s="2"/>
      <c r="F400" s="2"/>
      <c r="G400" s="2"/>
      <c r="H400" s="2"/>
      <c r="I400" s="2"/>
      <c r="J400" s="2"/>
      <c r="K400" s="2" t="str">
        <f t="shared" si="2"/>
        <v/>
      </c>
      <c r="L400" s="2" t="str">
        <f t="shared" si="3"/>
        <v>No</v>
      </c>
      <c r="M400" s="2" t="str">
        <f>IF(K400="","",F400*VLOOKUP(E400,WEIGHTS!$A$2:$F$4,2,FALSE)+G400*VLOOKUP(E400,WEIGHTS!$A$2:$F$4,3,FALSE)+H400*VLOOKUP(E400,WEIGHTS!$A$2:$F$4,4,FALSE)+I400*VLOOKUP(E400,WEIGHTS!$A$2:$F$4,5,FALSE)+J400*VLOOKUP(E400,WEIGHTS!$A$2:$F$4,6,FALSE))</f>
        <v/>
      </c>
      <c r="N400" s="2" t="str">
        <f t="shared" si="4"/>
        <v/>
      </c>
    </row>
    <row r="401" ht="15.75" customHeight="1">
      <c r="A401" s="3"/>
      <c r="B401" s="2" t="str">
        <f t="shared" si="1"/>
        <v/>
      </c>
      <c r="E401" s="2"/>
      <c r="F401" s="2"/>
      <c r="G401" s="2"/>
      <c r="H401" s="2"/>
      <c r="I401" s="2"/>
      <c r="J401" s="2"/>
      <c r="K401" s="2" t="str">
        <f t="shared" si="2"/>
        <v/>
      </c>
      <c r="L401" s="2" t="str">
        <f t="shared" si="3"/>
        <v>No</v>
      </c>
      <c r="M401" s="2" t="str">
        <f>IF(K401="","",F401*VLOOKUP(E401,WEIGHTS!$A$2:$F$4,2,FALSE)+G401*VLOOKUP(E401,WEIGHTS!$A$2:$F$4,3,FALSE)+H401*VLOOKUP(E401,WEIGHTS!$A$2:$F$4,4,FALSE)+I401*VLOOKUP(E401,WEIGHTS!$A$2:$F$4,5,FALSE)+J401*VLOOKUP(E401,WEIGHTS!$A$2:$F$4,6,FALSE))</f>
        <v/>
      </c>
      <c r="N401" s="2" t="str">
        <f t="shared" si="4"/>
        <v/>
      </c>
    </row>
    <row r="402" ht="15.75" customHeight="1">
      <c r="A402" s="3"/>
      <c r="B402" s="2" t="str">
        <f t="shared" si="1"/>
        <v/>
      </c>
      <c r="E402" s="2"/>
      <c r="F402" s="2"/>
      <c r="G402" s="2"/>
      <c r="H402" s="2"/>
      <c r="I402" s="2"/>
      <c r="J402" s="2"/>
      <c r="K402" s="2" t="str">
        <f t="shared" si="2"/>
        <v/>
      </c>
      <c r="L402" s="2" t="str">
        <f t="shared" si="3"/>
        <v>No</v>
      </c>
      <c r="M402" s="2" t="str">
        <f>IF(K402="","",F402*VLOOKUP(E402,WEIGHTS!$A$2:$F$4,2,FALSE)+G402*VLOOKUP(E402,WEIGHTS!$A$2:$F$4,3,FALSE)+H402*VLOOKUP(E402,WEIGHTS!$A$2:$F$4,4,FALSE)+I402*VLOOKUP(E402,WEIGHTS!$A$2:$F$4,5,FALSE)+J402*VLOOKUP(E402,WEIGHTS!$A$2:$F$4,6,FALSE))</f>
        <v/>
      </c>
      <c r="N402" s="2" t="str">
        <f t="shared" si="4"/>
        <v/>
      </c>
    </row>
    <row r="403" ht="15.75" customHeight="1">
      <c r="A403" s="3"/>
      <c r="B403" s="2" t="str">
        <f t="shared" si="1"/>
        <v/>
      </c>
      <c r="E403" s="2"/>
      <c r="F403" s="2"/>
      <c r="G403" s="2"/>
      <c r="H403" s="2"/>
      <c r="I403" s="2"/>
      <c r="J403" s="2"/>
      <c r="K403" s="2" t="str">
        <f t="shared" si="2"/>
        <v/>
      </c>
      <c r="L403" s="2" t="str">
        <f t="shared" si="3"/>
        <v>No</v>
      </c>
      <c r="M403" s="2" t="str">
        <f>IF(K403="","",F403*VLOOKUP(E403,WEIGHTS!$A$2:$F$4,2,FALSE)+G403*VLOOKUP(E403,WEIGHTS!$A$2:$F$4,3,FALSE)+H403*VLOOKUP(E403,WEIGHTS!$A$2:$F$4,4,FALSE)+I403*VLOOKUP(E403,WEIGHTS!$A$2:$F$4,5,FALSE)+J403*VLOOKUP(E403,WEIGHTS!$A$2:$F$4,6,FALSE))</f>
        <v/>
      </c>
      <c r="N403" s="2" t="str">
        <f t="shared" si="4"/>
        <v/>
      </c>
    </row>
    <row r="404" ht="15.75" customHeight="1">
      <c r="A404" s="3"/>
      <c r="B404" s="2" t="str">
        <f t="shared" si="1"/>
        <v/>
      </c>
      <c r="E404" s="2"/>
      <c r="F404" s="2"/>
      <c r="G404" s="2"/>
      <c r="H404" s="2"/>
      <c r="I404" s="2"/>
      <c r="J404" s="2"/>
      <c r="K404" s="2" t="str">
        <f t="shared" si="2"/>
        <v/>
      </c>
      <c r="L404" s="2" t="str">
        <f t="shared" si="3"/>
        <v>No</v>
      </c>
      <c r="M404" s="2" t="str">
        <f>IF(K404="","",F404*VLOOKUP(E404,WEIGHTS!$A$2:$F$4,2,FALSE)+G404*VLOOKUP(E404,WEIGHTS!$A$2:$F$4,3,FALSE)+H404*VLOOKUP(E404,WEIGHTS!$A$2:$F$4,4,FALSE)+I404*VLOOKUP(E404,WEIGHTS!$A$2:$F$4,5,FALSE)+J404*VLOOKUP(E404,WEIGHTS!$A$2:$F$4,6,FALSE))</f>
        <v/>
      </c>
      <c r="N404" s="2" t="str">
        <f t="shared" si="4"/>
        <v/>
      </c>
    </row>
    <row r="405" ht="15.75" customHeight="1">
      <c r="A405" s="3"/>
      <c r="B405" s="2" t="str">
        <f t="shared" si="1"/>
        <v/>
      </c>
      <c r="E405" s="2"/>
      <c r="F405" s="2"/>
      <c r="G405" s="2"/>
      <c r="H405" s="2"/>
      <c r="I405" s="2"/>
      <c r="J405" s="2"/>
      <c r="K405" s="2" t="str">
        <f t="shared" si="2"/>
        <v/>
      </c>
      <c r="L405" s="2" t="str">
        <f t="shared" si="3"/>
        <v>No</v>
      </c>
      <c r="M405" s="2" t="str">
        <f>IF(K405="","",F405*VLOOKUP(E405,WEIGHTS!$A$2:$F$4,2,FALSE)+G405*VLOOKUP(E405,WEIGHTS!$A$2:$F$4,3,FALSE)+H405*VLOOKUP(E405,WEIGHTS!$A$2:$F$4,4,FALSE)+I405*VLOOKUP(E405,WEIGHTS!$A$2:$F$4,5,FALSE)+J405*VLOOKUP(E405,WEIGHTS!$A$2:$F$4,6,FALSE))</f>
        <v/>
      </c>
      <c r="N405" s="2" t="str">
        <f t="shared" si="4"/>
        <v/>
      </c>
    </row>
    <row r="406" ht="15.75" customHeight="1">
      <c r="A406" s="3"/>
      <c r="B406" s="2" t="str">
        <f t="shared" si="1"/>
        <v/>
      </c>
      <c r="E406" s="2"/>
      <c r="F406" s="2"/>
      <c r="G406" s="2"/>
      <c r="H406" s="2"/>
      <c r="I406" s="2"/>
      <c r="J406" s="2"/>
      <c r="K406" s="2" t="str">
        <f t="shared" si="2"/>
        <v/>
      </c>
      <c r="L406" s="2" t="str">
        <f t="shared" si="3"/>
        <v>No</v>
      </c>
      <c r="M406" s="2" t="str">
        <f>IF(K406="","",F406*VLOOKUP(E406,WEIGHTS!$A$2:$F$4,2,FALSE)+G406*VLOOKUP(E406,WEIGHTS!$A$2:$F$4,3,FALSE)+H406*VLOOKUP(E406,WEIGHTS!$A$2:$F$4,4,FALSE)+I406*VLOOKUP(E406,WEIGHTS!$A$2:$F$4,5,FALSE)+J406*VLOOKUP(E406,WEIGHTS!$A$2:$F$4,6,FALSE))</f>
        <v/>
      </c>
      <c r="N406" s="2" t="str">
        <f t="shared" si="4"/>
        <v/>
      </c>
    </row>
    <row r="407" ht="15.75" customHeight="1">
      <c r="A407" s="3"/>
      <c r="B407" s="2" t="str">
        <f t="shared" si="1"/>
        <v/>
      </c>
      <c r="E407" s="2"/>
      <c r="F407" s="2"/>
      <c r="G407" s="2"/>
      <c r="H407" s="2"/>
      <c r="I407" s="2"/>
      <c r="J407" s="2"/>
      <c r="K407" s="2" t="str">
        <f t="shared" si="2"/>
        <v/>
      </c>
      <c r="L407" s="2" t="str">
        <f t="shared" si="3"/>
        <v>No</v>
      </c>
      <c r="M407" s="2" t="str">
        <f>IF(K407="","",F407*VLOOKUP(E407,WEIGHTS!$A$2:$F$4,2,FALSE)+G407*VLOOKUP(E407,WEIGHTS!$A$2:$F$4,3,FALSE)+H407*VLOOKUP(E407,WEIGHTS!$A$2:$F$4,4,FALSE)+I407*VLOOKUP(E407,WEIGHTS!$A$2:$F$4,5,FALSE)+J407*VLOOKUP(E407,WEIGHTS!$A$2:$F$4,6,FALSE))</f>
        <v/>
      </c>
      <c r="N407" s="2" t="str">
        <f t="shared" si="4"/>
        <v/>
      </c>
    </row>
    <row r="408" ht="15.75" customHeight="1">
      <c r="A408" s="3"/>
      <c r="B408" s="2" t="str">
        <f t="shared" si="1"/>
        <v/>
      </c>
      <c r="E408" s="2"/>
      <c r="F408" s="2"/>
      <c r="G408" s="2"/>
      <c r="H408" s="2"/>
      <c r="I408" s="2"/>
      <c r="J408" s="2"/>
      <c r="K408" s="2" t="str">
        <f t="shared" si="2"/>
        <v/>
      </c>
      <c r="L408" s="2" t="str">
        <f t="shared" si="3"/>
        <v>No</v>
      </c>
      <c r="M408" s="2" t="str">
        <f>IF(K408="","",F408*VLOOKUP(E408,WEIGHTS!$A$2:$F$4,2,FALSE)+G408*VLOOKUP(E408,WEIGHTS!$A$2:$F$4,3,FALSE)+H408*VLOOKUP(E408,WEIGHTS!$A$2:$F$4,4,FALSE)+I408*VLOOKUP(E408,WEIGHTS!$A$2:$F$4,5,FALSE)+J408*VLOOKUP(E408,WEIGHTS!$A$2:$F$4,6,FALSE))</f>
        <v/>
      </c>
      <c r="N408" s="2" t="str">
        <f t="shared" si="4"/>
        <v/>
      </c>
    </row>
    <row r="409" ht="15.75" customHeight="1">
      <c r="A409" s="3"/>
      <c r="B409" s="2" t="str">
        <f t="shared" si="1"/>
        <v/>
      </c>
      <c r="E409" s="2"/>
      <c r="F409" s="2"/>
      <c r="G409" s="2"/>
      <c r="H409" s="2"/>
      <c r="I409" s="2"/>
      <c r="J409" s="2"/>
      <c r="K409" s="2" t="str">
        <f t="shared" si="2"/>
        <v/>
      </c>
      <c r="L409" s="2" t="str">
        <f t="shared" si="3"/>
        <v>No</v>
      </c>
      <c r="M409" s="2" t="str">
        <f>IF(K409="","",F409*VLOOKUP(E409,WEIGHTS!$A$2:$F$4,2,FALSE)+G409*VLOOKUP(E409,WEIGHTS!$A$2:$F$4,3,FALSE)+H409*VLOOKUP(E409,WEIGHTS!$A$2:$F$4,4,FALSE)+I409*VLOOKUP(E409,WEIGHTS!$A$2:$F$4,5,FALSE)+J409*VLOOKUP(E409,WEIGHTS!$A$2:$F$4,6,FALSE))</f>
        <v/>
      </c>
      <c r="N409" s="2" t="str">
        <f t="shared" si="4"/>
        <v/>
      </c>
    </row>
    <row r="410" ht="15.75" customHeight="1">
      <c r="A410" s="3"/>
      <c r="B410" s="2" t="str">
        <f t="shared" si="1"/>
        <v/>
      </c>
      <c r="E410" s="2"/>
      <c r="F410" s="2"/>
      <c r="G410" s="2"/>
      <c r="H410" s="2"/>
      <c r="I410" s="2"/>
      <c r="J410" s="2"/>
      <c r="K410" s="2" t="str">
        <f t="shared" si="2"/>
        <v/>
      </c>
      <c r="L410" s="2" t="str">
        <f t="shared" si="3"/>
        <v>No</v>
      </c>
      <c r="M410" s="2" t="str">
        <f>IF(K410="","",F410*VLOOKUP(E410,WEIGHTS!$A$2:$F$4,2,FALSE)+G410*VLOOKUP(E410,WEIGHTS!$A$2:$F$4,3,FALSE)+H410*VLOOKUP(E410,WEIGHTS!$A$2:$F$4,4,FALSE)+I410*VLOOKUP(E410,WEIGHTS!$A$2:$F$4,5,FALSE)+J410*VLOOKUP(E410,WEIGHTS!$A$2:$F$4,6,FALSE))</f>
        <v/>
      </c>
      <c r="N410" s="2" t="str">
        <f t="shared" si="4"/>
        <v/>
      </c>
    </row>
    <row r="411" ht="15.75" customHeight="1">
      <c r="A411" s="3"/>
      <c r="B411" s="2" t="str">
        <f t="shared" si="1"/>
        <v/>
      </c>
      <c r="E411" s="2"/>
      <c r="F411" s="2"/>
      <c r="G411" s="2"/>
      <c r="H411" s="2"/>
      <c r="I411" s="2"/>
      <c r="J411" s="2"/>
      <c r="K411" s="2" t="str">
        <f t="shared" si="2"/>
        <v/>
      </c>
      <c r="L411" s="2" t="str">
        <f t="shared" si="3"/>
        <v>No</v>
      </c>
      <c r="M411" s="2" t="str">
        <f>IF(K411="","",F411*VLOOKUP(E411,WEIGHTS!$A$2:$F$4,2,FALSE)+G411*VLOOKUP(E411,WEIGHTS!$A$2:$F$4,3,FALSE)+H411*VLOOKUP(E411,WEIGHTS!$A$2:$F$4,4,FALSE)+I411*VLOOKUP(E411,WEIGHTS!$A$2:$F$4,5,FALSE)+J411*VLOOKUP(E411,WEIGHTS!$A$2:$F$4,6,FALSE))</f>
        <v/>
      </c>
      <c r="N411" s="2" t="str">
        <f t="shared" si="4"/>
        <v/>
      </c>
    </row>
    <row r="412" ht="15.75" customHeight="1">
      <c r="A412" s="3"/>
      <c r="B412" s="2" t="str">
        <f t="shared" si="1"/>
        <v/>
      </c>
      <c r="E412" s="2"/>
      <c r="F412" s="2"/>
      <c r="G412" s="2"/>
      <c r="H412" s="2"/>
      <c r="I412" s="2"/>
      <c r="J412" s="2"/>
      <c r="K412" s="2" t="str">
        <f t="shared" si="2"/>
        <v/>
      </c>
      <c r="L412" s="2" t="str">
        <f t="shared" si="3"/>
        <v>No</v>
      </c>
      <c r="M412" s="2" t="str">
        <f>IF(K412="","",F412*VLOOKUP(E412,WEIGHTS!$A$2:$F$4,2,FALSE)+G412*VLOOKUP(E412,WEIGHTS!$A$2:$F$4,3,FALSE)+H412*VLOOKUP(E412,WEIGHTS!$A$2:$F$4,4,FALSE)+I412*VLOOKUP(E412,WEIGHTS!$A$2:$F$4,5,FALSE)+J412*VLOOKUP(E412,WEIGHTS!$A$2:$F$4,6,FALSE))</f>
        <v/>
      </c>
      <c r="N412" s="2" t="str">
        <f t="shared" si="4"/>
        <v/>
      </c>
    </row>
    <row r="413" ht="15.75" customHeight="1">
      <c r="A413" s="3"/>
      <c r="B413" s="2" t="str">
        <f t="shared" si="1"/>
        <v/>
      </c>
      <c r="E413" s="2"/>
      <c r="F413" s="2"/>
      <c r="G413" s="2"/>
      <c r="H413" s="2"/>
      <c r="I413" s="2"/>
      <c r="J413" s="2"/>
      <c r="K413" s="2" t="str">
        <f t="shared" si="2"/>
        <v/>
      </c>
      <c r="L413" s="2" t="str">
        <f t="shared" si="3"/>
        <v>No</v>
      </c>
      <c r="M413" s="2" t="str">
        <f>IF(K413="","",F413*VLOOKUP(E413,WEIGHTS!$A$2:$F$4,2,FALSE)+G413*VLOOKUP(E413,WEIGHTS!$A$2:$F$4,3,FALSE)+H413*VLOOKUP(E413,WEIGHTS!$A$2:$F$4,4,FALSE)+I413*VLOOKUP(E413,WEIGHTS!$A$2:$F$4,5,FALSE)+J413*VLOOKUP(E413,WEIGHTS!$A$2:$F$4,6,FALSE))</f>
        <v/>
      </c>
      <c r="N413" s="2" t="str">
        <f t="shared" si="4"/>
        <v/>
      </c>
    </row>
    <row r="414" ht="15.75" customHeight="1">
      <c r="A414" s="3"/>
      <c r="B414" s="2" t="str">
        <f t="shared" si="1"/>
        <v/>
      </c>
      <c r="E414" s="2"/>
      <c r="F414" s="2"/>
      <c r="G414" s="2"/>
      <c r="H414" s="2"/>
      <c r="I414" s="2"/>
      <c r="J414" s="2"/>
      <c r="K414" s="2" t="str">
        <f t="shared" si="2"/>
        <v/>
      </c>
      <c r="L414" s="2" t="str">
        <f t="shared" si="3"/>
        <v>No</v>
      </c>
      <c r="M414" s="2" t="str">
        <f>IF(K414="","",F414*VLOOKUP(E414,WEIGHTS!$A$2:$F$4,2,FALSE)+G414*VLOOKUP(E414,WEIGHTS!$A$2:$F$4,3,FALSE)+H414*VLOOKUP(E414,WEIGHTS!$A$2:$F$4,4,FALSE)+I414*VLOOKUP(E414,WEIGHTS!$A$2:$F$4,5,FALSE)+J414*VLOOKUP(E414,WEIGHTS!$A$2:$F$4,6,FALSE))</f>
        <v/>
      </c>
      <c r="N414" s="2" t="str">
        <f t="shared" si="4"/>
        <v/>
      </c>
    </row>
    <row r="415" ht="15.75" customHeight="1">
      <c r="A415" s="3"/>
      <c r="B415" s="2" t="str">
        <f t="shared" si="1"/>
        <v/>
      </c>
      <c r="E415" s="2"/>
      <c r="F415" s="2"/>
      <c r="G415" s="2"/>
      <c r="H415" s="2"/>
      <c r="I415" s="2"/>
      <c r="J415" s="2"/>
      <c r="K415" s="2" t="str">
        <f t="shared" si="2"/>
        <v/>
      </c>
      <c r="L415" s="2" t="str">
        <f t="shared" si="3"/>
        <v>No</v>
      </c>
      <c r="M415" s="2" t="str">
        <f>IF(K415="","",F415*VLOOKUP(E415,WEIGHTS!$A$2:$F$4,2,FALSE)+G415*VLOOKUP(E415,WEIGHTS!$A$2:$F$4,3,FALSE)+H415*VLOOKUP(E415,WEIGHTS!$A$2:$F$4,4,FALSE)+I415*VLOOKUP(E415,WEIGHTS!$A$2:$F$4,5,FALSE)+J415*VLOOKUP(E415,WEIGHTS!$A$2:$F$4,6,FALSE))</f>
        <v/>
      </c>
      <c r="N415" s="2" t="str">
        <f t="shared" si="4"/>
        <v/>
      </c>
    </row>
    <row r="416" ht="15.75" customHeight="1">
      <c r="A416" s="3"/>
      <c r="B416" s="2" t="str">
        <f t="shared" si="1"/>
        <v/>
      </c>
      <c r="E416" s="2"/>
      <c r="F416" s="2"/>
      <c r="G416" s="2"/>
      <c r="H416" s="2"/>
      <c r="I416" s="2"/>
      <c r="J416" s="2"/>
      <c r="K416" s="2" t="str">
        <f t="shared" si="2"/>
        <v/>
      </c>
      <c r="L416" s="2" t="str">
        <f t="shared" si="3"/>
        <v>No</v>
      </c>
      <c r="M416" s="2" t="str">
        <f>IF(K416="","",F416*VLOOKUP(E416,WEIGHTS!$A$2:$F$4,2,FALSE)+G416*VLOOKUP(E416,WEIGHTS!$A$2:$F$4,3,FALSE)+H416*VLOOKUP(E416,WEIGHTS!$A$2:$F$4,4,FALSE)+I416*VLOOKUP(E416,WEIGHTS!$A$2:$F$4,5,FALSE)+J416*VLOOKUP(E416,WEIGHTS!$A$2:$F$4,6,FALSE))</f>
        <v/>
      </c>
      <c r="N416" s="2" t="str">
        <f t="shared" si="4"/>
        <v/>
      </c>
    </row>
    <row r="417" ht="15.75" customHeight="1">
      <c r="A417" s="3"/>
      <c r="B417" s="2" t="str">
        <f t="shared" si="1"/>
        <v/>
      </c>
      <c r="E417" s="2"/>
      <c r="F417" s="2"/>
      <c r="G417" s="2"/>
      <c r="H417" s="2"/>
      <c r="I417" s="2"/>
      <c r="J417" s="2"/>
      <c r="K417" s="2" t="str">
        <f t="shared" si="2"/>
        <v/>
      </c>
      <c r="L417" s="2" t="str">
        <f t="shared" si="3"/>
        <v>No</v>
      </c>
      <c r="M417" s="2" t="str">
        <f>IF(K417="","",F417*VLOOKUP(E417,WEIGHTS!$A$2:$F$4,2,FALSE)+G417*VLOOKUP(E417,WEIGHTS!$A$2:$F$4,3,FALSE)+H417*VLOOKUP(E417,WEIGHTS!$A$2:$F$4,4,FALSE)+I417*VLOOKUP(E417,WEIGHTS!$A$2:$F$4,5,FALSE)+J417*VLOOKUP(E417,WEIGHTS!$A$2:$F$4,6,FALSE))</f>
        <v/>
      </c>
      <c r="N417" s="2" t="str">
        <f t="shared" si="4"/>
        <v/>
      </c>
    </row>
    <row r="418" ht="15.75" customHeight="1">
      <c r="A418" s="3"/>
      <c r="B418" s="2" t="str">
        <f t="shared" si="1"/>
        <v/>
      </c>
      <c r="E418" s="2"/>
      <c r="F418" s="2"/>
      <c r="G418" s="2"/>
      <c r="H418" s="2"/>
      <c r="I418" s="2"/>
      <c r="J418" s="2"/>
      <c r="K418" s="2" t="str">
        <f t="shared" si="2"/>
        <v/>
      </c>
      <c r="L418" s="2" t="str">
        <f t="shared" si="3"/>
        <v>No</v>
      </c>
      <c r="M418" s="2" t="str">
        <f>IF(K418="","",F418*VLOOKUP(E418,WEIGHTS!$A$2:$F$4,2,FALSE)+G418*VLOOKUP(E418,WEIGHTS!$A$2:$F$4,3,FALSE)+H418*VLOOKUP(E418,WEIGHTS!$A$2:$F$4,4,FALSE)+I418*VLOOKUP(E418,WEIGHTS!$A$2:$F$4,5,FALSE)+J418*VLOOKUP(E418,WEIGHTS!$A$2:$F$4,6,FALSE))</f>
        <v/>
      </c>
      <c r="N418" s="2" t="str">
        <f t="shared" si="4"/>
        <v/>
      </c>
    </row>
    <row r="419" ht="15.75" customHeight="1">
      <c r="A419" s="3"/>
      <c r="B419" s="2" t="str">
        <f t="shared" si="1"/>
        <v/>
      </c>
      <c r="E419" s="2"/>
      <c r="F419" s="2"/>
      <c r="G419" s="2"/>
      <c r="H419" s="2"/>
      <c r="I419" s="2"/>
      <c r="J419" s="2"/>
      <c r="K419" s="2" t="str">
        <f t="shared" si="2"/>
        <v/>
      </c>
      <c r="L419" s="2" t="str">
        <f t="shared" si="3"/>
        <v>No</v>
      </c>
      <c r="M419" s="2" t="str">
        <f>IF(K419="","",F419*VLOOKUP(E419,WEIGHTS!$A$2:$F$4,2,FALSE)+G419*VLOOKUP(E419,WEIGHTS!$A$2:$F$4,3,FALSE)+H419*VLOOKUP(E419,WEIGHTS!$A$2:$F$4,4,FALSE)+I419*VLOOKUP(E419,WEIGHTS!$A$2:$F$4,5,FALSE)+J419*VLOOKUP(E419,WEIGHTS!$A$2:$F$4,6,FALSE))</f>
        <v/>
      </c>
      <c r="N419" s="2" t="str">
        <f t="shared" si="4"/>
        <v/>
      </c>
    </row>
    <row r="420" ht="15.75" customHeight="1">
      <c r="A420" s="3"/>
      <c r="B420" s="2" t="str">
        <f t="shared" si="1"/>
        <v/>
      </c>
      <c r="E420" s="2"/>
      <c r="F420" s="2"/>
      <c r="G420" s="2"/>
      <c r="H420" s="2"/>
      <c r="I420" s="2"/>
      <c r="J420" s="2"/>
      <c r="K420" s="2" t="str">
        <f t="shared" si="2"/>
        <v/>
      </c>
      <c r="L420" s="2" t="str">
        <f t="shared" si="3"/>
        <v>No</v>
      </c>
      <c r="M420" s="2" t="str">
        <f>IF(K420="","",F420*VLOOKUP(E420,WEIGHTS!$A$2:$F$4,2,FALSE)+G420*VLOOKUP(E420,WEIGHTS!$A$2:$F$4,3,FALSE)+H420*VLOOKUP(E420,WEIGHTS!$A$2:$F$4,4,FALSE)+I420*VLOOKUP(E420,WEIGHTS!$A$2:$F$4,5,FALSE)+J420*VLOOKUP(E420,WEIGHTS!$A$2:$F$4,6,FALSE))</f>
        <v/>
      </c>
      <c r="N420" s="2" t="str">
        <f t="shared" si="4"/>
        <v/>
      </c>
    </row>
    <row r="421" ht="15.75" customHeight="1">
      <c r="A421" s="3"/>
      <c r="B421" s="2" t="str">
        <f t="shared" si="1"/>
        <v/>
      </c>
      <c r="E421" s="2"/>
      <c r="F421" s="2"/>
      <c r="G421" s="2"/>
      <c r="H421" s="2"/>
      <c r="I421" s="2"/>
      <c r="J421" s="2"/>
      <c r="K421" s="2" t="str">
        <f t="shared" si="2"/>
        <v/>
      </c>
      <c r="L421" s="2" t="str">
        <f t="shared" si="3"/>
        <v>No</v>
      </c>
      <c r="M421" s="2" t="str">
        <f>IF(K421="","",F421*VLOOKUP(E421,WEIGHTS!$A$2:$F$4,2,FALSE)+G421*VLOOKUP(E421,WEIGHTS!$A$2:$F$4,3,FALSE)+H421*VLOOKUP(E421,WEIGHTS!$A$2:$F$4,4,FALSE)+I421*VLOOKUP(E421,WEIGHTS!$A$2:$F$4,5,FALSE)+J421*VLOOKUP(E421,WEIGHTS!$A$2:$F$4,6,FALSE))</f>
        <v/>
      </c>
      <c r="N421" s="2" t="str">
        <f t="shared" si="4"/>
        <v/>
      </c>
    </row>
    <row r="422" ht="15.75" customHeight="1">
      <c r="A422" s="3"/>
      <c r="B422" s="2" t="str">
        <f t="shared" si="1"/>
        <v/>
      </c>
      <c r="E422" s="2"/>
      <c r="F422" s="2"/>
      <c r="G422" s="2"/>
      <c r="H422" s="2"/>
      <c r="I422" s="2"/>
      <c r="J422" s="2"/>
      <c r="K422" s="2" t="str">
        <f t="shared" si="2"/>
        <v/>
      </c>
      <c r="L422" s="2" t="str">
        <f t="shared" si="3"/>
        <v>No</v>
      </c>
      <c r="M422" s="2" t="str">
        <f>IF(K422="","",F422*VLOOKUP(E422,WEIGHTS!$A$2:$F$4,2,FALSE)+G422*VLOOKUP(E422,WEIGHTS!$A$2:$F$4,3,FALSE)+H422*VLOOKUP(E422,WEIGHTS!$A$2:$F$4,4,FALSE)+I422*VLOOKUP(E422,WEIGHTS!$A$2:$F$4,5,FALSE)+J422*VLOOKUP(E422,WEIGHTS!$A$2:$F$4,6,FALSE))</f>
        <v/>
      </c>
      <c r="N422" s="2" t="str">
        <f t="shared" si="4"/>
        <v/>
      </c>
    </row>
    <row r="423" ht="15.75" customHeight="1">
      <c r="A423" s="3"/>
      <c r="B423" s="2" t="str">
        <f t="shared" si="1"/>
        <v/>
      </c>
      <c r="E423" s="2"/>
      <c r="F423" s="2"/>
      <c r="G423" s="2"/>
      <c r="H423" s="2"/>
      <c r="I423" s="2"/>
      <c r="J423" s="2"/>
      <c r="K423" s="2" t="str">
        <f t="shared" si="2"/>
        <v/>
      </c>
      <c r="L423" s="2" t="str">
        <f t="shared" si="3"/>
        <v>No</v>
      </c>
      <c r="M423" s="2" t="str">
        <f>IF(K423="","",F423*VLOOKUP(E423,WEIGHTS!$A$2:$F$4,2,FALSE)+G423*VLOOKUP(E423,WEIGHTS!$A$2:$F$4,3,FALSE)+H423*VLOOKUP(E423,WEIGHTS!$A$2:$F$4,4,FALSE)+I423*VLOOKUP(E423,WEIGHTS!$A$2:$F$4,5,FALSE)+J423*VLOOKUP(E423,WEIGHTS!$A$2:$F$4,6,FALSE))</f>
        <v/>
      </c>
      <c r="N423" s="2" t="str">
        <f t="shared" si="4"/>
        <v/>
      </c>
    </row>
    <row r="424" ht="15.75" customHeight="1">
      <c r="A424" s="3"/>
      <c r="B424" s="2" t="str">
        <f t="shared" si="1"/>
        <v/>
      </c>
      <c r="E424" s="2"/>
      <c r="F424" s="2"/>
      <c r="G424" s="2"/>
      <c r="H424" s="2"/>
      <c r="I424" s="2"/>
      <c r="J424" s="2"/>
      <c r="K424" s="2" t="str">
        <f t="shared" si="2"/>
        <v/>
      </c>
      <c r="L424" s="2" t="str">
        <f t="shared" si="3"/>
        <v>No</v>
      </c>
      <c r="M424" s="2" t="str">
        <f>IF(K424="","",F424*VLOOKUP(E424,WEIGHTS!$A$2:$F$4,2,FALSE)+G424*VLOOKUP(E424,WEIGHTS!$A$2:$F$4,3,FALSE)+H424*VLOOKUP(E424,WEIGHTS!$A$2:$F$4,4,FALSE)+I424*VLOOKUP(E424,WEIGHTS!$A$2:$F$4,5,FALSE)+J424*VLOOKUP(E424,WEIGHTS!$A$2:$F$4,6,FALSE))</f>
        <v/>
      </c>
      <c r="N424" s="2" t="str">
        <f t="shared" si="4"/>
        <v/>
      </c>
    </row>
    <row r="425" ht="15.75" customHeight="1">
      <c r="A425" s="3"/>
      <c r="B425" s="2" t="str">
        <f t="shared" si="1"/>
        <v/>
      </c>
      <c r="E425" s="2"/>
      <c r="F425" s="2"/>
      <c r="G425" s="2"/>
      <c r="H425" s="2"/>
      <c r="I425" s="2"/>
      <c r="J425" s="2"/>
      <c r="K425" s="2" t="str">
        <f t="shared" si="2"/>
        <v/>
      </c>
      <c r="L425" s="2" t="str">
        <f t="shared" si="3"/>
        <v>No</v>
      </c>
      <c r="M425" s="2" t="str">
        <f>IF(K425="","",F425*VLOOKUP(E425,WEIGHTS!$A$2:$F$4,2,FALSE)+G425*VLOOKUP(E425,WEIGHTS!$A$2:$F$4,3,FALSE)+H425*VLOOKUP(E425,WEIGHTS!$A$2:$F$4,4,FALSE)+I425*VLOOKUP(E425,WEIGHTS!$A$2:$F$4,5,FALSE)+J425*VLOOKUP(E425,WEIGHTS!$A$2:$F$4,6,FALSE))</f>
        <v/>
      </c>
      <c r="N425" s="2" t="str">
        <f t="shared" si="4"/>
        <v/>
      </c>
    </row>
    <row r="426" ht="15.75" customHeight="1">
      <c r="A426" s="3"/>
      <c r="B426" s="2" t="str">
        <f t="shared" si="1"/>
        <v/>
      </c>
      <c r="E426" s="2"/>
      <c r="F426" s="2"/>
      <c r="G426" s="2"/>
      <c r="H426" s="2"/>
      <c r="I426" s="2"/>
      <c r="J426" s="2"/>
      <c r="K426" s="2" t="str">
        <f t="shared" si="2"/>
        <v/>
      </c>
      <c r="L426" s="2" t="str">
        <f t="shared" si="3"/>
        <v>No</v>
      </c>
      <c r="M426" s="2" t="str">
        <f>IF(K426="","",F426*VLOOKUP(E426,WEIGHTS!$A$2:$F$4,2,FALSE)+G426*VLOOKUP(E426,WEIGHTS!$A$2:$F$4,3,FALSE)+H426*VLOOKUP(E426,WEIGHTS!$A$2:$F$4,4,FALSE)+I426*VLOOKUP(E426,WEIGHTS!$A$2:$F$4,5,FALSE)+J426*VLOOKUP(E426,WEIGHTS!$A$2:$F$4,6,FALSE))</f>
        <v/>
      </c>
      <c r="N426" s="2" t="str">
        <f t="shared" si="4"/>
        <v/>
      </c>
    </row>
    <row r="427" ht="15.75" customHeight="1">
      <c r="A427" s="3"/>
      <c r="B427" s="2" t="str">
        <f t="shared" si="1"/>
        <v/>
      </c>
      <c r="E427" s="2"/>
      <c r="F427" s="2"/>
      <c r="G427" s="2"/>
      <c r="H427" s="2"/>
      <c r="I427" s="2"/>
      <c r="J427" s="2"/>
      <c r="K427" s="2" t="str">
        <f t="shared" si="2"/>
        <v/>
      </c>
      <c r="L427" s="2" t="str">
        <f t="shared" si="3"/>
        <v>No</v>
      </c>
      <c r="M427" s="2" t="str">
        <f>IF(K427="","",F427*VLOOKUP(E427,WEIGHTS!$A$2:$F$4,2,FALSE)+G427*VLOOKUP(E427,WEIGHTS!$A$2:$F$4,3,FALSE)+H427*VLOOKUP(E427,WEIGHTS!$A$2:$F$4,4,FALSE)+I427*VLOOKUP(E427,WEIGHTS!$A$2:$F$4,5,FALSE)+J427*VLOOKUP(E427,WEIGHTS!$A$2:$F$4,6,FALSE))</f>
        <v/>
      </c>
      <c r="N427" s="2" t="str">
        <f t="shared" si="4"/>
        <v/>
      </c>
    </row>
    <row r="428" ht="15.75" customHeight="1">
      <c r="A428" s="3"/>
      <c r="B428" s="2" t="str">
        <f t="shared" si="1"/>
        <v/>
      </c>
      <c r="E428" s="2"/>
      <c r="F428" s="2"/>
      <c r="G428" s="2"/>
      <c r="H428" s="2"/>
      <c r="I428" s="2"/>
      <c r="J428" s="2"/>
      <c r="K428" s="2" t="str">
        <f t="shared" si="2"/>
        <v/>
      </c>
      <c r="L428" s="2" t="str">
        <f t="shared" si="3"/>
        <v>No</v>
      </c>
      <c r="M428" s="2" t="str">
        <f>IF(K428="","",F428*VLOOKUP(E428,WEIGHTS!$A$2:$F$4,2,FALSE)+G428*VLOOKUP(E428,WEIGHTS!$A$2:$F$4,3,FALSE)+H428*VLOOKUP(E428,WEIGHTS!$A$2:$F$4,4,FALSE)+I428*VLOOKUP(E428,WEIGHTS!$A$2:$F$4,5,FALSE)+J428*VLOOKUP(E428,WEIGHTS!$A$2:$F$4,6,FALSE))</f>
        <v/>
      </c>
      <c r="N428" s="2" t="str">
        <f t="shared" si="4"/>
        <v/>
      </c>
    </row>
    <row r="429" ht="15.75" customHeight="1">
      <c r="A429" s="3"/>
      <c r="B429" s="2" t="str">
        <f t="shared" si="1"/>
        <v/>
      </c>
      <c r="E429" s="2"/>
      <c r="F429" s="2"/>
      <c r="G429" s="2"/>
      <c r="H429" s="2"/>
      <c r="I429" s="2"/>
      <c r="J429" s="2"/>
      <c r="K429" s="2" t="str">
        <f t="shared" si="2"/>
        <v/>
      </c>
      <c r="L429" s="2" t="str">
        <f t="shared" si="3"/>
        <v>No</v>
      </c>
      <c r="M429" s="2" t="str">
        <f>IF(K429="","",F429*VLOOKUP(E429,WEIGHTS!$A$2:$F$4,2,FALSE)+G429*VLOOKUP(E429,WEIGHTS!$A$2:$F$4,3,FALSE)+H429*VLOOKUP(E429,WEIGHTS!$A$2:$F$4,4,FALSE)+I429*VLOOKUP(E429,WEIGHTS!$A$2:$F$4,5,FALSE)+J429*VLOOKUP(E429,WEIGHTS!$A$2:$F$4,6,FALSE))</f>
        <v/>
      </c>
      <c r="N429" s="2" t="str">
        <f t="shared" si="4"/>
        <v/>
      </c>
    </row>
    <row r="430" ht="15.75" customHeight="1">
      <c r="A430" s="3"/>
      <c r="B430" s="2" t="str">
        <f t="shared" si="1"/>
        <v/>
      </c>
      <c r="E430" s="2"/>
      <c r="F430" s="2"/>
      <c r="G430" s="2"/>
      <c r="H430" s="2"/>
      <c r="I430" s="2"/>
      <c r="J430" s="2"/>
      <c r="K430" s="2" t="str">
        <f t="shared" si="2"/>
        <v/>
      </c>
      <c r="L430" s="2" t="str">
        <f t="shared" si="3"/>
        <v>No</v>
      </c>
      <c r="M430" s="2" t="str">
        <f>IF(K430="","",F430*VLOOKUP(E430,WEIGHTS!$A$2:$F$4,2,FALSE)+G430*VLOOKUP(E430,WEIGHTS!$A$2:$F$4,3,FALSE)+H430*VLOOKUP(E430,WEIGHTS!$A$2:$F$4,4,FALSE)+I430*VLOOKUP(E430,WEIGHTS!$A$2:$F$4,5,FALSE)+J430*VLOOKUP(E430,WEIGHTS!$A$2:$F$4,6,FALSE))</f>
        <v/>
      </c>
      <c r="N430" s="2" t="str">
        <f t="shared" si="4"/>
        <v/>
      </c>
    </row>
    <row r="431" ht="15.75" customHeight="1">
      <c r="A431" s="3"/>
      <c r="B431" s="2" t="str">
        <f t="shared" si="1"/>
        <v/>
      </c>
      <c r="E431" s="2"/>
      <c r="F431" s="2"/>
      <c r="G431" s="2"/>
      <c r="H431" s="2"/>
      <c r="I431" s="2"/>
      <c r="J431" s="2"/>
      <c r="K431" s="2" t="str">
        <f t="shared" si="2"/>
        <v/>
      </c>
      <c r="L431" s="2" t="str">
        <f t="shared" si="3"/>
        <v>No</v>
      </c>
      <c r="M431" s="2" t="str">
        <f>IF(K431="","",F431*VLOOKUP(E431,WEIGHTS!$A$2:$F$4,2,FALSE)+G431*VLOOKUP(E431,WEIGHTS!$A$2:$F$4,3,FALSE)+H431*VLOOKUP(E431,WEIGHTS!$A$2:$F$4,4,FALSE)+I431*VLOOKUP(E431,WEIGHTS!$A$2:$F$4,5,FALSE)+J431*VLOOKUP(E431,WEIGHTS!$A$2:$F$4,6,FALSE))</f>
        <v/>
      </c>
      <c r="N431" s="2" t="str">
        <f t="shared" si="4"/>
        <v/>
      </c>
    </row>
    <row r="432" ht="15.75" customHeight="1">
      <c r="A432" s="3"/>
      <c r="B432" s="2" t="str">
        <f t="shared" si="1"/>
        <v/>
      </c>
      <c r="E432" s="2"/>
      <c r="F432" s="2"/>
      <c r="G432" s="2"/>
      <c r="H432" s="2"/>
      <c r="I432" s="2"/>
      <c r="J432" s="2"/>
      <c r="K432" s="2" t="str">
        <f t="shared" si="2"/>
        <v/>
      </c>
      <c r="L432" s="2" t="str">
        <f t="shared" si="3"/>
        <v>No</v>
      </c>
      <c r="M432" s="2" t="str">
        <f>IF(K432="","",F432*VLOOKUP(E432,WEIGHTS!$A$2:$F$4,2,FALSE)+G432*VLOOKUP(E432,WEIGHTS!$A$2:$F$4,3,FALSE)+H432*VLOOKUP(E432,WEIGHTS!$A$2:$F$4,4,FALSE)+I432*VLOOKUP(E432,WEIGHTS!$A$2:$F$4,5,FALSE)+J432*VLOOKUP(E432,WEIGHTS!$A$2:$F$4,6,FALSE))</f>
        <v/>
      </c>
      <c r="N432" s="2" t="str">
        <f t="shared" si="4"/>
        <v/>
      </c>
    </row>
    <row r="433" ht="15.75" customHeight="1">
      <c r="A433" s="3"/>
      <c r="B433" s="2" t="str">
        <f t="shared" si="1"/>
        <v/>
      </c>
      <c r="E433" s="2"/>
      <c r="F433" s="2"/>
      <c r="G433" s="2"/>
      <c r="H433" s="2"/>
      <c r="I433" s="2"/>
      <c r="J433" s="2"/>
      <c r="K433" s="2" t="str">
        <f t="shared" si="2"/>
        <v/>
      </c>
      <c r="L433" s="2" t="str">
        <f t="shared" si="3"/>
        <v>No</v>
      </c>
      <c r="M433" s="2" t="str">
        <f>IF(K433="","",F433*VLOOKUP(E433,WEIGHTS!$A$2:$F$4,2,FALSE)+G433*VLOOKUP(E433,WEIGHTS!$A$2:$F$4,3,FALSE)+H433*VLOOKUP(E433,WEIGHTS!$A$2:$F$4,4,FALSE)+I433*VLOOKUP(E433,WEIGHTS!$A$2:$F$4,5,FALSE)+J433*VLOOKUP(E433,WEIGHTS!$A$2:$F$4,6,FALSE))</f>
        <v/>
      </c>
      <c r="N433" s="2" t="str">
        <f t="shared" si="4"/>
        <v/>
      </c>
    </row>
    <row r="434" ht="15.75" customHeight="1">
      <c r="A434" s="3"/>
      <c r="B434" s="2" t="str">
        <f t="shared" si="1"/>
        <v/>
      </c>
      <c r="E434" s="2"/>
      <c r="F434" s="2"/>
      <c r="G434" s="2"/>
      <c r="H434" s="2"/>
      <c r="I434" s="2"/>
      <c r="J434" s="2"/>
      <c r="K434" s="2" t="str">
        <f t="shared" si="2"/>
        <v/>
      </c>
      <c r="L434" s="2" t="str">
        <f t="shared" si="3"/>
        <v>No</v>
      </c>
      <c r="M434" s="2" t="str">
        <f>IF(K434="","",F434*VLOOKUP(E434,WEIGHTS!$A$2:$F$4,2,FALSE)+G434*VLOOKUP(E434,WEIGHTS!$A$2:$F$4,3,FALSE)+H434*VLOOKUP(E434,WEIGHTS!$A$2:$F$4,4,FALSE)+I434*VLOOKUP(E434,WEIGHTS!$A$2:$F$4,5,FALSE)+J434*VLOOKUP(E434,WEIGHTS!$A$2:$F$4,6,FALSE))</f>
        <v/>
      </c>
      <c r="N434" s="2" t="str">
        <f t="shared" si="4"/>
        <v/>
      </c>
    </row>
    <row r="435" ht="15.75" customHeight="1">
      <c r="A435" s="3"/>
      <c r="B435" s="2" t="str">
        <f t="shared" si="1"/>
        <v/>
      </c>
      <c r="E435" s="2"/>
      <c r="F435" s="2"/>
      <c r="G435" s="2"/>
      <c r="H435" s="2"/>
      <c r="I435" s="2"/>
      <c r="J435" s="2"/>
      <c r="K435" s="2" t="str">
        <f t="shared" si="2"/>
        <v/>
      </c>
      <c r="L435" s="2" t="str">
        <f t="shared" si="3"/>
        <v>No</v>
      </c>
      <c r="M435" s="2" t="str">
        <f>IF(K435="","",F435*VLOOKUP(E435,WEIGHTS!$A$2:$F$4,2,FALSE)+G435*VLOOKUP(E435,WEIGHTS!$A$2:$F$4,3,FALSE)+H435*VLOOKUP(E435,WEIGHTS!$A$2:$F$4,4,FALSE)+I435*VLOOKUP(E435,WEIGHTS!$A$2:$F$4,5,FALSE)+J435*VLOOKUP(E435,WEIGHTS!$A$2:$F$4,6,FALSE))</f>
        <v/>
      </c>
      <c r="N435" s="2" t="str">
        <f t="shared" si="4"/>
        <v/>
      </c>
    </row>
    <row r="436" ht="15.75" customHeight="1">
      <c r="A436" s="3"/>
      <c r="B436" s="2" t="str">
        <f t="shared" si="1"/>
        <v/>
      </c>
      <c r="E436" s="2"/>
      <c r="F436" s="2"/>
      <c r="G436" s="2"/>
      <c r="H436" s="2"/>
      <c r="I436" s="2"/>
      <c r="J436" s="2"/>
      <c r="K436" s="2" t="str">
        <f t="shared" si="2"/>
        <v/>
      </c>
      <c r="L436" s="2" t="str">
        <f t="shared" si="3"/>
        <v>No</v>
      </c>
      <c r="M436" s="2" t="str">
        <f>IF(K436="","",F436*VLOOKUP(E436,WEIGHTS!$A$2:$F$4,2,FALSE)+G436*VLOOKUP(E436,WEIGHTS!$A$2:$F$4,3,FALSE)+H436*VLOOKUP(E436,WEIGHTS!$A$2:$F$4,4,FALSE)+I436*VLOOKUP(E436,WEIGHTS!$A$2:$F$4,5,FALSE)+J436*VLOOKUP(E436,WEIGHTS!$A$2:$F$4,6,FALSE))</f>
        <v/>
      </c>
      <c r="N436" s="2" t="str">
        <f t="shared" si="4"/>
        <v/>
      </c>
    </row>
    <row r="437" ht="15.75" customHeight="1">
      <c r="A437" s="3"/>
      <c r="B437" s="2" t="str">
        <f t="shared" si="1"/>
        <v/>
      </c>
      <c r="E437" s="2"/>
      <c r="F437" s="2"/>
      <c r="G437" s="2"/>
      <c r="H437" s="2"/>
      <c r="I437" s="2"/>
      <c r="J437" s="2"/>
      <c r="K437" s="2" t="str">
        <f t="shared" si="2"/>
        <v/>
      </c>
      <c r="L437" s="2" t="str">
        <f t="shared" si="3"/>
        <v>No</v>
      </c>
      <c r="M437" s="2" t="str">
        <f>IF(K437="","",F437*VLOOKUP(E437,WEIGHTS!$A$2:$F$4,2,FALSE)+G437*VLOOKUP(E437,WEIGHTS!$A$2:$F$4,3,FALSE)+H437*VLOOKUP(E437,WEIGHTS!$A$2:$F$4,4,FALSE)+I437*VLOOKUP(E437,WEIGHTS!$A$2:$F$4,5,FALSE)+J437*VLOOKUP(E437,WEIGHTS!$A$2:$F$4,6,FALSE))</f>
        <v/>
      </c>
      <c r="N437" s="2" t="str">
        <f t="shared" si="4"/>
        <v/>
      </c>
    </row>
    <row r="438" ht="15.75" customHeight="1">
      <c r="A438" s="3"/>
      <c r="B438" s="2" t="str">
        <f t="shared" si="1"/>
        <v/>
      </c>
      <c r="E438" s="2"/>
      <c r="F438" s="2"/>
      <c r="G438" s="2"/>
      <c r="H438" s="2"/>
      <c r="I438" s="2"/>
      <c r="J438" s="2"/>
      <c r="K438" s="2" t="str">
        <f t="shared" si="2"/>
        <v/>
      </c>
      <c r="L438" s="2" t="str">
        <f t="shared" si="3"/>
        <v>No</v>
      </c>
      <c r="M438" s="2" t="str">
        <f>IF(K438="","",F438*VLOOKUP(E438,WEIGHTS!$A$2:$F$4,2,FALSE)+G438*VLOOKUP(E438,WEIGHTS!$A$2:$F$4,3,FALSE)+H438*VLOOKUP(E438,WEIGHTS!$A$2:$F$4,4,FALSE)+I438*VLOOKUP(E438,WEIGHTS!$A$2:$F$4,5,FALSE)+J438*VLOOKUP(E438,WEIGHTS!$A$2:$F$4,6,FALSE))</f>
        <v/>
      </c>
      <c r="N438" s="2" t="str">
        <f t="shared" si="4"/>
        <v/>
      </c>
    </row>
    <row r="439" ht="15.75" customHeight="1">
      <c r="A439" s="3"/>
      <c r="B439" s="2" t="str">
        <f t="shared" si="1"/>
        <v/>
      </c>
      <c r="E439" s="2"/>
      <c r="F439" s="2"/>
      <c r="G439" s="2"/>
      <c r="H439" s="2"/>
      <c r="I439" s="2"/>
      <c r="J439" s="2"/>
      <c r="K439" s="2" t="str">
        <f t="shared" si="2"/>
        <v/>
      </c>
      <c r="L439" s="2" t="str">
        <f t="shared" si="3"/>
        <v>No</v>
      </c>
      <c r="M439" s="2" t="str">
        <f>IF(K439="","",F439*VLOOKUP(E439,WEIGHTS!$A$2:$F$4,2,FALSE)+G439*VLOOKUP(E439,WEIGHTS!$A$2:$F$4,3,FALSE)+H439*VLOOKUP(E439,WEIGHTS!$A$2:$F$4,4,FALSE)+I439*VLOOKUP(E439,WEIGHTS!$A$2:$F$4,5,FALSE)+J439*VLOOKUP(E439,WEIGHTS!$A$2:$F$4,6,FALSE))</f>
        <v/>
      </c>
      <c r="N439" s="2" t="str">
        <f t="shared" si="4"/>
        <v/>
      </c>
    </row>
    <row r="440" ht="15.75" customHeight="1">
      <c r="A440" s="3"/>
      <c r="B440" s="2" t="str">
        <f t="shared" si="1"/>
        <v/>
      </c>
      <c r="E440" s="2"/>
      <c r="F440" s="2"/>
      <c r="G440" s="2"/>
      <c r="H440" s="2"/>
      <c r="I440" s="2"/>
      <c r="J440" s="2"/>
      <c r="K440" s="2" t="str">
        <f t="shared" si="2"/>
        <v/>
      </c>
      <c r="L440" s="2" t="str">
        <f t="shared" si="3"/>
        <v>No</v>
      </c>
      <c r="M440" s="2" t="str">
        <f>IF(K440="","",F440*VLOOKUP(E440,WEIGHTS!$A$2:$F$4,2,FALSE)+G440*VLOOKUP(E440,WEIGHTS!$A$2:$F$4,3,FALSE)+H440*VLOOKUP(E440,WEIGHTS!$A$2:$F$4,4,FALSE)+I440*VLOOKUP(E440,WEIGHTS!$A$2:$F$4,5,FALSE)+J440*VLOOKUP(E440,WEIGHTS!$A$2:$F$4,6,FALSE))</f>
        <v/>
      </c>
      <c r="N440" s="2" t="str">
        <f t="shared" si="4"/>
        <v/>
      </c>
    </row>
    <row r="441" ht="15.75" customHeight="1">
      <c r="A441" s="3"/>
      <c r="B441" s="2" t="str">
        <f t="shared" si="1"/>
        <v/>
      </c>
      <c r="E441" s="2"/>
      <c r="F441" s="2"/>
      <c r="G441" s="2"/>
      <c r="H441" s="2"/>
      <c r="I441" s="2"/>
      <c r="J441" s="2"/>
      <c r="K441" s="2" t="str">
        <f t="shared" si="2"/>
        <v/>
      </c>
      <c r="L441" s="2" t="str">
        <f t="shared" si="3"/>
        <v>No</v>
      </c>
      <c r="M441" s="2" t="str">
        <f>IF(K441="","",F441*VLOOKUP(E441,WEIGHTS!$A$2:$F$4,2,FALSE)+G441*VLOOKUP(E441,WEIGHTS!$A$2:$F$4,3,FALSE)+H441*VLOOKUP(E441,WEIGHTS!$A$2:$F$4,4,FALSE)+I441*VLOOKUP(E441,WEIGHTS!$A$2:$F$4,5,FALSE)+J441*VLOOKUP(E441,WEIGHTS!$A$2:$F$4,6,FALSE))</f>
        <v/>
      </c>
      <c r="N441" s="2" t="str">
        <f t="shared" si="4"/>
        <v/>
      </c>
    </row>
    <row r="442" ht="15.75" customHeight="1">
      <c r="A442" s="3"/>
      <c r="B442" s="2" t="str">
        <f t="shared" si="1"/>
        <v/>
      </c>
      <c r="E442" s="2"/>
      <c r="F442" s="2"/>
      <c r="G442" s="2"/>
      <c r="H442" s="2"/>
      <c r="I442" s="2"/>
      <c r="J442" s="2"/>
      <c r="K442" s="2" t="str">
        <f t="shared" si="2"/>
        <v/>
      </c>
      <c r="L442" s="2" t="str">
        <f t="shared" si="3"/>
        <v>No</v>
      </c>
      <c r="M442" s="2" t="str">
        <f>IF(K442="","",F442*VLOOKUP(E442,WEIGHTS!$A$2:$F$4,2,FALSE)+G442*VLOOKUP(E442,WEIGHTS!$A$2:$F$4,3,FALSE)+H442*VLOOKUP(E442,WEIGHTS!$A$2:$F$4,4,FALSE)+I442*VLOOKUP(E442,WEIGHTS!$A$2:$F$4,5,FALSE)+J442*VLOOKUP(E442,WEIGHTS!$A$2:$F$4,6,FALSE))</f>
        <v/>
      </c>
      <c r="N442" s="2" t="str">
        <f t="shared" si="4"/>
        <v/>
      </c>
    </row>
    <row r="443" ht="15.75" customHeight="1">
      <c r="A443" s="3"/>
      <c r="B443" s="2" t="str">
        <f t="shared" si="1"/>
        <v/>
      </c>
      <c r="E443" s="2"/>
      <c r="F443" s="2"/>
      <c r="G443" s="2"/>
      <c r="H443" s="2"/>
      <c r="I443" s="2"/>
      <c r="J443" s="2"/>
      <c r="K443" s="2" t="str">
        <f t="shared" si="2"/>
        <v/>
      </c>
      <c r="L443" s="2" t="str">
        <f t="shared" si="3"/>
        <v>No</v>
      </c>
      <c r="M443" s="2" t="str">
        <f>IF(K443="","",F443*VLOOKUP(E443,WEIGHTS!$A$2:$F$4,2,FALSE)+G443*VLOOKUP(E443,WEIGHTS!$A$2:$F$4,3,FALSE)+H443*VLOOKUP(E443,WEIGHTS!$A$2:$F$4,4,FALSE)+I443*VLOOKUP(E443,WEIGHTS!$A$2:$F$4,5,FALSE)+J443*VLOOKUP(E443,WEIGHTS!$A$2:$F$4,6,FALSE))</f>
        <v/>
      </c>
      <c r="N443" s="2" t="str">
        <f t="shared" si="4"/>
        <v/>
      </c>
    </row>
    <row r="444" ht="15.75" customHeight="1">
      <c r="A444" s="3"/>
      <c r="B444" s="2" t="str">
        <f t="shared" si="1"/>
        <v/>
      </c>
      <c r="E444" s="2"/>
      <c r="F444" s="2"/>
      <c r="G444" s="2"/>
      <c r="H444" s="2"/>
      <c r="I444" s="2"/>
      <c r="J444" s="2"/>
      <c r="K444" s="2" t="str">
        <f t="shared" si="2"/>
        <v/>
      </c>
      <c r="L444" s="2" t="str">
        <f t="shared" si="3"/>
        <v>No</v>
      </c>
      <c r="M444" s="2" t="str">
        <f>IF(K444="","",F444*VLOOKUP(E444,WEIGHTS!$A$2:$F$4,2,FALSE)+G444*VLOOKUP(E444,WEIGHTS!$A$2:$F$4,3,FALSE)+H444*VLOOKUP(E444,WEIGHTS!$A$2:$F$4,4,FALSE)+I444*VLOOKUP(E444,WEIGHTS!$A$2:$F$4,5,FALSE)+J444*VLOOKUP(E444,WEIGHTS!$A$2:$F$4,6,FALSE))</f>
        <v/>
      </c>
      <c r="N444" s="2" t="str">
        <f t="shared" si="4"/>
        <v/>
      </c>
    </row>
    <row r="445" ht="15.75" customHeight="1">
      <c r="A445" s="3"/>
      <c r="B445" s="2" t="str">
        <f t="shared" si="1"/>
        <v/>
      </c>
      <c r="E445" s="2"/>
      <c r="F445" s="2"/>
      <c r="G445" s="2"/>
      <c r="H445" s="2"/>
      <c r="I445" s="2"/>
      <c r="J445" s="2"/>
      <c r="K445" s="2" t="str">
        <f t="shared" si="2"/>
        <v/>
      </c>
      <c r="L445" s="2" t="str">
        <f t="shared" si="3"/>
        <v>No</v>
      </c>
      <c r="M445" s="2" t="str">
        <f>IF(K445="","",F445*VLOOKUP(E445,WEIGHTS!$A$2:$F$4,2,FALSE)+G445*VLOOKUP(E445,WEIGHTS!$A$2:$F$4,3,FALSE)+H445*VLOOKUP(E445,WEIGHTS!$A$2:$F$4,4,FALSE)+I445*VLOOKUP(E445,WEIGHTS!$A$2:$F$4,5,FALSE)+J445*VLOOKUP(E445,WEIGHTS!$A$2:$F$4,6,FALSE))</f>
        <v/>
      </c>
      <c r="N445" s="2" t="str">
        <f t="shared" si="4"/>
        <v/>
      </c>
    </row>
    <row r="446" ht="15.75" customHeight="1">
      <c r="A446" s="3"/>
      <c r="B446" s="2" t="str">
        <f t="shared" si="1"/>
        <v/>
      </c>
      <c r="E446" s="2"/>
      <c r="F446" s="2"/>
      <c r="G446" s="2"/>
      <c r="H446" s="2"/>
      <c r="I446" s="2"/>
      <c r="J446" s="2"/>
      <c r="K446" s="2" t="str">
        <f t="shared" si="2"/>
        <v/>
      </c>
      <c r="L446" s="2" t="str">
        <f t="shared" si="3"/>
        <v>No</v>
      </c>
      <c r="M446" s="2" t="str">
        <f>IF(K446="","",F446*VLOOKUP(E446,WEIGHTS!$A$2:$F$4,2,FALSE)+G446*VLOOKUP(E446,WEIGHTS!$A$2:$F$4,3,FALSE)+H446*VLOOKUP(E446,WEIGHTS!$A$2:$F$4,4,FALSE)+I446*VLOOKUP(E446,WEIGHTS!$A$2:$F$4,5,FALSE)+J446*VLOOKUP(E446,WEIGHTS!$A$2:$F$4,6,FALSE))</f>
        <v/>
      </c>
      <c r="N446" s="2" t="str">
        <f t="shared" si="4"/>
        <v/>
      </c>
    </row>
    <row r="447" ht="15.75" customHeight="1">
      <c r="A447" s="3"/>
      <c r="B447" s="2" t="str">
        <f t="shared" si="1"/>
        <v/>
      </c>
      <c r="E447" s="2"/>
      <c r="F447" s="2"/>
      <c r="G447" s="2"/>
      <c r="H447" s="2"/>
      <c r="I447" s="2"/>
      <c r="J447" s="2"/>
      <c r="K447" s="2" t="str">
        <f t="shared" si="2"/>
        <v/>
      </c>
      <c r="L447" s="2" t="str">
        <f t="shared" si="3"/>
        <v>No</v>
      </c>
      <c r="M447" s="2" t="str">
        <f>IF(K447="","",F447*VLOOKUP(E447,WEIGHTS!$A$2:$F$4,2,FALSE)+G447*VLOOKUP(E447,WEIGHTS!$A$2:$F$4,3,FALSE)+H447*VLOOKUP(E447,WEIGHTS!$A$2:$F$4,4,FALSE)+I447*VLOOKUP(E447,WEIGHTS!$A$2:$F$4,5,FALSE)+J447*VLOOKUP(E447,WEIGHTS!$A$2:$F$4,6,FALSE))</f>
        <v/>
      </c>
      <c r="N447" s="2" t="str">
        <f t="shared" si="4"/>
        <v/>
      </c>
    </row>
    <row r="448" ht="15.75" customHeight="1">
      <c r="A448" s="3"/>
      <c r="B448" s="2" t="str">
        <f t="shared" si="1"/>
        <v/>
      </c>
      <c r="E448" s="2"/>
      <c r="F448" s="2"/>
      <c r="G448" s="2"/>
      <c r="H448" s="2"/>
      <c r="I448" s="2"/>
      <c r="J448" s="2"/>
      <c r="K448" s="2" t="str">
        <f t="shared" si="2"/>
        <v/>
      </c>
      <c r="L448" s="2" t="str">
        <f t="shared" si="3"/>
        <v>No</v>
      </c>
      <c r="M448" s="2" t="str">
        <f>IF(K448="","",F448*VLOOKUP(E448,WEIGHTS!$A$2:$F$4,2,FALSE)+G448*VLOOKUP(E448,WEIGHTS!$A$2:$F$4,3,FALSE)+H448*VLOOKUP(E448,WEIGHTS!$A$2:$F$4,4,FALSE)+I448*VLOOKUP(E448,WEIGHTS!$A$2:$F$4,5,FALSE)+J448*VLOOKUP(E448,WEIGHTS!$A$2:$F$4,6,FALSE))</f>
        <v/>
      </c>
      <c r="N448" s="2" t="str">
        <f t="shared" si="4"/>
        <v/>
      </c>
    </row>
    <row r="449" ht="15.75" customHeight="1">
      <c r="A449" s="3"/>
      <c r="B449" s="2" t="str">
        <f t="shared" si="1"/>
        <v/>
      </c>
      <c r="E449" s="2"/>
      <c r="F449" s="2"/>
      <c r="G449" s="2"/>
      <c r="H449" s="2"/>
      <c r="I449" s="2"/>
      <c r="J449" s="2"/>
      <c r="K449" s="2" t="str">
        <f t="shared" si="2"/>
        <v/>
      </c>
      <c r="L449" s="2" t="str">
        <f t="shared" si="3"/>
        <v>No</v>
      </c>
      <c r="M449" s="2" t="str">
        <f>IF(K449="","",F449*VLOOKUP(E449,WEIGHTS!$A$2:$F$4,2,FALSE)+G449*VLOOKUP(E449,WEIGHTS!$A$2:$F$4,3,FALSE)+H449*VLOOKUP(E449,WEIGHTS!$A$2:$F$4,4,FALSE)+I449*VLOOKUP(E449,WEIGHTS!$A$2:$F$4,5,FALSE)+J449*VLOOKUP(E449,WEIGHTS!$A$2:$F$4,6,FALSE))</f>
        <v/>
      </c>
      <c r="N449" s="2" t="str">
        <f t="shared" si="4"/>
        <v/>
      </c>
    </row>
    <row r="450" ht="15.75" customHeight="1">
      <c r="A450" s="3"/>
      <c r="B450" s="2" t="str">
        <f t="shared" si="1"/>
        <v/>
      </c>
      <c r="E450" s="2"/>
      <c r="F450" s="2"/>
      <c r="G450" s="2"/>
      <c r="H450" s="2"/>
      <c r="I450" s="2"/>
      <c r="J450" s="2"/>
      <c r="K450" s="2" t="str">
        <f t="shared" si="2"/>
        <v/>
      </c>
      <c r="L450" s="2" t="str">
        <f t="shared" si="3"/>
        <v>No</v>
      </c>
      <c r="M450" s="2" t="str">
        <f>IF(K450="","",F450*VLOOKUP(E450,WEIGHTS!$A$2:$F$4,2,FALSE)+G450*VLOOKUP(E450,WEIGHTS!$A$2:$F$4,3,FALSE)+H450*VLOOKUP(E450,WEIGHTS!$A$2:$F$4,4,FALSE)+I450*VLOOKUP(E450,WEIGHTS!$A$2:$F$4,5,FALSE)+J450*VLOOKUP(E450,WEIGHTS!$A$2:$F$4,6,FALSE))</f>
        <v/>
      </c>
      <c r="N450" s="2" t="str">
        <f t="shared" si="4"/>
        <v/>
      </c>
    </row>
    <row r="451" ht="15.75" customHeight="1">
      <c r="A451" s="3"/>
      <c r="B451" s="2" t="str">
        <f t="shared" si="1"/>
        <v/>
      </c>
      <c r="E451" s="2"/>
      <c r="F451" s="2"/>
      <c r="G451" s="2"/>
      <c r="H451" s="2"/>
      <c r="I451" s="2"/>
      <c r="J451" s="2"/>
      <c r="K451" s="2" t="str">
        <f t="shared" si="2"/>
        <v/>
      </c>
      <c r="L451" s="2" t="str">
        <f t="shared" si="3"/>
        <v>No</v>
      </c>
      <c r="M451" s="2" t="str">
        <f>IF(K451="","",F451*VLOOKUP(E451,WEIGHTS!$A$2:$F$4,2,FALSE)+G451*VLOOKUP(E451,WEIGHTS!$A$2:$F$4,3,FALSE)+H451*VLOOKUP(E451,WEIGHTS!$A$2:$F$4,4,FALSE)+I451*VLOOKUP(E451,WEIGHTS!$A$2:$F$4,5,FALSE)+J451*VLOOKUP(E451,WEIGHTS!$A$2:$F$4,6,FALSE))</f>
        <v/>
      </c>
      <c r="N451" s="2" t="str">
        <f t="shared" si="4"/>
        <v/>
      </c>
    </row>
    <row r="452" ht="15.75" customHeight="1">
      <c r="A452" s="3"/>
      <c r="B452" s="2" t="str">
        <f t="shared" si="1"/>
        <v/>
      </c>
      <c r="E452" s="2"/>
      <c r="F452" s="2"/>
      <c r="G452" s="2"/>
      <c r="H452" s="2"/>
      <c r="I452" s="2"/>
      <c r="J452" s="2"/>
      <c r="K452" s="2" t="str">
        <f t="shared" si="2"/>
        <v/>
      </c>
      <c r="L452" s="2" t="str">
        <f t="shared" si="3"/>
        <v>No</v>
      </c>
      <c r="M452" s="2" t="str">
        <f>IF(K452="","",F452*VLOOKUP(E452,WEIGHTS!$A$2:$F$4,2,FALSE)+G452*VLOOKUP(E452,WEIGHTS!$A$2:$F$4,3,FALSE)+H452*VLOOKUP(E452,WEIGHTS!$A$2:$F$4,4,FALSE)+I452*VLOOKUP(E452,WEIGHTS!$A$2:$F$4,5,FALSE)+J452*VLOOKUP(E452,WEIGHTS!$A$2:$F$4,6,FALSE))</f>
        <v/>
      </c>
      <c r="N452" s="2" t="str">
        <f t="shared" si="4"/>
        <v/>
      </c>
    </row>
    <row r="453" ht="15.75" customHeight="1">
      <c r="A453" s="3"/>
      <c r="B453" s="2" t="str">
        <f t="shared" si="1"/>
        <v/>
      </c>
      <c r="E453" s="2"/>
      <c r="F453" s="2"/>
      <c r="G453" s="2"/>
      <c r="H453" s="2"/>
      <c r="I453" s="2"/>
      <c r="J453" s="2"/>
      <c r="K453" s="2" t="str">
        <f t="shared" si="2"/>
        <v/>
      </c>
      <c r="L453" s="2" t="str">
        <f t="shared" si="3"/>
        <v>No</v>
      </c>
      <c r="M453" s="2" t="str">
        <f>IF(K453="","",F453*VLOOKUP(E453,WEIGHTS!$A$2:$F$4,2,FALSE)+G453*VLOOKUP(E453,WEIGHTS!$A$2:$F$4,3,FALSE)+H453*VLOOKUP(E453,WEIGHTS!$A$2:$F$4,4,FALSE)+I453*VLOOKUP(E453,WEIGHTS!$A$2:$F$4,5,FALSE)+J453*VLOOKUP(E453,WEIGHTS!$A$2:$F$4,6,FALSE))</f>
        <v/>
      </c>
      <c r="N453" s="2" t="str">
        <f t="shared" si="4"/>
        <v/>
      </c>
    </row>
    <row r="454" ht="15.75" customHeight="1">
      <c r="A454" s="3"/>
      <c r="B454" s="2" t="str">
        <f t="shared" si="1"/>
        <v/>
      </c>
      <c r="E454" s="2"/>
      <c r="F454" s="2"/>
      <c r="G454" s="2"/>
      <c r="H454" s="2"/>
      <c r="I454" s="2"/>
      <c r="J454" s="2"/>
      <c r="K454" s="2" t="str">
        <f t="shared" si="2"/>
        <v/>
      </c>
      <c r="L454" s="2" t="str">
        <f t="shared" si="3"/>
        <v>No</v>
      </c>
      <c r="M454" s="2" t="str">
        <f>IF(K454="","",F454*VLOOKUP(E454,WEIGHTS!$A$2:$F$4,2,FALSE)+G454*VLOOKUP(E454,WEIGHTS!$A$2:$F$4,3,FALSE)+H454*VLOOKUP(E454,WEIGHTS!$A$2:$F$4,4,FALSE)+I454*VLOOKUP(E454,WEIGHTS!$A$2:$F$4,5,FALSE)+J454*VLOOKUP(E454,WEIGHTS!$A$2:$F$4,6,FALSE))</f>
        <v/>
      </c>
      <c r="N454" s="2" t="str">
        <f t="shared" si="4"/>
        <v/>
      </c>
    </row>
    <row r="455" ht="15.75" customHeight="1">
      <c r="A455" s="3"/>
      <c r="B455" s="2" t="str">
        <f t="shared" si="1"/>
        <v/>
      </c>
      <c r="E455" s="2"/>
      <c r="F455" s="2"/>
      <c r="G455" s="2"/>
      <c r="H455" s="2"/>
      <c r="I455" s="2"/>
      <c r="J455" s="2"/>
      <c r="K455" s="2" t="str">
        <f t="shared" si="2"/>
        <v/>
      </c>
      <c r="L455" s="2" t="str">
        <f t="shared" si="3"/>
        <v>No</v>
      </c>
      <c r="M455" s="2" t="str">
        <f>IF(K455="","",F455*VLOOKUP(E455,WEIGHTS!$A$2:$F$4,2,FALSE)+G455*VLOOKUP(E455,WEIGHTS!$A$2:$F$4,3,FALSE)+H455*VLOOKUP(E455,WEIGHTS!$A$2:$F$4,4,FALSE)+I455*VLOOKUP(E455,WEIGHTS!$A$2:$F$4,5,FALSE)+J455*VLOOKUP(E455,WEIGHTS!$A$2:$F$4,6,FALSE))</f>
        <v/>
      </c>
      <c r="N455" s="2" t="str">
        <f t="shared" si="4"/>
        <v/>
      </c>
    </row>
    <row r="456" ht="15.75" customHeight="1">
      <c r="A456" s="3"/>
      <c r="B456" s="2" t="str">
        <f t="shared" si="1"/>
        <v/>
      </c>
      <c r="E456" s="2"/>
      <c r="F456" s="2"/>
      <c r="G456" s="2"/>
      <c r="H456" s="2"/>
      <c r="I456" s="2"/>
      <c r="J456" s="2"/>
      <c r="K456" s="2" t="str">
        <f t="shared" si="2"/>
        <v/>
      </c>
      <c r="L456" s="2" t="str">
        <f t="shared" si="3"/>
        <v>No</v>
      </c>
      <c r="M456" s="2" t="str">
        <f>IF(K456="","",F456*VLOOKUP(E456,WEIGHTS!$A$2:$F$4,2,FALSE)+G456*VLOOKUP(E456,WEIGHTS!$A$2:$F$4,3,FALSE)+H456*VLOOKUP(E456,WEIGHTS!$A$2:$F$4,4,FALSE)+I456*VLOOKUP(E456,WEIGHTS!$A$2:$F$4,5,FALSE)+J456*VLOOKUP(E456,WEIGHTS!$A$2:$F$4,6,FALSE))</f>
        <v/>
      </c>
      <c r="N456" s="2" t="str">
        <f t="shared" si="4"/>
        <v/>
      </c>
    </row>
    <row r="457" ht="15.75" customHeight="1">
      <c r="A457" s="3"/>
      <c r="B457" s="2" t="str">
        <f t="shared" si="1"/>
        <v/>
      </c>
      <c r="E457" s="2"/>
      <c r="F457" s="2"/>
      <c r="G457" s="2"/>
      <c r="H457" s="2"/>
      <c r="I457" s="2"/>
      <c r="J457" s="2"/>
      <c r="K457" s="2" t="str">
        <f t="shared" si="2"/>
        <v/>
      </c>
      <c r="L457" s="2" t="str">
        <f t="shared" si="3"/>
        <v>No</v>
      </c>
      <c r="M457" s="2" t="str">
        <f>IF(K457="","",F457*VLOOKUP(E457,WEIGHTS!$A$2:$F$4,2,FALSE)+G457*VLOOKUP(E457,WEIGHTS!$A$2:$F$4,3,FALSE)+H457*VLOOKUP(E457,WEIGHTS!$A$2:$F$4,4,FALSE)+I457*VLOOKUP(E457,WEIGHTS!$A$2:$F$4,5,FALSE)+J457*VLOOKUP(E457,WEIGHTS!$A$2:$F$4,6,FALSE))</f>
        <v/>
      </c>
      <c r="N457" s="2" t="str">
        <f t="shared" si="4"/>
        <v/>
      </c>
    </row>
    <row r="458" ht="15.75" customHeight="1">
      <c r="A458" s="3"/>
      <c r="B458" s="2" t="str">
        <f t="shared" si="1"/>
        <v/>
      </c>
      <c r="E458" s="2"/>
      <c r="F458" s="2"/>
      <c r="G458" s="2"/>
      <c r="H458" s="2"/>
      <c r="I458" s="2"/>
      <c r="J458" s="2"/>
      <c r="K458" s="2" t="str">
        <f t="shared" si="2"/>
        <v/>
      </c>
      <c r="L458" s="2" t="str">
        <f t="shared" si="3"/>
        <v>No</v>
      </c>
      <c r="M458" s="2" t="str">
        <f>IF(K458="","",F458*VLOOKUP(E458,WEIGHTS!$A$2:$F$4,2,FALSE)+G458*VLOOKUP(E458,WEIGHTS!$A$2:$F$4,3,FALSE)+H458*VLOOKUP(E458,WEIGHTS!$A$2:$F$4,4,FALSE)+I458*VLOOKUP(E458,WEIGHTS!$A$2:$F$4,5,FALSE)+J458*VLOOKUP(E458,WEIGHTS!$A$2:$F$4,6,FALSE))</f>
        <v/>
      </c>
      <c r="N458" s="2" t="str">
        <f t="shared" si="4"/>
        <v/>
      </c>
    </row>
    <row r="459" ht="15.75" customHeight="1">
      <c r="A459" s="3"/>
      <c r="B459" s="2" t="str">
        <f t="shared" si="1"/>
        <v/>
      </c>
      <c r="E459" s="2"/>
      <c r="F459" s="2"/>
      <c r="G459" s="2"/>
      <c r="H459" s="2"/>
      <c r="I459" s="2"/>
      <c r="J459" s="2"/>
      <c r="K459" s="2" t="str">
        <f t="shared" si="2"/>
        <v/>
      </c>
      <c r="L459" s="2" t="str">
        <f t="shared" si="3"/>
        <v>No</v>
      </c>
      <c r="M459" s="2" t="str">
        <f>IF(K459="","",F459*VLOOKUP(E459,WEIGHTS!$A$2:$F$4,2,FALSE)+G459*VLOOKUP(E459,WEIGHTS!$A$2:$F$4,3,FALSE)+H459*VLOOKUP(E459,WEIGHTS!$A$2:$F$4,4,FALSE)+I459*VLOOKUP(E459,WEIGHTS!$A$2:$F$4,5,FALSE)+J459*VLOOKUP(E459,WEIGHTS!$A$2:$F$4,6,FALSE))</f>
        <v/>
      </c>
      <c r="N459" s="2" t="str">
        <f t="shared" si="4"/>
        <v/>
      </c>
    </row>
    <row r="460" ht="15.75" customHeight="1">
      <c r="A460" s="3"/>
      <c r="B460" s="2" t="str">
        <f t="shared" si="1"/>
        <v/>
      </c>
      <c r="E460" s="2"/>
      <c r="F460" s="2"/>
      <c r="G460" s="2"/>
      <c r="H460" s="2"/>
      <c r="I460" s="2"/>
      <c r="J460" s="2"/>
      <c r="K460" s="2" t="str">
        <f t="shared" si="2"/>
        <v/>
      </c>
      <c r="L460" s="2" t="str">
        <f t="shared" si="3"/>
        <v>No</v>
      </c>
      <c r="M460" s="2" t="str">
        <f>IF(K460="","",F460*VLOOKUP(E460,WEIGHTS!$A$2:$F$4,2,FALSE)+G460*VLOOKUP(E460,WEIGHTS!$A$2:$F$4,3,FALSE)+H460*VLOOKUP(E460,WEIGHTS!$A$2:$F$4,4,FALSE)+I460*VLOOKUP(E460,WEIGHTS!$A$2:$F$4,5,FALSE)+J460*VLOOKUP(E460,WEIGHTS!$A$2:$F$4,6,FALSE))</f>
        <v/>
      </c>
      <c r="N460" s="2" t="str">
        <f t="shared" si="4"/>
        <v/>
      </c>
    </row>
    <row r="461" ht="15.75" customHeight="1">
      <c r="A461" s="3"/>
      <c r="B461" s="2" t="str">
        <f t="shared" si="1"/>
        <v/>
      </c>
      <c r="E461" s="2"/>
      <c r="F461" s="2"/>
      <c r="G461" s="2"/>
      <c r="H461" s="2"/>
      <c r="I461" s="2"/>
      <c r="J461" s="2"/>
      <c r="K461" s="2" t="str">
        <f t="shared" si="2"/>
        <v/>
      </c>
      <c r="L461" s="2" t="str">
        <f t="shared" si="3"/>
        <v>No</v>
      </c>
      <c r="M461" s="2" t="str">
        <f>IF(K461="","",F461*VLOOKUP(E461,WEIGHTS!$A$2:$F$4,2,FALSE)+G461*VLOOKUP(E461,WEIGHTS!$A$2:$F$4,3,FALSE)+H461*VLOOKUP(E461,WEIGHTS!$A$2:$F$4,4,FALSE)+I461*VLOOKUP(E461,WEIGHTS!$A$2:$F$4,5,FALSE)+J461*VLOOKUP(E461,WEIGHTS!$A$2:$F$4,6,FALSE))</f>
        <v/>
      </c>
      <c r="N461" s="2" t="str">
        <f t="shared" si="4"/>
        <v/>
      </c>
    </row>
    <row r="462" ht="15.75" customHeight="1">
      <c r="A462" s="3"/>
      <c r="B462" s="2" t="str">
        <f t="shared" si="1"/>
        <v/>
      </c>
      <c r="E462" s="2"/>
      <c r="F462" s="2"/>
      <c r="G462" s="2"/>
      <c r="H462" s="2"/>
      <c r="I462" s="2"/>
      <c r="J462" s="2"/>
      <c r="K462" s="2" t="str">
        <f t="shared" si="2"/>
        <v/>
      </c>
      <c r="L462" s="2" t="str">
        <f t="shared" si="3"/>
        <v>No</v>
      </c>
      <c r="M462" s="2" t="str">
        <f>IF(K462="","",F462*VLOOKUP(E462,WEIGHTS!$A$2:$F$4,2,FALSE)+G462*VLOOKUP(E462,WEIGHTS!$A$2:$F$4,3,FALSE)+H462*VLOOKUP(E462,WEIGHTS!$A$2:$F$4,4,FALSE)+I462*VLOOKUP(E462,WEIGHTS!$A$2:$F$4,5,FALSE)+J462*VLOOKUP(E462,WEIGHTS!$A$2:$F$4,6,FALSE))</f>
        <v/>
      </c>
      <c r="N462" s="2" t="str">
        <f t="shared" si="4"/>
        <v/>
      </c>
    </row>
    <row r="463" ht="15.75" customHeight="1">
      <c r="A463" s="3"/>
      <c r="B463" s="2" t="str">
        <f t="shared" si="1"/>
        <v/>
      </c>
      <c r="E463" s="2"/>
      <c r="F463" s="2"/>
      <c r="G463" s="2"/>
      <c r="H463" s="2"/>
      <c r="I463" s="2"/>
      <c r="J463" s="2"/>
      <c r="K463" s="2" t="str">
        <f t="shared" si="2"/>
        <v/>
      </c>
      <c r="L463" s="2" t="str">
        <f t="shared" si="3"/>
        <v>No</v>
      </c>
      <c r="M463" s="2" t="str">
        <f>IF(K463="","",F463*VLOOKUP(E463,WEIGHTS!$A$2:$F$4,2,FALSE)+G463*VLOOKUP(E463,WEIGHTS!$A$2:$F$4,3,FALSE)+H463*VLOOKUP(E463,WEIGHTS!$A$2:$F$4,4,FALSE)+I463*VLOOKUP(E463,WEIGHTS!$A$2:$F$4,5,FALSE)+J463*VLOOKUP(E463,WEIGHTS!$A$2:$F$4,6,FALSE))</f>
        <v/>
      </c>
      <c r="N463" s="2" t="str">
        <f t="shared" si="4"/>
        <v/>
      </c>
    </row>
    <row r="464" ht="15.75" customHeight="1">
      <c r="A464" s="3"/>
      <c r="B464" s="2" t="str">
        <f t="shared" si="1"/>
        <v/>
      </c>
      <c r="E464" s="2"/>
      <c r="F464" s="2"/>
      <c r="G464" s="2"/>
      <c r="H464" s="2"/>
      <c r="I464" s="2"/>
      <c r="J464" s="2"/>
      <c r="K464" s="2" t="str">
        <f t="shared" si="2"/>
        <v/>
      </c>
      <c r="L464" s="2" t="str">
        <f t="shared" si="3"/>
        <v>No</v>
      </c>
      <c r="M464" s="2" t="str">
        <f>IF(K464="","",F464*VLOOKUP(E464,WEIGHTS!$A$2:$F$4,2,FALSE)+G464*VLOOKUP(E464,WEIGHTS!$A$2:$F$4,3,FALSE)+H464*VLOOKUP(E464,WEIGHTS!$A$2:$F$4,4,FALSE)+I464*VLOOKUP(E464,WEIGHTS!$A$2:$F$4,5,FALSE)+J464*VLOOKUP(E464,WEIGHTS!$A$2:$F$4,6,FALSE))</f>
        <v/>
      </c>
      <c r="N464" s="2" t="str">
        <f t="shared" si="4"/>
        <v/>
      </c>
    </row>
    <row r="465" ht="15.75" customHeight="1">
      <c r="A465" s="3"/>
      <c r="B465" s="2" t="str">
        <f t="shared" si="1"/>
        <v/>
      </c>
      <c r="E465" s="2"/>
      <c r="F465" s="2"/>
      <c r="G465" s="2"/>
      <c r="H465" s="2"/>
      <c r="I465" s="2"/>
      <c r="J465" s="2"/>
      <c r="K465" s="2" t="str">
        <f t="shared" si="2"/>
        <v/>
      </c>
      <c r="L465" s="2" t="str">
        <f t="shared" si="3"/>
        <v>No</v>
      </c>
      <c r="M465" s="2" t="str">
        <f>IF(K465="","",F465*VLOOKUP(E465,WEIGHTS!$A$2:$F$4,2,FALSE)+G465*VLOOKUP(E465,WEIGHTS!$A$2:$F$4,3,FALSE)+H465*VLOOKUP(E465,WEIGHTS!$A$2:$F$4,4,FALSE)+I465*VLOOKUP(E465,WEIGHTS!$A$2:$F$4,5,FALSE)+J465*VLOOKUP(E465,WEIGHTS!$A$2:$F$4,6,FALSE))</f>
        <v/>
      </c>
      <c r="N465" s="2" t="str">
        <f t="shared" si="4"/>
        <v/>
      </c>
    </row>
    <row r="466" ht="15.75" customHeight="1">
      <c r="A466" s="3"/>
      <c r="B466" s="2" t="str">
        <f t="shared" si="1"/>
        <v/>
      </c>
      <c r="E466" s="2"/>
      <c r="F466" s="2"/>
      <c r="G466" s="2"/>
      <c r="H466" s="2"/>
      <c r="I466" s="2"/>
      <c r="J466" s="2"/>
      <c r="K466" s="2" t="str">
        <f t="shared" si="2"/>
        <v/>
      </c>
      <c r="L466" s="2" t="str">
        <f t="shared" si="3"/>
        <v>No</v>
      </c>
      <c r="M466" s="2" t="str">
        <f>IF(K466="","",F466*VLOOKUP(E466,WEIGHTS!$A$2:$F$4,2,FALSE)+G466*VLOOKUP(E466,WEIGHTS!$A$2:$F$4,3,FALSE)+H466*VLOOKUP(E466,WEIGHTS!$A$2:$F$4,4,FALSE)+I466*VLOOKUP(E466,WEIGHTS!$A$2:$F$4,5,FALSE)+J466*VLOOKUP(E466,WEIGHTS!$A$2:$F$4,6,FALSE))</f>
        <v/>
      </c>
      <c r="N466" s="2" t="str">
        <f t="shared" si="4"/>
        <v/>
      </c>
    </row>
    <row r="467" ht="15.75" customHeight="1">
      <c r="A467" s="3"/>
      <c r="B467" s="2" t="str">
        <f t="shared" si="1"/>
        <v/>
      </c>
      <c r="E467" s="2"/>
      <c r="F467" s="2"/>
      <c r="G467" s="2"/>
      <c r="H467" s="2"/>
      <c r="I467" s="2"/>
      <c r="J467" s="2"/>
      <c r="K467" s="2" t="str">
        <f t="shared" si="2"/>
        <v/>
      </c>
      <c r="L467" s="2" t="str">
        <f t="shared" si="3"/>
        <v>No</v>
      </c>
      <c r="M467" s="2" t="str">
        <f>IF(K467="","",F467*VLOOKUP(E467,WEIGHTS!$A$2:$F$4,2,FALSE)+G467*VLOOKUP(E467,WEIGHTS!$A$2:$F$4,3,FALSE)+H467*VLOOKUP(E467,WEIGHTS!$A$2:$F$4,4,FALSE)+I467*VLOOKUP(E467,WEIGHTS!$A$2:$F$4,5,FALSE)+J467*VLOOKUP(E467,WEIGHTS!$A$2:$F$4,6,FALSE))</f>
        <v/>
      </c>
      <c r="N467" s="2" t="str">
        <f t="shared" si="4"/>
        <v/>
      </c>
    </row>
    <row r="468" ht="15.75" customHeight="1">
      <c r="A468" s="3"/>
      <c r="B468" s="2" t="str">
        <f t="shared" si="1"/>
        <v/>
      </c>
      <c r="E468" s="2"/>
      <c r="F468" s="2"/>
      <c r="G468" s="2"/>
      <c r="H468" s="2"/>
      <c r="I468" s="2"/>
      <c r="J468" s="2"/>
      <c r="K468" s="2" t="str">
        <f t="shared" si="2"/>
        <v/>
      </c>
      <c r="L468" s="2" t="str">
        <f t="shared" si="3"/>
        <v>No</v>
      </c>
      <c r="M468" s="2" t="str">
        <f>IF(K468="","",F468*VLOOKUP(E468,WEIGHTS!$A$2:$F$4,2,FALSE)+G468*VLOOKUP(E468,WEIGHTS!$A$2:$F$4,3,FALSE)+H468*VLOOKUP(E468,WEIGHTS!$A$2:$F$4,4,FALSE)+I468*VLOOKUP(E468,WEIGHTS!$A$2:$F$4,5,FALSE)+J468*VLOOKUP(E468,WEIGHTS!$A$2:$F$4,6,FALSE))</f>
        <v/>
      </c>
      <c r="N468" s="2" t="str">
        <f t="shared" si="4"/>
        <v/>
      </c>
    </row>
    <row r="469" ht="15.75" customHeight="1">
      <c r="A469" s="3"/>
      <c r="B469" s="2" t="str">
        <f t="shared" si="1"/>
        <v/>
      </c>
      <c r="E469" s="2"/>
      <c r="F469" s="2"/>
      <c r="G469" s="2"/>
      <c r="H469" s="2"/>
      <c r="I469" s="2"/>
      <c r="J469" s="2"/>
      <c r="K469" s="2" t="str">
        <f t="shared" si="2"/>
        <v/>
      </c>
      <c r="L469" s="2" t="str">
        <f t="shared" si="3"/>
        <v>No</v>
      </c>
      <c r="M469" s="2" t="str">
        <f>IF(K469="","",F469*VLOOKUP(E469,WEIGHTS!$A$2:$F$4,2,FALSE)+G469*VLOOKUP(E469,WEIGHTS!$A$2:$F$4,3,FALSE)+H469*VLOOKUP(E469,WEIGHTS!$A$2:$F$4,4,FALSE)+I469*VLOOKUP(E469,WEIGHTS!$A$2:$F$4,5,FALSE)+J469*VLOOKUP(E469,WEIGHTS!$A$2:$F$4,6,FALSE))</f>
        <v/>
      </c>
      <c r="N469" s="2" t="str">
        <f t="shared" si="4"/>
        <v/>
      </c>
    </row>
    <row r="470" ht="15.75" customHeight="1">
      <c r="A470" s="3"/>
      <c r="B470" s="2" t="str">
        <f t="shared" si="1"/>
        <v/>
      </c>
      <c r="E470" s="2"/>
      <c r="F470" s="2"/>
      <c r="G470" s="2"/>
      <c r="H470" s="2"/>
      <c r="I470" s="2"/>
      <c r="J470" s="2"/>
      <c r="K470" s="2" t="str">
        <f t="shared" si="2"/>
        <v/>
      </c>
      <c r="L470" s="2" t="str">
        <f t="shared" si="3"/>
        <v>No</v>
      </c>
      <c r="M470" s="2" t="str">
        <f>IF(K470="","",F470*VLOOKUP(E470,WEIGHTS!$A$2:$F$4,2,FALSE)+G470*VLOOKUP(E470,WEIGHTS!$A$2:$F$4,3,FALSE)+H470*VLOOKUP(E470,WEIGHTS!$A$2:$F$4,4,FALSE)+I470*VLOOKUP(E470,WEIGHTS!$A$2:$F$4,5,FALSE)+J470*VLOOKUP(E470,WEIGHTS!$A$2:$F$4,6,FALSE))</f>
        <v/>
      </c>
      <c r="N470" s="2" t="str">
        <f t="shared" si="4"/>
        <v/>
      </c>
    </row>
    <row r="471" ht="15.75" customHeight="1">
      <c r="A471" s="3"/>
      <c r="B471" s="2" t="str">
        <f t="shared" si="1"/>
        <v/>
      </c>
      <c r="E471" s="2"/>
      <c r="F471" s="2"/>
      <c r="G471" s="2"/>
      <c r="H471" s="2"/>
      <c r="I471" s="2"/>
      <c r="J471" s="2"/>
      <c r="K471" s="2" t="str">
        <f t="shared" si="2"/>
        <v/>
      </c>
      <c r="L471" s="2" t="str">
        <f t="shared" si="3"/>
        <v>No</v>
      </c>
      <c r="M471" s="2" t="str">
        <f>IF(K471="","",F471*VLOOKUP(E471,WEIGHTS!$A$2:$F$4,2,FALSE)+G471*VLOOKUP(E471,WEIGHTS!$A$2:$F$4,3,FALSE)+H471*VLOOKUP(E471,WEIGHTS!$A$2:$F$4,4,FALSE)+I471*VLOOKUP(E471,WEIGHTS!$A$2:$F$4,5,FALSE)+J471*VLOOKUP(E471,WEIGHTS!$A$2:$F$4,6,FALSE))</f>
        <v/>
      </c>
      <c r="N471" s="2" t="str">
        <f t="shared" si="4"/>
        <v/>
      </c>
    </row>
    <row r="472" ht="15.75" customHeight="1">
      <c r="A472" s="3"/>
      <c r="B472" s="2" t="str">
        <f t="shared" si="1"/>
        <v/>
      </c>
      <c r="E472" s="2"/>
      <c r="F472" s="2"/>
      <c r="G472" s="2"/>
      <c r="H472" s="2"/>
      <c r="I472" s="2"/>
      <c r="J472" s="2"/>
      <c r="K472" s="2" t="str">
        <f t="shared" si="2"/>
        <v/>
      </c>
      <c r="L472" s="2" t="str">
        <f t="shared" si="3"/>
        <v>No</v>
      </c>
      <c r="M472" s="2" t="str">
        <f>IF(K472="","",F472*VLOOKUP(E472,WEIGHTS!$A$2:$F$4,2,FALSE)+G472*VLOOKUP(E472,WEIGHTS!$A$2:$F$4,3,FALSE)+H472*VLOOKUP(E472,WEIGHTS!$A$2:$F$4,4,FALSE)+I472*VLOOKUP(E472,WEIGHTS!$A$2:$F$4,5,FALSE)+J472*VLOOKUP(E472,WEIGHTS!$A$2:$F$4,6,FALSE))</f>
        <v/>
      </c>
      <c r="N472" s="2" t="str">
        <f t="shared" si="4"/>
        <v/>
      </c>
    </row>
    <row r="473" ht="15.75" customHeight="1">
      <c r="A473" s="3"/>
      <c r="B473" s="2" t="str">
        <f t="shared" si="1"/>
        <v/>
      </c>
      <c r="E473" s="2"/>
      <c r="F473" s="2"/>
      <c r="G473" s="2"/>
      <c r="H473" s="2"/>
      <c r="I473" s="2"/>
      <c r="J473" s="2"/>
      <c r="K473" s="2" t="str">
        <f t="shared" si="2"/>
        <v/>
      </c>
      <c r="L473" s="2" t="str">
        <f t="shared" si="3"/>
        <v>No</v>
      </c>
      <c r="M473" s="2" t="str">
        <f>IF(K473="","",F473*VLOOKUP(E473,WEIGHTS!$A$2:$F$4,2,FALSE)+G473*VLOOKUP(E473,WEIGHTS!$A$2:$F$4,3,FALSE)+H473*VLOOKUP(E473,WEIGHTS!$A$2:$F$4,4,FALSE)+I473*VLOOKUP(E473,WEIGHTS!$A$2:$F$4,5,FALSE)+J473*VLOOKUP(E473,WEIGHTS!$A$2:$F$4,6,FALSE))</f>
        <v/>
      </c>
      <c r="N473" s="2" t="str">
        <f t="shared" si="4"/>
        <v/>
      </c>
    </row>
    <row r="474" ht="15.75" customHeight="1">
      <c r="A474" s="3"/>
      <c r="B474" s="2" t="str">
        <f t="shared" si="1"/>
        <v/>
      </c>
      <c r="E474" s="2"/>
      <c r="F474" s="2"/>
      <c r="G474" s="2"/>
      <c r="H474" s="2"/>
      <c r="I474" s="2"/>
      <c r="J474" s="2"/>
      <c r="K474" s="2" t="str">
        <f t="shared" si="2"/>
        <v/>
      </c>
      <c r="L474" s="2" t="str">
        <f t="shared" si="3"/>
        <v>No</v>
      </c>
      <c r="M474" s="2" t="str">
        <f>IF(K474="","",F474*VLOOKUP(E474,WEIGHTS!$A$2:$F$4,2,FALSE)+G474*VLOOKUP(E474,WEIGHTS!$A$2:$F$4,3,FALSE)+H474*VLOOKUP(E474,WEIGHTS!$A$2:$F$4,4,FALSE)+I474*VLOOKUP(E474,WEIGHTS!$A$2:$F$4,5,FALSE)+J474*VLOOKUP(E474,WEIGHTS!$A$2:$F$4,6,FALSE))</f>
        <v/>
      </c>
      <c r="N474" s="2" t="str">
        <f t="shared" si="4"/>
        <v/>
      </c>
    </row>
    <row r="475" ht="15.75" customHeight="1">
      <c r="A475" s="3"/>
      <c r="B475" s="2" t="str">
        <f t="shared" si="1"/>
        <v/>
      </c>
      <c r="E475" s="2"/>
      <c r="F475" s="2"/>
      <c r="G475" s="2"/>
      <c r="H475" s="2"/>
      <c r="I475" s="2"/>
      <c r="J475" s="2"/>
      <c r="K475" s="2" t="str">
        <f t="shared" si="2"/>
        <v/>
      </c>
      <c r="L475" s="2" t="str">
        <f t="shared" si="3"/>
        <v>No</v>
      </c>
      <c r="M475" s="2" t="str">
        <f>IF(K475="","",F475*VLOOKUP(E475,WEIGHTS!$A$2:$F$4,2,FALSE)+G475*VLOOKUP(E475,WEIGHTS!$A$2:$F$4,3,FALSE)+H475*VLOOKUP(E475,WEIGHTS!$A$2:$F$4,4,FALSE)+I475*VLOOKUP(E475,WEIGHTS!$A$2:$F$4,5,FALSE)+J475*VLOOKUP(E475,WEIGHTS!$A$2:$F$4,6,FALSE))</f>
        <v/>
      </c>
      <c r="N475" s="2" t="str">
        <f t="shared" si="4"/>
        <v/>
      </c>
    </row>
    <row r="476" ht="15.75" customHeight="1">
      <c r="A476" s="3"/>
      <c r="B476" s="2" t="str">
        <f t="shared" si="1"/>
        <v/>
      </c>
      <c r="E476" s="2"/>
      <c r="F476" s="2"/>
      <c r="G476" s="2"/>
      <c r="H476" s="2"/>
      <c r="I476" s="2"/>
      <c r="J476" s="2"/>
      <c r="K476" s="2" t="str">
        <f t="shared" si="2"/>
        <v/>
      </c>
      <c r="L476" s="2" t="str">
        <f t="shared" si="3"/>
        <v>No</v>
      </c>
      <c r="M476" s="2" t="str">
        <f>IF(K476="","",F476*VLOOKUP(E476,WEIGHTS!$A$2:$F$4,2,FALSE)+G476*VLOOKUP(E476,WEIGHTS!$A$2:$F$4,3,FALSE)+H476*VLOOKUP(E476,WEIGHTS!$A$2:$F$4,4,FALSE)+I476*VLOOKUP(E476,WEIGHTS!$A$2:$F$4,5,FALSE)+J476*VLOOKUP(E476,WEIGHTS!$A$2:$F$4,6,FALSE))</f>
        <v/>
      </c>
      <c r="N476" s="2" t="str">
        <f t="shared" si="4"/>
        <v/>
      </c>
    </row>
    <row r="477" ht="15.75" customHeight="1">
      <c r="A477" s="3"/>
      <c r="B477" s="2" t="str">
        <f t="shared" si="1"/>
        <v/>
      </c>
      <c r="E477" s="2"/>
      <c r="F477" s="2"/>
      <c r="G477" s="2"/>
      <c r="H477" s="2"/>
      <c r="I477" s="2"/>
      <c r="J477" s="2"/>
      <c r="K477" s="2" t="str">
        <f t="shared" si="2"/>
        <v/>
      </c>
      <c r="L477" s="2" t="str">
        <f t="shared" si="3"/>
        <v>No</v>
      </c>
      <c r="M477" s="2" t="str">
        <f>IF(K477="","",F477*VLOOKUP(E477,WEIGHTS!$A$2:$F$4,2,FALSE)+G477*VLOOKUP(E477,WEIGHTS!$A$2:$F$4,3,FALSE)+H477*VLOOKUP(E477,WEIGHTS!$A$2:$F$4,4,FALSE)+I477*VLOOKUP(E477,WEIGHTS!$A$2:$F$4,5,FALSE)+J477*VLOOKUP(E477,WEIGHTS!$A$2:$F$4,6,FALSE))</f>
        <v/>
      </c>
      <c r="N477" s="2" t="str">
        <f t="shared" si="4"/>
        <v/>
      </c>
    </row>
    <row r="478" ht="15.75" customHeight="1">
      <c r="A478" s="3"/>
      <c r="B478" s="2" t="str">
        <f t="shared" si="1"/>
        <v/>
      </c>
      <c r="E478" s="2"/>
      <c r="F478" s="2"/>
      <c r="G478" s="2"/>
      <c r="H478" s="2"/>
      <c r="I478" s="2"/>
      <c r="J478" s="2"/>
      <c r="K478" s="2" t="str">
        <f t="shared" si="2"/>
        <v/>
      </c>
      <c r="L478" s="2" t="str">
        <f t="shared" si="3"/>
        <v>No</v>
      </c>
      <c r="M478" s="2" t="str">
        <f>IF(K478="","",F478*VLOOKUP(E478,WEIGHTS!$A$2:$F$4,2,FALSE)+G478*VLOOKUP(E478,WEIGHTS!$A$2:$F$4,3,FALSE)+H478*VLOOKUP(E478,WEIGHTS!$A$2:$F$4,4,FALSE)+I478*VLOOKUP(E478,WEIGHTS!$A$2:$F$4,5,FALSE)+J478*VLOOKUP(E478,WEIGHTS!$A$2:$F$4,6,FALSE))</f>
        <v/>
      </c>
      <c r="N478" s="2" t="str">
        <f t="shared" si="4"/>
        <v/>
      </c>
    </row>
    <row r="479" ht="15.75" customHeight="1">
      <c r="A479" s="3"/>
      <c r="B479" s="2" t="str">
        <f t="shared" si="1"/>
        <v/>
      </c>
      <c r="E479" s="2"/>
      <c r="F479" s="2"/>
      <c r="G479" s="2"/>
      <c r="H479" s="2"/>
      <c r="I479" s="2"/>
      <c r="J479" s="2"/>
      <c r="K479" s="2" t="str">
        <f t="shared" si="2"/>
        <v/>
      </c>
      <c r="L479" s="2" t="str">
        <f t="shared" si="3"/>
        <v>No</v>
      </c>
      <c r="M479" s="2" t="str">
        <f>IF(K479="","",F479*VLOOKUP(E479,WEIGHTS!$A$2:$F$4,2,FALSE)+G479*VLOOKUP(E479,WEIGHTS!$A$2:$F$4,3,FALSE)+H479*VLOOKUP(E479,WEIGHTS!$A$2:$F$4,4,FALSE)+I479*VLOOKUP(E479,WEIGHTS!$A$2:$F$4,5,FALSE)+J479*VLOOKUP(E479,WEIGHTS!$A$2:$F$4,6,FALSE))</f>
        <v/>
      </c>
      <c r="N479" s="2" t="str">
        <f t="shared" si="4"/>
        <v/>
      </c>
    </row>
    <row r="480" ht="15.75" customHeight="1">
      <c r="A480" s="3"/>
      <c r="B480" s="2" t="str">
        <f t="shared" si="1"/>
        <v/>
      </c>
      <c r="E480" s="2"/>
      <c r="F480" s="2"/>
      <c r="G480" s="2"/>
      <c r="H480" s="2"/>
      <c r="I480" s="2"/>
      <c r="J480" s="2"/>
      <c r="K480" s="2" t="str">
        <f t="shared" si="2"/>
        <v/>
      </c>
      <c r="L480" s="2" t="str">
        <f t="shared" si="3"/>
        <v>No</v>
      </c>
      <c r="M480" s="2" t="str">
        <f>IF(K480="","",F480*VLOOKUP(E480,WEIGHTS!$A$2:$F$4,2,FALSE)+G480*VLOOKUP(E480,WEIGHTS!$A$2:$F$4,3,FALSE)+H480*VLOOKUP(E480,WEIGHTS!$A$2:$F$4,4,FALSE)+I480*VLOOKUP(E480,WEIGHTS!$A$2:$F$4,5,FALSE)+J480*VLOOKUP(E480,WEIGHTS!$A$2:$F$4,6,FALSE))</f>
        <v/>
      </c>
      <c r="N480" s="2" t="str">
        <f t="shared" si="4"/>
        <v/>
      </c>
    </row>
    <row r="481" ht="15.75" customHeight="1">
      <c r="A481" s="3"/>
      <c r="B481" s="2" t="str">
        <f t="shared" si="1"/>
        <v/>
      </c>
      <c r="E481" s="2"/>
      <c r="F481" s="2"/>
      <c r="G481" s="2"/>
      <c r="H481" s="2"/>
      <c r="I481" s="2"/>
      <c r="J481" s="2"/>
      <c r="K481" s="2" t="str">
        <f t="shared" si="2"/>
        <v/>
      </c>
      <c r="L481" s="2" t="str">
        <f t="shared" si="3"/>
        <v>No</v>
      </c>
      <c r="M481" s="2" t="str">
        <f>IF(K481="","",F481*VLOOKUP(E481,WEIGHTS!$A$2:$F$4,2,FALSE)+G481*VLOOKUP(E481,WEIGHTS!$A$2:$F$4,3,FALSE)+H481*VLOOKUP(E481,WEIGHTS!$A$2:$F$4,4,FALSE)+I481*VLOOKUP(E481,WEIGHTS!$A$2:$F$4,5,FALSE)+J481*VLOOKUP(E481,WEIGHTS!$A$2:$F$4,6,FALSE))</f>
        <v/>
      </c>
      <c r="N481" s="2" t="str">
        <f t="shared" si="4"/>
        <v/>
      </c>
    </row>
    <row r="482" ht="15.75" customHeight="1">
      <c r="A482" s="3"/>
      <c r="B482" s="2" t="str">
        <f t="shared" si="1"/>
        <v/>
      </c>
      <c r="E482" s="2"/>
      <c r="F482" s="2"/>
      <c r="G482" s="2"/>
      <c r="H482" s="2"/>
      <c r="I482" s="2"/>
      <c r="J482" s="2"/>
      <c r="K482" s="2" t="str">
        <f t="shared" si="2"/>
        <v/>
      </c>
      <c r="L482" s="2" t="str">
        <f t="shared" si="3"/>
        <v>No</v>
      </c>
      <c r="M482" s="2" t="str">
        <f>IF(K482="","",F482*VLOOKUP(E482,WEIGHTS!$A$2:$F$4,2,FALSE)+G482*VLOOKUP(E482,WEIGHTS!$A$2:$F$4,3,FALSE)+H482*VLOOKUP(E482,WEIGHTS!$A$2:$F$4,4,FALSE)+I482*VLOOKUP(E482,WEIGHTS!$A$2:$F$4,5,FALSE)+J482*VLOOKUP(E482,WEIGHTS!$A$2:$F$4,6,FALSE))</f>
        <v/>
      </c>
      <c r="N482" s="2" t="str">
        <f t="shared" si="4"/>
        <v/>
      </c>
    </row>
    <row r="483" ht="15.75" customHeight="1">
      <c r="A483" s="3"/>
      <c r="B483" s="2" t="str">
        <f t="shared" si="1"/>
        <v/>
      </c>
      <c r="E483" s="2"/>
      <c r="F483" s="2"/>
      <c r="G483" s="2"/>
      <c r="H483" s="2"/>
      <c r="I483" s="2"/>
      <c r="J483" s="2"/>
      <c r="K483" s="2" t="str">
        <f t="shared" si="2"/>
        <v/>
      </c>
      <c r="L483" s="2" t="str">
        <f t="shared" si="3"/>
        <v>No</v>
      </c>
      <c r="M483" s="2" t="str">
        <f>IF(K483="","",F483*VLOOKUP(E483,WEIGHTS!$A$2:$F$4,2,FALSE)+G483*VLOOKUP(E483,WEIGHTS!$A$2:$F$4,3,FALSE)+H483*VLOOKUP(E483,WEIGHTS!$A$2:$F$4,4,FALSE)+I483*VLOOKUP(E483,WEIGHTS!$A$2:$F$4,5,FALSE)+J483*VLOOKUP(E483,WEIGHTS!$A$2:$F$4,6,FALSE))</f>
        <v/>
      </c>
      <c r="N483" s="2" t="str">
        <f t="shared" si="4"/>
        <v/>
      </c>
    </row>
    <row r="484" ht="15.75" customHeight="1">
      <c r="A484" s="3"/>
      <c r="B484" s="2" t="str">
        <f t="shared" si="1"/>
        <v/>
      </c>
      <c r="E484" s="2"/>
      <c r="F484" s="2"/>
      <c r="G484" s="2"/>
      <c r="H484" s="2"/>
      <c r="I484" s="2"/>
      <c r="J484" s="2"/>
      <c r="K484" s="2" t="str">
        <f t="shared" si="2"/>
        <v/>
      </c>
      <c r="L484" s="2" t="str">
        <f t="shared" si="3"/>
        <v>No</v>
      </c>
      <c r="M484" s="2" t="str">
        <f>IF(K484="","",F484*VLOOKUP(E484,WEIGHTS!$A$2:$F$4,2,FALSE)+G484*VLOOKUP(E484,WEIGHTS!$A$2:$F$4,3,FALSE)+H484*VLOOKUP(E484,WEIGHTS!$A$2:$F$4,4,FALSE)+I484*VLOOKUP(E484,WEIGHTS!$A$2:$F$4,5,FALSE)+J484*VLOOKUP(E484,WEIGHTS!$A$2:$F$4,6,FALSE))</f>
        <v/>
      </c>
      <c r="N484" s="2" t="str">
        <f t="shared" si="4"/>
        <v/>
      </c>
    </row>
    <row r="485" ht="15.75" customHeight="1">
      <c r="A485" s="3"/>
      <c r="B485" s="2" t="str">
        <f t="shared" si="1"/>
        <v/>
      </c>
      <c r="E485" s="2"/>
      <c r="F485" s="2"/>
      <c r="G485" s="2"/>
      <c r="H485" s="2"/>
      <c r="I485" s="2"/>
      <c r="J485" s="2"/>
      <c r="K485" s="2" t="str">
        <f t="shared" si="2"/>
        <v/>
      </c>
      <c r="L485" s="2" t="str">
        <f t="shared" si="3"/>
        <v>No</v>
      </c>
      <c r="M485" s="2" t="str">
        <f>IF(K485="","",F485*VLOOKUP(E485,WEIGHTS!$A$2:$F$4,2,FALSE)+G485*VLOOKUP(E485,WEIGHTS!$A$2:$F$4,3,FALSE)+H485*VLOOKUP(E485,WEIGHTS!$A$2:$F$4,4,FALSE)+I485*VLOOKUP(E485,WEIGHTS!$A$2:$F$4,5,FALSE)+J485*VLOOKUP(E485,WEIGHTS!$A$2:$F$4,6,FALSE))</f>
        <v/>
      </c>
      <c r="N485" s="2" t="str">
        <f t="shared" si="4"/>
        <v/>
      </c>
    </row>
    <row r="486" ht="15.75" customHeight="1">
      <c r="A486" s="3"/>
      <c r="B486" s="2" t="str">
        <f t="shared" si="1"/>
        <v/>
      </c>
      <c r="E486" s="2"/>
      <c r="F486" s="2"/>
      <c r="G486" s="2"/>
      <c r="H486" s="2"/>
      <c r="I486" s="2"/>
      <c r="J486" s="2"/>
      <c r="K486" s="2" t="str">
        <f t="shared" si="2"/>
        <v/>
      </c>
      <c r="L486" s="2" t="str">
        <f t="shared" si="3"/>
        <v>No</v>
      </c>
      <c r="M486" s="2" t="str">
        <f>IF(K486="","",F486*VLOOKUP(E486,WEIGHTS!$A$2:$F$4,2,FALSE)+G486*VLOOKUP(E486,WEIGHTS!$A$2:$F$4,3,FALSE)+H486*VLOOKUP(E486,WEIGHTS!$A$2:$F$4,4,FALSE)+I486*VLOOKUP(E486,WEIGHTS!$A$2:$F$4,5,FALSE)+J486*VLOOKUP(E486,WEIGHTS!$A$2:$F$4,6,FALSE))</f>
        <v/>
      </c>
      <c r="N486" s="2" t="str">
        <f t="shared" si="4"/>
        <v/>
      </c>
    </row>
    <row r="487" ht="15.75" customHeight="1">
      <c r="A487" s="3"/>
      <c r="B487" s="2" t="str">
        <f t="shared" si="1"/>
        <v/>
      </c>
      <c r="E487" s="2"/>
      <c r="F487" s="2"/>
      <c r="G487" s="2"/>
      <c r="H487" s="2"/>
      <c r="I487" s="2"/>
      <c r="J487" s="2"/>
      <c r="K487" s="2" t="str">
        <f t="shared" si="2"/>
        <v/>
      </c>
      <c r="L487" s="2" t="str">
        <f t="shared" si="3"/>
        <v>No</v>
      </c>
      <c r="M487" s="2" t="str">
        <f>IF(K487="","",F487*VLOOKUP(E487,WEIGHTS!$A$2:$F$4,2,FALSE)+G487*VLOOKUP(E487,WEIGHTS!$A$2:$F$4,3,FALSE)+H487*VLOOKUP(E487,WEIGHTS!$A$2:$F$4,4,FALSE)+I487*VLOOKUP(E487,WEIGHTS!$A$2:$F$4,5,FALSE)+J487*VLOOKUP(E487,WEIGHTS!$A$2:$F$4,6,FALSE))</f>
        <v/>
      </c>
      <c r="N487" s="2" t="str">
        <f t="shared" si="4"/>
        <v/>
      </c>
    </row>
    <row r="488" ht="15.75" customHeight="1">
      <c r="A488" s="3"/>
      <c r="B488" s="2" t="str">
        <f t="shared" si="1"/>
        <v/>
      </c>
      <c r="E488" s="2"/>
      <c r="F488" s="2"/>
      <c r="G488" s="2"/>
      <c r="H488" s="2"/>
      <c r="I488" s="2"/>
      <c r="J488" s="2"/>
      <c r="K488" s="2" t="str">
        <f t="shared" si="2"/>
        <v/>
      </c>
      <c r="L488" s="2" t="str">
        <f t="shared" si="3"/>
        <v>No</v>
      </c>
      <c r="M488" s="2" t="str">
        <f>IF(K488="","",F488*VLOOKUP(E488,WEIGHTS!$A$2:$F$4,2,FALSE)+G488*VLOOKUP(E488,WEIGHTS!$A$2:$F$4,3,FALSE)+H488*VLOOKUP(E488,WEIGHTS!$A$2:$F$4,4,FALSE)+I488*VLOOKUP(E488,WEIGHTS!$A$2:$F$4,5,FALSE)+J488*VLOOKUP(E488,WEIGHTS!$A$2:$F$4,6,FALSE))</f>
        <v/>
      </c>
      <c r="N488" s="2" t="str">
        <f t="shared" si="4"/>
        <v/>
      </c>
    </row>
    <row r="489" ht="15.75" customHeight="1">
      <c r="A489" s="3"/>
      <c r="B489" s="2" t="str">
        <f t="shared" si="1"/>
        <v/>
      </c>
      <c r="E489" s="2"/>
      <c r="F489" s="2"/>
      <c r="G489" s="2"/>
      <c r="H489" s="2"/>
      <c r="I489" s="2"/>
      <c r="J489" s="2"/>
      <c r="K489" s="2" t="str">
        <f t="shared" si="2"/>
        <v/>
      </c>
      <c r="L489" s="2" t="str">
        <f t="shared" si="3"/>
        <v>No</v>
      </c>
      <c r="M489" s="2" t="str">
        <f>IF(K489="","",F489*VLOOKUP(E489,WEIGHTS!$A$2:$F$4,2,FALSE)+G489*VLOOKUP(E489,WEIGHTS!$A$2:$F$4,3,FALSE)+H489*VLOOKUP(E489,WEIGHTS!$A$2:$F$4,4,FALSE)+I489*VLOOKUP(E489,WEIGHTS!$A$2:$F$4,5,FALSE)+J489*VLOOKUP(E489,WEIGHTS!$A$2:$F$4,6,FALSE))</f>
        <v/>
      </c>
      <c r="N489" s="2" t="str">
        <f t="shared" si="4"/>
        <v/>
      </c>
    </row>
    <row r="490" ht="15.75" customHeight="1">
      <c r="A490" s="3"/>
      <c r="B490" s="2" t="str">
        <f t="shared" si="1"/>
        <v/>
      </c>
      <c r="E490" s="2"/>
      <c r="F490" s="2"/>
      <c r="G490" s="2"/>
      <c r="H490" s="2"/>
      <c r="I490" s="2"/>
      <c r="J490" s="2"/>
      <c r="K490" s="2" t="str">
        <f t="shared" si="2"/>
        <v/>
      </c>
      <c r="L490" s="2" t="str">
        <f t="shared" si="3"/>
        <v>No</v>
      </c>
      <c r="M490" s="2" t="str">
        <f>IF(K490="","",F490*VLOOKUP(E490,WEIGHTS!$A$2:$F$4,2,FALSE)+G490*VLOOKUP(E490,WEIGHTS!$A$2:$F$4,3,FALSE)+H490*VLOOKUP(E490,WEIGHTS!$A$2:$F$4,4,FALSE)+I490*VLOOKUP(E490,WEIGHTS!$A$2:$F$4,5,FALSE)+J490*VLOOKUP(E490,WEIGHTS!$A$2:$F$4,6,FALSE))</f>
        <v/>
      </c>
      <c r="N490" s="2" t="str">
        <f t="shared" si="4"/>
        <v/>
      </c>
    </row>
    <row r="491" ht="15.75" customHeight="1">
      <c r="A491" s="3"/>
      <c r="B491" s="2" t="str">
        <f t="shared" si="1"/>
        <v/>
      </c>
      <c r="E491" s="2"/>
      <c r="F491" s="2"/>
      <c r="G491" s="2"/>
      <c r="H491" s="2"/>
      <c r="I491" s="2"/>
      <c r="J491" s="2"/>
      <c r="K491" s="2" t="str">
        <f t="shared" si="2"/>
        <v/>
      </c>
      <c r="L491" s="2" t="str">
        <f t="shared" si="3"/>
        <v>No</v>
      </c>
      <c r="M491" s="2" t="str">
        <f>IF(K491="","",F491*VLOOKUP(E491,WEIGHTS!$A$2:$F$4,2,FALSE)+G491*VLOOKUP(E491,WEIGHTS!$A$2:$F$4,3,FALSE)+H491*VLOOKUP(E491,WEIGHTS!$A$2:$F$4,4,FALSE)+I491*VLOOKUP(E491,WEIGHTS!$A$2:$F$4,5,FALSE)+J491*VLOOKUP(E491,WEIGHTS!$A$2:$F$4,6,FALSE))</f>
        <v/>
      </c>
      <c r="N491" s="2" t="str">
        <f t="shared" si="4"/>
        <v/>
      </c>
    </row>
    <row r="492" ht="15.75" customHeight="1">
      <c r="A492" s="3"/>
      <c r="B492" s="2" t="str">
        <f t="shared" si="1"/>
        <v/>
      </c>
      <c r="E492" s="2"/>
      <c r="F492" s="2"/>
      <c r="G492" s="2"/>
      <c r="H492" s="2"/>
      <c r="I492" s="2"/>
      <c r="J492" s="2"/>
      <c r="K492" s="2" t="str">
        <f t="shared" si="2"/>
        <v/>
      </c>
      <c r="L492" s="2" t="str">
        <f t="shared" si="3"/>
        <v>No</v>
      </c>
      <c r="M492" s="2" t="str">
        <f>IF(K492="","",F492*VLOOKUP(E492,WEIGHTS!$A$2:$F$4,2,FALSE)+G492*VLOOKUP(E492,WEIGHTS!$A$2:$F$4,3,FALSE)+H492*VLOOKUP(E492,WEIGHTS!$A$2:$F$4,4,FALSE)+I492*VLOOKUP(E492,WEIGHTS!$A$2:$F$4,5,FALSE)+J492*VLOOKUP(E492,WEIGHTS!$A$2:$F$4,6,FALSE))</f>
        <v/>
      </c>
      <c r="N492" s="2" t="str">
        <f t="shared" si="4"/>
        <v/>
      </c>
    </row>
    <row r="493" ht="15.75" customHeight="1">
      <c r="A493" s="3"/>
      <c r="B493" s="2" t="str">
        <f t="shared" si="1"/>
        <v/>
      </c>
      <c r="E493" s="2"/>
      <c r="F493" s="2"/>
      <c r="G493" s="2"/>
      <c r="H493" s="2"/>
      <c r="I493" s="2"/>
      <c r="J493" s="2"/>
      <c r="K493" s="2" t="str">
        <f t="shared" si="2"/>
        <v/>
      </c>
      <c r="L493" s="2" t="str">
        <f t="shared" si="3"/>
        <v>No</v>
      </c>
      <c r="M493" s="2" t="str">
        <f>IF(K493="","",F493*VLOOKUP(E493,WEIGHTS!$A$2:$F$4,2,FALSE)+G493*VLOOKUP(E493,WEIGHTS!$A$2:$F$4,3,FALSE)+H493*VLOOKUP(E493,WEIGHTS!$A$2:$F$4,4,FALSE)+I493*VLOOKUP(E493,WEIGHTS!$A$2:$F$4,5,FALSE)+J493*VLOOKUP(E493,WEIGHTS!$A$2:$F$4,6,FALSE))</f>
        <v/>
      </c>
      <c r="N493" s="2" t="str">
        <f t="shared" si="4"/>
        <v/>
      </c>
    </row>
    <row r="494" ht="15.75" customHeight="1">
      <c r="A494" s="3"/>
      <c r="B494" s="2" t="str">
        <f t="shared" si="1"/>
        <v/>
      </c>
      <c r="E494" s="2"/>
      <c r="F494" s="2"/>
      <c r="G494" s="2"/>
      <c r="H494" s="2"/>
      <c r="I494" s="2"/>
      <c r="J494" s="2"/>
      <c r="K494" s="2" t="str">
        <f t="shared" si="2"/>
        <v/>
      </c>
      <c r="L494" s="2" t="str">
        <f t="shared" si="3"/>
        <v>No</v>
      </c>
      <c r="M494" s="2" t="str">
        <f>IF(K494="","",F494*VLOOKUP(E494,WEIGHTS!$A$2:$F$4,2,FALSE)+G494*VLOOKUP(E494,WEIGHTS!$A$2:$F$4,3,FALSE)+H494*VLOOKUP(E494,WEIGHTS!$A$2:$F$4,4,FALSE)+I494*VLOOKUP(E494,WEIGHTS!$A$2:$F$4,5,FALSE)+J494*VLOOKUP(E494,WEIGHTS!$A$2:$F$4,6,FALSE))</f>
        <v/>
      </c>
      <c r="N494" s="2" t="str">
        <f t="shared" si="4"/>
        <v/>
      </c>
    </row>
    <row r="495" ht="15.75" customHeight="1">
      <c r="A495" s="3"/>
      <c r="B495" s="2" t="str">
        <f t="shared" si="1"/>
        <v/>
      </c>
      <c r="E495" s="2"/>
      <c r="F495" s="2"/>
      <c r="G495" s="2"/>
      <c r="H495" s="2"/>
      <c r="I495" s="2"/>
      <c r="J495" s="2"/>
      <c r="K495" s="2" t="str">
        <f t="shared" si="2"/>
        <v/>
      </c>
      <c r="L495" s="2" t="str">
        <f t="shared" si="3"/>
        <v>No</v>
      </c>
      <c r="M495" s="2" t="str">
        <f>IF(K495="","",F495*VLOOKUP(E495,WEIGHTS!$A$2:$F$4,2,FALSE)+G495*VLOOKUP(E495,WEIGHTS!$A$2:$F$4,3,FALSE)+H495*VLOOKUP(E495,WEIGHTS!$A$2:$F$4,4,FALSE)+I495*VLOOKUP(E495,WEIGHTS!$A$2:$F$4,5,FALSE)+J495*VLOOKUP(E495,WEIGHTS!$A$2:$F$4,6,FALSE))</f>
        <v/>
      </c>
      <c r="N495" s="2" t="str">
        <f t="shared" si="4"/>
        <v/>
      </c>
    </row>
    <row r="496" ht="15.75" customHeight="1">
      <c r="A496" s="3"/>
      <c r="B496" s="2" t="str">
        <f t="shared" si="1"/>
        <v/>
      </c>
      <c r="E496" s="2"/>
      <c r="F496" s="2"/>
      <c r="G496" s="2"/>
      <c r="H496" s="2"/>
      <c r="I496" s="2"/>
      <c r="J496" s="2"/>
      <c r="K496" s="2" t="str">
        <f t="shared" si="2"/>
        <v/>
      </c>
      <c r="L496" s="2" t="str">
        <f t="shared" si="3"/>
        <v>No</v>
      </c>
      <c r="M496" s="2" t="str">
        <f>IF(K496="","",F496*VLOOKUP(E496,WEIGHTS!$A$2:$F$4,2,FALSE)+G496*VLOOKUP(E496,WEIGHTS!$A$2:$F$4,3,FALSE)+H496*VLOOKUP(E496,WEIGHTS!$A$2:$F$4,4,FALSE)+I496*VLOOKUP(E496,WEIGHTS!$A$2:$F$4,5,FALSE)+J496*VLOOKUP(E496,WEIGHTS!$A$2:$F$4,6,FALSE))</f>
        <v/>
      </c>
      <c r="N496" s="2" t="str">
        <f t="shared" si="4"/>
        <v/>
      </c>
    </row>
    <row r="497" ht="15.75" customHeight="1">
      <c r="A497" s="3"/>
      <c r="B497" s="2" t="str">
        <f t="shared" si="1"/>
        <v/>
      </c>
      <c r="E497" s="2"/>
      <c r="F497" s="2"/>
      <c r="G497" s="2"/>
      <c r="H497" s="2"/>
      <c r="I497" s="2"/>
      <c r="J497" s="2"/>
      <c r="K497" s="2" t="str">
        <f t="shared" si="2"/>
        <v/>
      </c>
      <c r="L497" s="2" t="str">
        <f t="shared" si="3"/>
        <v>No</v>
      </c>
      <c r="M497" s="2" t="str">
        <f>IF(K497="","",F497*VLOOKUP(E497,WEIGHTS!$A$2:$F$4,2,FALSE)+G497*VLOOKUP(E497,WEIGHTS!$A$2:$F$4,3,FALSE)+H497*VLOOKUP(E497,WEIGHTS!$A$2:$F$4,4,FALSE)+I497*VLOOKUP(E497,WEIGHTS!$A$2:$F$4,5,FALSE)+J497*VLOOKUP(E497,WEIGHTS!$A$2:$F$4,6,FALSE))</f>
        <v/>
      </c>
      <c r="N497" s="2" t="str">
        <f t="shared" si="4"/>
        <v/>
      </c>
    </row>
    <row r="498" ht="15.75" customHeight="1">
      <c r="A498" s="3"/>
      <c r="B498" s="2" t="str">
        <f t="shared" si="1"/>
        <v/>
      </c>
      <c r="E498" s="2"/>
      <c r="F498" s="2"/>
      <c r="G498" s="2"/>
      <c r="H498" s="2"/>
      <c r="I498" s="2"/>
      <c r="J498" s="2"/>
      <c r="K498" s="2" t="str">
        <f t="shared" si="2"/>
        <v/>
      </c>
      <c r="L498" s="2" t="str">
        <f t="shared" si="3"/>
        <v>No</v>
      </c>
      <c r="M498" s="2" t="str">
        <f>IF(K498="","",F498*VLOOKUP(E498,WEIGHTS!$A$2:$F$4,2,FALSE)+G498*VLOOKUP(E498,WEIGHTS!$A$2:$F$4,3,FALSE)+H498*VLOOKUP(E498,WEIGHTS!$A$2:$F$4,4,FALSE)+I498*VLOOKUP(E498,WEIGHTS!$A$2:$F$4,5,FALSE)+J498*VLOOKUP(E498,WEIGHTS!$A$2:$F$4,6,FALSE))</f>
        <v/>
      </c>
      <c r="N498" s="2" t="str">
        <f t="shared" si="4"/>
        <v/>
      </c>
    </row>
    <row r="499" ht="15.75" customHeight="1">
      <c r="A499" s="3"/>
      <c r="B499" s="2" t="str">
        <f t="shared" si="1"/>
        <v/>
      </c>
      <c r="E499" s="2"/>
      <c r="F499" s="2"/>
      <c r="G499" s="2"/>
      <c r="H499" s="2"/>
      <c r="I499" s="2"/>
      <c r="J499" s="2"/>
      <c r="K499" s="2" t="str">
        <f t="shared" si="2"/>
        <v/>
      </c>
      <c r="L499" s="2" t="str">
        <f t="shared" si="3"/>
        <v>No</v>
      </c>
      <c r="M499" s="2" t="str">
        <f>IF(K499="","",F499*VLOOKUP(E499,WEIGHTS!$A$2:$F$4,2,FALSE)+G499*VLOOKUP(E499,WEIGHTS!$A$2:$F$4,3,FALSE)+H499*VLOOKUP(E499,WEIGHTS!$A$2:$F$4,4,FALSE)+I499*VLOOKUP(E499,WEIGHTS!$A$2:$F$4,5,FALSE)+J499*VLOOKUP(E499,WEIGHTS!$A$2:$F$4,6,FALSE))</f>
        <v/>
      </c>
      <c r="N499" s="2" t="str">
        <f t="shared" si="4"/>
        <v/>
      </c>
    </row>
    <row r="500" ht="15.75" customHeight="1">
      <c r="A500" s="3"/>
      <c r="B500" s="2" t="str">
        <f t="shared" si="1"/>
        <v/>
      </c>
      <c r="E500" s="2"/>
      <c r="F500" s="2"/>
      <c r="G500" s="2"/>
      <c r="H500" s="2"/>
      <c r="I500" s="2"/>
      <c r="J500" s="2"/>
      <c r="K500" s="2" t="str">
        <f t="shared" si="2"/>
        <v/>
      </c>
      <c r="L500" s="2" t="str">
        <f t="shared" si="3"/>
        <v>No</v>
      </c>
      <c r="M500" s="2" t="str">
        <f>IF(K500="","",F500*VLOOKUP(E500,WEIGHTS!$A$2:$F$4,2,FALSE)+G500*VLOOKUP(E500,WEIGHTS!$A$2:$F$4,3,FALSE)+H500*VLOOKUP(E500,WEIGHTS!$A$2:$F$4,4,FALSE)+I500*VLOOKUP(E500,WEIGHTS!$A$2:$F$4,5,FALSE)+J500*VLOOKUP(E500,WEIGHTS!$A$2:$F$4,6,FALSE))</f>
        <v/>
      </c>
      <c r="N500" s="2" t="str">
        <f t="shared" si="4"/>
        <v/>
      </c>
    </row>
    <row r="501" ht="15.75" customHeight="1">
      <c r="A501" s="3"/>
      <c r="B501" s="2" t="str">
        <f t="shared" si="1"/>
        <v/>
      </c>
      <c r="E501" s="2"/>
      <c r="F501" s="2"/>
      <c r="G501" s="2"/>
      <c r="H501" s="2"/>
      <c r="I501" s="2"/>
      <c r="J501" s="2"/>
      <c r="K501" s="2" t="str">
        <f t="shared" si="2"/>
        <v/>
      </c>
      <c r="L501" s="2" t="str">
        <f t="shared" si="3"/>
        <v>No</v>
      </c>
      <c r="M501" s="2" t="str">
        <f>IF(K501="","",F501*VLOOKUP(E501,WEIGHTS!$A$2:$F$4,2,FALSE)+G501*VLOOKUP(E501,WEIGHTS!$A$2:$F$4,3,FALSE)+H501*VLOOKUP(E501,WEIGHTS!$A$2:$F$4,4,FALSE)+I501*VLOOKUP(E501,WEIGHTS!$A$2:$F$4,5,FALSE)+J501*VLOOKUP(E501,WEIGHTS!$A$2:$F$4,6,FALSE))</f>
        <v/>
      </c>
      <c r="N501" s="2" t="str">
        <f t="shared" si="4"/>
        <v/>
      </c>
    </row>
    <row r="502" ht="15.75" customHeight="1">
      <c r="A502" s="3"/>
      <c r="B502" s="2" t="str">
        <f t="shared" si="1"/>
        <v/>
      </c>
      <c r="E502" s="2"/>
      <c r="F502" s="2"/>
      <c r="G502" s="2"/>
      <c r="H502" s="2"/>
      <c r="I502" s="2"/>
      <c r="J502" s="2"/>
      <c r="K502" s="2" t="str">
        <f t="shared" si="2"/>
        <v/>
      </c>
      <c r="L502" s="2" t="str">
        <f t="shared" si="3"/>
        <v>No</v>
      </c>
      <c r="M502" s="2" t="str">
        <f>IF(K502="","",F502*VLOOKUP(E502,WEIGHTS!$A$2:$F$4,2,FALSE)+G502*VLOOKUP(E502,WEIGHTS!$A$2:$F$4,3,FALSE)+H502*VLOOKUP(E502,WEIGHTS!$A$2:$F$4,4,FALSE)+I502*VLOOKUP(E502,WEIGHTS!$A$2:$F$4,5,FALSE)+J502*VLOOKUP(E502,WEIGHTS!$A$2:$F$4,6,FALSE))</f>
        <v/>
      </c>
      <c r="N502" s="2" t="str">
        <f t="shared" si="4"/>
        <v/>
      </c>
    </row>
    <row r="503" ht="15.75" customHeight="1">
      <c r="A503" s="3"/>
      <c r="B503" s="2" t="str">
        <f t="shared" si="1"/>
        <v/>
      </c>
      <c r="E503" s="2"/>
      <c r="F503" s="2"/>
      <c r="G503" s="2"/>
      <c r="H503" s="2"/>
      <c r="I503" s="2"/>
      <c r="J503" s="2"/>
      <c r="K503" s="2" t="str">
        <f t="shared" si="2"/>
        <v/>
      </c>
      <c r="L503" s="2" t="str">
        <f t="shared" si="3"/>
        <v>No</v>
      </c>
      <c r="M503" s="2" t="str">
        <f>IF(K503="","",F503*VLOOKUP(E503,WEIGHTS!$A$2:$F$4,2,FALSE)+G503*VLOOKUP(E503,WEIGHTS!$A$2:$F$4,3,FALSE)+H503*VLOOKUP(E503,WEIGHTS!$A$2:$F$4,4,FALSE)+I503*VLOOKUP(E503,WEIGHTS!$A$2:$F$4,5,FALSE)+J503*VLOOKUP(E503,WEIGHTS!$A$2:$F$4,6,FALSE))</f>
        <v/>
      </c>
      <c r="N503" s="2" t="str">
        <f t="shared" si="4"/>
        <v/>
      </c>
    </row>
    <row r="504" ht="15.75" customHeight="1">
      <c r="A504" s="3"/>
      <c r="B504" s="2" t="str">
        <f t="shared" si="1"/>
        <v/>
      </c>
      <c r="E504" s="2"/>
      <c r="F504" s="2"/>
      <c r="G504" s="2"/>
      <c r="H504" s="2"/>
      <c r="I504" s="2"/>
      <c r="J504" s="2"/>
      <c r="K504" s="2" t="str">
        <f t="shared" si="2"/>
        <v/>
      </c>
      <c r="L504" s="2" t="str">
        <f t="shared" si="3"/>
        <v>No</v>
      </c>
      <c r="M504" s="2" t="str">
        <f>IF(K504="","",F504*VLOOKUP(E504,WEIGHTS!$A$2:$F$4,2,FALSE)+G504*VLOOKUP(E504,WEIGHTS!$A$2:$F$4,3,FALSE)+H504*VLOOKUP(E504,WEIGHTS!$A$2:$F$4,4,FALSE)+I504*VLOOKUP(E504,WEIGHTS!$A$2:$F$4,5,FALSE)+J504*VLOOKUP(E504,WEIGHTS!$A$2:$F$4,6,FALSE))</f>
        <v/>
      </c>
      <c r="N504" s="2" t="str">
        <f t="shared" si="4"/>
        <v/>
      </c>
    </row>
    <row r="505" ht="15.75" customHeight="1">
      <c r="A505" s="3"/>
      <c r="B505" s="2" t="str">
        <f t="shared" si="1"/>
        <v/>
      </c>
      <c r="E505" s="2"/>
      <c r="F505" s="2"/>
      <c r="G505" s="2"/>
      <c r="H505" s="2"/>
      <c r="I505" s="2"/>
      <c r="J505" s="2"/>
      <c r="K505" s="2" t="str">
        <f t="shared" si="2"/>
        <v/>
      </c>
      <c r="L505" s="2" t="str">
        <f t="shared" si="3"/>
        <v>No</v>
      </c>
      <c r="M505" s="2" t="str">
        <f>IF(K505="","",F505*VLOOKUP(E505,WEIGHTS!$A$2:$F$4,2,FALSE)+G505*VLOOKUP(E505,WEIGHTS!$A$2:$F$4,3,FALSE)+H505*VLOOKUP(E505,WEIGHTS!$A$2:$F$4,4,FALSE)+I505*VLOOKUP(E505,WEIGHTS!$A$2:$F$4,5,FALSE)+J505*VLOOKUP(E505,WEIGHTS!$A$2:$F$4,6,FALSE))</f>
        <v/>
      </c>
      <c r="N505" s="2" t="str">
        <f t="shared" si="4"/>
        <v/>
      </c>
    </row>
    <row r="506" ht="15.75" customHeight="1">
      <c r="A506" s="3"/>
      <c r="B506" s="2" t="str">
        <f t="shared" si="1"/>
        <v/>
      </c>
      <c r="E506" s="2"/>
      <c r="F506" s="2"/>
      <c r="G506" s="2"/>
      <c r="H506" s="2"/>
      <c r="I506" s="2"/>
      <c r="J506" s="2"/>
      <c r="K506" s="2" t="str">
        <f t="shared" si="2"/>
        <v/>
      </c>
      <c r="L506" s="2" t="str">
        <f t="shared" si="3"/>
        <v>No</v>
      </c>
      <c r="M506" s="2" t="str">
        <f>IF(K506="","",F506*VLOOKUP(E506,WEIGHTS!$A$2:$F$4,2,FALSE)+G506*VLOOKUP(E506,WEIGHTS!$A$2:$F$4,3,FALSE)+H506*VLOOKUP(E506,WEIGHTS!$A$2:$F$4,4,FALSE)+I506*VLOOKUP(E506,WEIGHTS!$A$2:$F$4,5,FALSE)+J506*VLOOKUP(E506,WEIGHTS!$A$2:$F$4,6,FALSE))</f>
        <v/>
      </c>
      <c r="N506" s="2" t="str">
        <f t="shared" si="4"/>
        <v/>
      </c>
    </row>
    <row r="507" ht="15.75" customHeight="1">
      <c r="A507" s="3"/>
      <c r="B507" s="2" t="str">
        <f t="shared" si="1"/>
        <v/>
      </c>
      <c r="E507" s="2"/>
      <c r="F507" s="2"/>
      <c r="G507" s="2"/>
      <c r="H507" s="2"/>
      <c r="I507" s="2"/>
      <c r="J507" s="2"/>
      <c r="K507" s="2" t="str">
        <f t="shared" si="2"/>
        <v/>
      </c>
      <c r="L507" s="2" t="str">
        <f t="shared" si="3"/>
        <v>No</v>
      </c>
      <c r="M507" s="2" t="str">
        <f>IF(K507="","",F507*VLOOKUP(E507,WEIGHTS!$A$2:$F$4,2,FALSE)+G507*VLOOKUP(E507,WEIGHTS!$A$2:$F$4,3,FALSE)+H507*VLOOKUP(E507,WEIGHTS!$A$2:$F$4,4,FALSE)+I507*VLOOKUP(E507,WEIGHTS!$A$2:$F$4,5,FALSE)+J507*VLOOKUP(E507,WEIGHTS!$A$2:$F$4,6,FALSE))</f>
        <v/>
      </c>
      <c r="N507" s="2" t="str">
        <f t="shared" si="4"/>
        <v/>
      </c>
    </row>
    <row r="508" ht="15.75" customHeight="1">
      <c r="A508" s="3"/>
      <c r="B508" s="2" t="str">
        <f t="shared" si="1"/>
        <v/>
      </c>
      <c r="E508" s="2"/>
      <c r="F508" s="2"/>
      <c r="G508" s="2"/>
      <c r="H508" s="2"/>
      <c r="I508" s="2"/>
      <c r="J508" s="2"/>
      <c r="K508" s="2" t="str">
        <f t="shared" si="2"/>
        <v/>
      </c>
      <c r="L508" s="2" t="str">
        <f t="shared" si="3"/>
        <v>No</v>
      </c>
      <c r="M508" s="2" t="str">
        <f>IF(K508="","",F508*VLOOKUP(E508,WEIGHTS!$A$2:$F$4,2,FALSE)+G508*VLOOKUP(E508,WEIGHTS!$A$2:$F$4,3,FALSE)+H508*VLOOKUP(E508,WEIGHTS!$A$2:$F$4,4,FALSE)+I508*VLOOKUP(E508,WEIGHTS!$A$2:$F$4,5,FALSE)+J508*VLOOKUP(E508,WEIGHTS!$A$2:$F$4,6,FALSE))</f>
        <v/>
      </c>
      <c r="N508" s="2" t="str">
        <f t="shared" si="4"/>
        <v/>
      </c>
    </row>
    <row r="509" ht="15.75" customHeight="1">
      <c r="A509" s="3"/>
      <c r="B509" s="2" t="str">
        <f t="shared" si="1"/>
        <v/>
      </c>
      <c r="E509" s="2"/>
      <c r="F509" s="2"/>
      <c r="G509" s="2"/>
      <c r="H509" s="2"/>
      <c r="I509" s="2"/>
      <c r="J509" s="2"/>
      <c r="K509" s="2" t="str">
        <f t="shared" si="2"/>
        <v/>
      </c>
      <c r="L509" s="2" t="str">
        <f t="shared" si="3"/>
        <v>No</v>
      </c>
      <c r="M509" s="2" t="str">
        <f>IF(K509="","",F509*VLOOKUP(E509,WEIGHTS!$A$2:$F$4,2,FALSE)+G509*VLOOKUP(E509,WEIGHTS!$A$2:$F$4,3,FALSE)+H509*VLOOKUP(E509,WEIGHTS!$A$2:$F$4,4,FALSE)+I509*VLOOKUP(E509,WEIGHTS!$A$2:$F$4,5,FALSE)+J509*VLOOKUP(E509,WEIGHTS!$A$2:$F$4,6,FALSE))</f>
        <v/>
      </c>
      <c r="N509" s="2" t="str">
        <f t="shared" si="4"/>
        <v/>
      </c>
    </row>
    <row r="510" ht="15.75" customHeight="1">
      <c r="A510" s="3"/>
      <c r="B510" s="2" t="str">
        <f t="shared" si="1"/>
        <v/>
      </c>
      <c r="E510" s="2"/>
      <c r="F510" s="2"/>
      <c r="G510" s="2"/>
      <c r="H510" s="2"/>
      <c r="I510" s="2"/>
      <c r="J510" s="2"/>
      <c r="K510" s="2" t="str">
        <f t="shared" si="2"/>
        <v/>
      </c>
      <c r="L510" s="2" t="str">
        <f t="shared" si="3"/>
        <v>No</v>
      </c>
      <c r="M510" s="2" t="str">
        <f>IF(K510="","",F510*VLOOKUP(E510,WEIGHTS!$A$2:$F$4,2,FALSE)+G510*VLOOKUP(E510,WEIGHTS!$A$2:$F$4,3,FALSE)+H510*VLOOKUP(E510,WEIGHTS!$A$2:$F$4,4,FALSE)+I510*VLOOKUP(E510,WEIGHTS!$A$2:$F$4,5,FALSE)+J510*VLOOKUP(E510,WEIGHTS!$A$2:$F$4,6,FALSE))</f>
        <v/>
      </c>
      <c r="N510" s="2" t="str">
        <f t="shared" si="4"/>
        <v/>
      </c>
    </row>
    <row r="511" ht="15.75" customHeight="1">
      <c r="A511" s="3"/>
      <c r="B511" s="2" t="str">
        <f t="shared" si="1"/>
        <v/>
      </c>
      <c r="E511" s="2"/>
      <c r="F511" s="2"/>
      <c r="G511" s="2"/>
      <c r="H511" s="2"/>
      <c r="I511" s="2"/>
      <c r="J511" s="2"/>
      <c r="K511" s="2" t="str">
        <f t="shared" si="2"/>
        <v/>
      </c>
      <c r="L511" s="2" t="str">
        <f t="shared" si="3"/>
        <v>No</v>
      </c>
      <c r="M511" s="2" t="str">
        <f>IF(K511="","",F511*VLOOKUP(E511,WEIGHTS!$A$2:$F$4,2,FALSE)+G511*VLOOKUP(E511,WEIGHTS!$A$2:$F$4,3,FALSE)+H511*VLOOKUP(E511,WEIGHTS!$A$2:$F$4,4,FALSE)+I511*VLOOKUP(E511,WEIGHTS!$A$2:$F$4,5,FALSE)+J511*VLOOKUP(E511,WEIGHTS!$A$2:$F$4,6,FALSE))</f>
        <v/>
      </c>
      <c r="N511" s="2" t="str">
        <f t="shared" si="4"/>
        <v/>
      </c>
    </row>
    <row r="512" ht="15.75" customHeight="1">
      <c r="A512" s="3"/>
      <c r="B512" s="2" t="str">
        <f t="shared" si="1"/>
        <v/>
      </c>
      <c r="E512" s="2"/>
      <c r="F512" s="2"/>
      <c r="G512" s="2"/>
      <c r="H512" s="2"/>
      <c r="I512" s="2"/>
      <c r="J512" s="2"/>
      <c r="K512" s="2" t="str">
        <f t="shared" si="2"/>
        <v/>
      </c>
      <c r="L512" s="2" t="str">
        <f t="shared" si="3"/>
        <v>No</v>
      </c>
      <c r="M512" s="2" t="str">
        <f>IF(K512="","",F512*VLOOKUP(E512,WEIGHTS!$A$2:$F$4,2,FALSE)+G512*VLOOKUP(E512,WEIGHTS!$A$2:$F$4,3,FALSE)+H512*VLOOKUP(E512,WEIGHTS!$A$2:$F$4,4,FALSE)+I512*VLOOKUP(E512,WEIGHTS!$A$2:$F$4,5,FALSE)+J512*VLOOKUP(E512,WEIGHTS!$A$2:$F$4,6,FALSE))</f>
        <v/>
      </c>
      <c r="N512" s="2" t="str">
        <f t="shared" si="4"/>
        <v/>
      </c>
    </row>
    <row r="513" ht="15.75" customHeight="1">
      <c r="A513" s="3"/>
      <c r="B513" s="2" t="str">
        <f t="shared" si="1"/>
        <v/>
      </c>
      <c r="E513" s="2"/>
      <c r="F513" s="2"/>
      <c r="G513" s="2"/>
      <c r="H513" s="2"/>
      <c r="I513" s="2"/>
      <c r="J513" s="2"/>
      <c r="K513" s="2" t="str">
        <f t="shared" si="2"/>
        <v/>
      </c>
      <c r="L513" s="2" t="str">
        <f t="shared" si="3"/>
        <v>No</v>
      </c>
      <c r="M513" s="2" t="str">
        <f>IF(K513="","",F513*VLOOKUP(E513,WEIGHTS!$A$2:$F$4,2,FALSE)+G513*VLOOKUP(E513,WEIGHTS!$A$2:$F$4,3,FALSE)+H513*VLOOKUP(E513,WEIGHTS!$A$2:$F$4,4,FALSE)+I513*VLOOKUP(E513,WEIGHTS!$A$2:$F$4,5,FALSE)+J513*VLOOKUP(E513,WEIGHTS!$A$2:$F$4,6,FALSE))</f>
        <v/>
      </c>
      <c r="N513" s="2" t="str">
        <f t="shared" si="4"/>
        <v/>
      </c>
    </row>
    <row r="514" ht="15.75" customHeight="1">
      <c r="A514" s="3"/>
      <c r="B514" s="2" t="str">
        <f t="shared" si="1"/>
        <v/>
      </c>
      <c r="E514" s="2"/>
      <c r="F514" s="2"/>
      <c r="G514" s="2"/>
      <c r="H514" s="2"/>
      <c r="I514" s="2"/>
      <c r="J514" s="2"/>
      <c r="K514" s="2" t="str">
        <f t="shared" si="2"/>
        <v/>
      </c>
      <c r="L514" s="2" t="str">
        <f t="shared" si="3"/>
        <v>No</v>
      </c>
      <c r="M514" s="2" t="str">
        <f>IF(K514="","",F514*VLOOKUP(E514,WEIGHTS!$A$2:$F$4,2,FALSE)+G514*VLOOKUP(E514,WEIGHTS!$A$2:$F$4,3,FALSE)+H514*VLOOKUP(E514,WEIGHTS!$A$2:$F$4,4,FALSE)+I514*VLOOKUP(E514,WEIGHTS!$A$2:$F$4,5,FALSE)+J514*VLOOKUP(E514,WEIGHTS!$A$2:$F$4,6,FALSE))</f>
        <v/>
      </c>
      <c r="N514" s="2" t="str">
        <f t="shared" si="4"/>
        <v/>
      </c>
    </row>
    <row r="515" ht="15.75" customHeight="1">
      <c r="A515" s="3"/>
      <c r="B515" s="2" t="str">
        <f t="shared" si="1"/>
        <v/>
      </c>
      <c r="E515" s="2"/>
      <c r="F515" s="2"/>
      <c r="G515" s="2"/>
      <c r="H515" s="2"/>
      <c r="I515" s="2"/>
      <c r="J515" s="2"/>
      <c r="K515" s="2" t="str">
        <f t="shared" si="2"/>
        <v/>
      </c>
      <c r="L515" s="2" t="str">
        <f t="shared" si="3"/>
        <v>No</v>
      </c>
      <c r="M515" s="2" t="str">
        <f>IF(K515="","",F515*VLOOKUP(E515,WEIGHTS!$A$2:$F$4,2,FALSE)+G515*VLOOKUP(E515,WEIGHTS!$A$2:$F$4,3,FALSE)+H515*VLOOKUP(E515,WEIGHTS!$A$2:$F$4,4,FALSE)+I515*VLOOKUP(E515,WEIGHTS!$A$2:$F$4,5,FALSE)+J515*VLOOKUP(E515,WEIGHTS!$A$2:$F$4,6,FALSE))</f>
        <v/>
      </c>
      <c r="N515" s="2" t="str">
        <f t="shared" si="4"/>
        <v/>
      </c>
    </row>
    <row r="516" ht="15.75" customHeight="1">
      <c r="A516" s="3"/>
      <c r="B516" s="2" t="str">
        <f t="shared" si="1"/>
        <v/>
      </c>
      <c r="E516" s="2"/>
      <c r="F516" s="2"/>
      <c r="G516" s="2"/>
      <c r="H516" s="2"/>
      <c r="I516" s="2"/>
      <c r="J516" s="2"/>
      <c r="K516" s="2" t="str">
        <f t="shared" si="2"/>
        <v/>
      </c>
      <c r="L516" s="2" t="str">
        <f t="shared" si="3"/>
        <v>No</v>
      </c>
      <c r="M516" s="2" t="str">
        <f>IF(K516="","",F516*VLOOKUP(E516,WEIGHTS!$A$2:$F$4,2,FALSE)+G516*VLOOKUP(E516,WEIGHTS!$A$2:$F$4,3,FALSE)+H516*VLOOKUP(E516,WEIGHTS!$A$2:$F$4,4,FALSE)+I516*VLOOKUP(E516,WEIGHTS!$A$2:$F$4,5,FALSE)+J516*VLOOKUP(E516,WEIGHTS!$A$2:$F$4,6,FALSE))</f>
        <v/>
      </c>
      <c r="N516" s="2" t="str">
        <f t="shared" si="4"/>
        <v/>
      </c>
    </row>
    <row r="517" ht="15.75" customHeight="1">
      <c r="A517" s="3"/>
      <c r="B517" s="2" t="str">
        <f t="shared" si="1"/>
        <v/>
      </c>
      <c r="E517" s="2"/>
      <c r="F517" s="2"/>
      <c r="G517" s="2"/>
      <c r="H517" s="2"/>
      <c r="I517" s="2"/>
      <c r="J517" s="2"/>
      <c r="K517" s="2" t="str">
        <f t="shared" si="2"/>
        <v/>
      </c>
      <c r="L517" s="2" t="str">
        <f t="shared" si="3"/>
        <v>No</v>
      </c>
      <c r="M517" s="2" t="str">
        <f>IF(K517="","",F517*VLOOKUP(E517,WEIGHTS!$A$2:$F$4,2,FALSE)+G517*VLOOKUP(E517,WEIGHTS!$A$2:$F$4,3,FALSE)+H517*VLOOKUP(E517,WEIGHTS!$A$2:$F$4,4,FALSE)+I517*VLOOKUP(E517,WEIGHTS!$A$2:$F$4,5,FALSE)+J517*VLOOKUP(E517,WEIGHTS!$A$2:$F$4,6,FALSE))</f>
        <v/>
      </c>
      <c r="N517" s="2" t="str">
        <f t="shared" si="4"/>
        <v/>
      </c>
    </row>
    <row r="518" ht="15.75" customHeight="1">
      <c r="A518" s="3"/>
      <c r="B518" s="2" t="str">
        <f t="shared" si="1"/>
        <v/>
      </c>
      <c r="E518" s="2"/>
      <c r="F518" s="2"/>
      <c r="G518" s="2"/>
      <c r="H518" s="2"/>
      <c r="I518" s="2"/>
      <c r="J518" s="2"/>
      <c r="K518" s="2" t="str">
        <f t="shared" si="2"/>
        <v/>
      </c>
      <c r="L518" s="2" t="str">
        <f t="shared" si="3"/>
        <v>No</v>
      </c>
      <c r="M518" s="2" t="str">
        <f>IF(K518="","",F518*VLOOKUP(E518,WEIGHTS!$A$2:$F$4,2,FALSE)+G518*VLOOKUP(E518,WEIGHTS!$A$2:$F$4,3,FALSE)+H518*VLOOKUP(E518,WEIGHTS!$A$2:$F$4,4,FALSE)+I518*VLOOKUP(E518,WEIGHTS!$A$2:$F$4,5,FALSE)+J518*VLOOKUP(E518,WEIGHTS!$A$2:$F$4,6,FALSE))</f>
        <v/>
      </c>
      <c r="N518" s="2" t="str">
        <f t="shared" si="4"/>
        <v/>
      </c>
    </row>
    <row r="519" ht="15.75" customHeight="1">
      <c r="A519" s="3"/>
      <c r="B519" s="2" t="str">
        <f t="shared" si="1"/>
        <v/>
      </c>
      <c r="E519" s="2"/>
      <c r="F519" s="2"/>
      <c r="G519" s="2"/>
      <c r="H519" s="2"/>
      <c r="I519" s="2"/>
      <c r="J519" s="2"/>
      <c r="K519" s="2" t="str">
        <f t="shared" si="2"/>
        <v/>
      </c>
      <c r="L519" s="2" t="str">
        <f t="shared" si="3"/>
        <v>No</v>
      </c>
      <c r="M519" s="2" t="str">
        <f>IF(K519="","",F519*VLOOKUP(E519,WEIGHTS!$A$2:$F$4,2,FALSE)+G519*VLOOKUP(E519,WEIGHTS!$A$2:$F$4,3,FALSE)+H519*VLOOKUP(E519,WEIGHTS!$A$2:$F$4,4,FALSE)+I519*VLOOKUP(E519,WEIGHTS!$A$2:$F$4,5,FALSE)+J519*VLOOKUP(E519,WEIGHTS!$A$2:$F$4,6,FALSE))</f>
        <v/>
      </c>
      <c r="N519" s="2" t="str">
        <f t="shared" si="4"/>
        <v/>
      </c>
    </row>
    <row r="520" ht="15.75" customHeight="1">
      <c r="A520" s="3"/>
      <c r="B520" s="2" t="str">
        <f t="shared" si="1"/>
        <v/>
      </c>
      <c r="E520" s="2"/>
      <c r="F520" s="2"/>
      <c r="G520" s="2"/>
      <c r="H520" s="2"/>
      <c r="I520" s="2"/>
      <c r="J520" s="2"/>
      <c r="K520" s="2" t="str">
        <f t="shared" si="2"/>
        <v/>
      </c>
      <c r="L520" s="2" t="str">
        <f t="shared" si="3"/>
        <v>No</v>
      </c>
      <c r="M520" s="2" t="str">
        <f>IF(K520="","",F520*VLOOKUP(E520,WEIGHTS!$A$2:$F$4,2,FALSE)+G520*VLOOKUP(E520,WEIGHTS!$A$2:$F$4,3,FALSE)+H520*VLOOKUP(E520,WEIGHTS!$A$2:$F$4,4,FALSE)+I520*VLOOKUP(E520,WEIGHTS!$A$2:$F$4,5,FALSE)+J520*VLOOKUP(E520,WEIGHTS!$A$2:$F$4,6,FALSE))</f>
        <v/>
      </c>
      <c r="N520" s="2" t="str">
        <f t="shared" si="4"/>
        <v/>
      </c>
    </row>
    <row r="521" ht="15.75" customHeight="1">
      <c r="A521" s="3"/>
      <c r="B521" s="2" t="str">
        <f t="shared" si="1"/>
        <v/>
      </c>
      <c r="E521" s="2"/>
      <c r="F521" s="2"/>
      <c r="G521" s="2"/>
      <c r="H521" s="2"/>
      <c r="I521" s="2"/>
      <c r="J521" s="2"/>
      <c r="K521" s="2" t="str">
        <f t="shared" si="2"/>
        <v/>
      </c>
      <c r="L521" s="2" t="str">
        <f t="shared" si="3"/>
        <v>No</v>
      </c>
      <c r="M521" s="2" t="str">
        <f>IF(K521="","",F521*VLOOKUP(E521,WEIGHTS!$A$2:$F$4,2,FALSE)+G521*VLOOKUP(E521,WEIGHTS!$A$2:$F$4,3,FALSE)+H521*VLOOKUP(E521,WEIGHTS!$A$2:$F$4,4,FALSE)+I521*VLOOKUP(E521,WEIGHTS!$A$2:$F$4,5,FALSE)+J521*VLOOKUP(E521,WEIGHTS!$A$2:$F$4,6,FALSE))</f>
        <v/>
      </c>
      <c r="N521" s="2" t="str">
        <f t="shared" si="4"/>
        <v/>
      </c>
    </row>
    <row r="522" ht="15.75" customHeight="1">
      <c r="A522" s="3"/>
      <c r="B522" s="2" t="str">
        <f t="shared" si="1"/>
        <v/>
      </c>
      <c r="E522" s="2"/>
      <c r="F522" s="2"/>
      <c r="G522" s="2"/>
      <c r="H522" s="2"/>
      <c r="I522" s="2"/>
      <c r="J522" s="2"/>
      <c r="K522" s="2" t="str">
        <f t="shared" si="2"/>
        <v/>
      </c>
      <c r="L522" s="2" t="str">
        <f t="shared" si="3"/>
        <v>No</v>
      </c>
      <c r="M522" s="2" t="str">
        <f>IF(K522="","",F522*VLOOKUP(E522,WEIGHTS!$A$2:$F$4,2,FALSE)+G522*VLOOKUP(E522,WEIGHTS!$A$2:$F$4,3,FALSE)+H522*VLOOKUP(E522,WEIGHTS!$A$2:$F$4,4,FALSE)+I522*VLOOKUP(E522,WEIGHTS!$A$2:$F$4,5,FALSE)+J522*VLOOKUP(E522,WEIGHTS!$A$2:$F$4,6,FALSE))</f>
        <v/>
      </c>
      <c r="N522" s="2" t="str">
        <f t="shared" si="4"/>
        <v/>
      </c>
    </row>
    <row r="523" ht="15.75" customHeight="1">
      <c r="A523" s="3"/>
      <c r="B523" s="2" t="str">
        <f t="shared" si="1"/>
        <v/>
      </c>
      <c r="E523" s="2"/>
      <c r="F523" s="2"/>
      <c r="G523" s="2"/>
      <c r="H523" s="2"/>
      <c r="I523" s="2"/>
      <c r="J523" s="2"/>
      <c r="K523" s="2" t="str">
        <f t="shared" si="2"/>
        <v/>
      </c>
      <c r="L523" s="2" t="str">
        <f t="shared" si="3"/>
        <v>No</v>
      </c>
      <c r="M523" s="2" t="str">
        <f>IF(K523="","",F523*VLOOKUP(E523,WEIGHTS!$A$2:$F$4,2,FALSE)+G523*VLOOKUP(E523,WEIGHTS!$A$2:$F$4,3,FALSE)+H523*VLOOKUP(E523,WEIGHTS!$A$2:$F$4,4,FALSE)+I523*VLOOKUP(E523,WEIGHTS!$A$2:$F$4,5,FALSE)+J523*VLOOKUP(E523,WEIGHTS!$A$2:$F$4,6,FALSE))</f>
        <v/>
      </c>
      <c r="N523" s="2" t="str">
        <f t="shared" si="4"/>
        <v/>
      </c>
    </row>
    <row r="524" ht="15.75" customHeight="1">
      <c r="A524" s="3"/>
      <c r="B524" s="2" t="str">
        <f t="shared" si="1"/>
        <v/>
      </c>
      <c r="E524" s="2"/>
      <c r="F524" s="2"/>
      <c r="G524" s="2"/>
      <c r="H524" s="2"/>
      <c r="I524" s="2"/>
      <c r="J524" s="2"/>
      <c r="K524" s="2" t="str">
        <f t="shared" si="2"/>
        <v/>
      </c>
      <c r="L524" s="2" t="str">
        <f t="shared" si="3"/>
        <v>No</v>
      </c>
      <c r="M524" s="2" t="str">
        <f>IF(K524="","",F524*VLOOKUP(E524,WEIGHTS!$A$2:$F$4,2,FALSE)+G524*VLOOKUP(E524,WEIGHTS!$A$2:$F$4,3,FALSE)+H524*VLOOKUP(E524,WEIGHTS!$A$2:$F$4,4,FALSE)+I524*VLOOKUP(E524,WEIGHTS!$A$2:$F$4,5,FALSE)+J524*VLOOKUP(E524,WEIGHTS!$A$2:$F$4,6,FALSE))</f>
        <v/>
      </c>
      <c r="N524" s="2" t="str">
        <f t="shared" si="4"/>
        <v/>
      </c>
    </row>
    <row r="525" ht="15.75" customHeight="1">
      <c r="A525" s="3"/>
      <c r="B525" s="2" t="str">
        <f t="shared" si="1"/>
        <v/>
      </c>
      <c r="E525" s="2"/>
      <c r="F525" s="2"/>
      <c r="G525" s="2"/>
      <c r="H525" s="2"/>
      <c r="I525" s="2"/>
      <c r="J525" s="2"/>
      <c r="K525" s="2" t="str">
        <f t="shared" si="2"/>
        <v/>
      </c>
      <c r="L525" s="2" t="str">
        <f t="shared" si="3"/>
        <v>No</v>
      </c>
      <c r="M525" s="2" t="str">
        <f>IF(K525="","",F525*VLOOKUP(E525,WEIGHTS!$A$2:$F$4,2,FALSE)+G525*VLOOKUP(E525,WEIGHTS!$A$2:$F$4,3,FALSE)+H525*VLOOKUP(E525,WEIGHTS!$A$2:$F$4,4,FALSE)+I525*VLOOKUP(E525,WEIGHTS!$A$2:$F$4,5,FALSE)+J525*VLOOKUP(E525,WEIGHTS!$A$2:$F$4,6,FALSE))</f>
        <v/>
      </c>
      <c r="N525" s="2" t="str">
        <f t="shared" si="4"/>
        <v/>
      </c>
    </row>
    <row r="526" ht="15.75" customHeight="1">
      <c r="A526" s="3"/>
      <c r="B526" s="2" t="str">
        <f t="shared" si="1"/>
        <v/>
      </c>
      <c r="E526" s="2"/>
      <c r="F526" s="2"/>
      <c r="G526" s="2"/>
      <c r="H526" s="2"/>
      <c r="I526" s="2"/>
      <c r="J526" s="2"/>
      <c r="K526" s="2" t="str">
        <f t="shared" si="2"/>
        <v/>
      </c>
      <c r="L526" s="2" t="str">
        <f t="shared" si="3"/>
        <v>No</v>
      </c>
      <c r="M526" s="2" t="str">
        <f>IF(K526="","",F526*VLOOKUP(E526,WEIGHTS!$A$2:$F$4,2,FALSE)+G526*VLOOKUP(E526,WEIGHTS!$A$2:$F$4,3,FALSE)+H526*VLOOKUP(E526,WEIGHTS!$A$2:$F$4,4,FALSE)+I526*VLOOKUP(E526,WEIGHTS!$A$2:$F$4,5,FALSE)+J526*VLOOKUP(E526,WEIGHTS!$A$2:$F$4,6,FALSE))</f>
        <v/>
      </c>
      <c r="N526" s="2" t="str">
        <f t="shared" si="4"/>
        <v/>
      </c>
    </row>
    <row r="527" ht="15.75" customHeight="1">
      <c r="A527" s="3"/>
      <c r="B527" s="2" t="str">
        <f t="shared" si="1"/>
        <v/>
      </c>
      <c r="E527" s="2"/>
      <c r="F527" s="2"/>
      <c r="G527" s="2"/>
      <c r="H527" s="2"/>
      <c r="I527" s="2"/>
      <c r="J527" s="2"/>
      <c r="K527" s="2" t="str">
        <f t="shared" si="2"/>
        <v/>
      </c>
      <c r="L527" s="2" t="str">
        <f t="shared" si="3"/>
        <v>No</v>
      </c>
      <c r="M527" s="2" t="str">
        <f>IF(K527="","",F527*VLOOKUP(E527,WEIGHTS!$A$2:$F$4,2,FALSE)+G527*VLOOKUP(E527,WEIGHTS!$A$2:$F$4,3,FALSE)+H527*VLOOKUP(E527,WEIGHTS!$A$2:$F$4,4,FALSE)+I527*VLOOKUP(E527,WEIGHTS!$A$2:$F$4,5,FALSE)+J527*VLOOKUP(E527,WEIGHTS!$A$2:$F$4,6,FALSE))</f>
        <v/>
      </c>
      <c r="N527" s="2" t="str">
        <f t="shared" si="4"/>
        <v/>
      </c>
    </row>
    <row r="528" ht="15.75" customHeight="1">
      <c r="A528" s="3"/>
      <c r="B528" s="2" t="str">
        <f t="shared" si="1"/>
        <v/>
      </c>
      <c r="E528" s="2"/>
      <c r="F528" s="2"/>
      <c r="G528" s="2"/>
      <c r="H528" s="2"/>
      <c r="I528" s="2"/>
      <c r="J528" s="2"/>
      <c r="K528" s="2" t="str">
        <f t="shared" si="2"/>
        <v/>
      </c>
      <c r="L528" s="2" t="str">
        <f t="shared" si="3"/>
        <v>No</v>
      </c>
      <c r="M528" s="2" t="str">
        <f>IF(K528="","",F528*VLOOKUP(E528,WEIGHTS!$A$2:$F$4,2,FALSE)+G528*VLOOKUP(E528,WEIGHTS!$A$2:$F$4,3,FALSE)+H528*VLOOKUP(E528,WEIGHTS!$A$2:$F$4,4,FALSE)+I528*VLOOKUP(E528,WEIGHTS!$A$2:$F$4,5,FALSE)+J528*VLOOKUP(E528,WEIGHTS!$A$2:$F$4,6,FALSE))</f>
        <v/>
      </c>
      <c r="N528" s="2" t="str">
        <f t="shared" si="4"/>
        <v/>
      </c>
    </row>
    <row r="529" ht="15.75" customHeight="1">
      <c r="A529" s="3"/>
      <c r="B529" s="2" t="str">
        <f t="shared" si="1"/>
        <v/>
      </c>
      <c r="E529" s="2"/>
      <c r="F529" s="2"/>
      <c r="G529" s="2"/>
      <c r="H529" s="2"/>
      <c r="I529" s="2"/>
      <c r="J529" s="2"/>
      <c r="K529" s="2" t="str">
        <f t="shared" si="2"/>
        <v/>
      </c>
      <c r="L529" s="2" t="str">
        <f t="shared" si="3"/>
        <v>No</v>
      </c>
      <c r="M529" s="2" t="str">
        <f>IF(K529="","",F529*VLOOKUP(E529,WEIGHTS!$A$2:$F$4,2,FALSE)+G529*VLOOKUP(E529,WEIGHTS!$A$2:$F$4,3,FALSE)+H529*VLOOKUP(E529,WEIGHTS!$A$2:$F$4,4,FALSE)+I529*VLOOKUP(E529,WEIGHTS!$A$2:$F$4,5,FALSE)+J529*VLOOKUP(E529,WEIGHTS!$A$2:$F$4,6,FALSE))</f>
        <v/>
      </c>
      <c r="N529" s="2" t="str">
        <f t="shared" si="4"/>
        <v/>
      </c>
    </row>
    <row r="530" ht="15.75" customHeight="1">
      <c r="A530" s="3"/>
      <c r="B530" s="2" t="str">
        <f t="shared" si="1"/>
        <v/>
      </c>
      <c r="E530" s="2"/>
      <c r="F530" s="2"/>
      <c r="G530" s="2"/>
      <c r="H530" s="2"/>
      <c r="I530" s="2"/>
      <c r="J530" s="2"/>
      <c r="K530" s="2" t="str">
        <f t="shared" si="2"/>
        <v/>
      </c>
      <c r="L530" s="2" t="str">
        <f t="shared" si="3"/>
        <v>No</v>
      </c>
      <c r="M530" s="2" t="str">
        <f>IF(K530="","",F530*VLOOKUP(E530,WEIGHTS!$A$2:$F$4,2,FALSE)+G530*VLOOKUP(E530,WEIGHTS!$A$2:$F$4,3,FALSE)+H530*VLOOKUP(E530,WEIGHTS!$A$2:$F$4,4,FALSE)+I530*VLOOKUP(E530,WEIGHTS!$A$2:$F$4,5,FALSE)+J530*VLOOKUP(E530,WEIGHTS!$A$2:$F$4,6,FALSE))</f>
        <v/>
      </c>
      <c r="N530" s="2" t="str">
        <f t="shared" si="4"/>
        <v/>
      </c>
    </row>
    <row r="531" ht="15.75" customHeight="1">
      <c r="A531" s="3"/>
      <c r="B531" s="2" t="str">
        <f t="shared" si="1"/>
        <v/>
      </c>
      <c r="E531" s="2"/>
      <c r="F531" s="2"/>
      <c r="G531" s="2"/>
      <c r="H531" s="2"/>
      <c r="I531" s="2"/>
      <c r="J531" s="2"/>
      <c r="K531" s="2" t="str">
        <f t="shared" si="2"/>
        <v/>
      </c>
      <c r="L531" s="2" t="str">
        <f t="shared" si="3"/>
        <v>No</v>
      </c>
      <c r="M531" s="2" t="str">
        <f>IF(K531="","",F531*VLOOKUP(E531,WEIGHTS!$A$2:$F$4,2,FALSE)+G531*VLOOKUP(E531,WEIGHTS!$A$2:$F$4,3,FALSE)+H531*VLOOKUP(E531,WEIGHTS!$A$2:$F$4,4,FALSE)+I531*VLOOKUP(E531,WEIGHTS!$A$2:$F$4,5,FALSE)+J531*VLOOKUP(E531,WEIGHTS!$A$2:$F$4,6,FALSE))</f>
        <v/>
      </c>
      <c r="N531" s="2" t="str">
        <f t="shared" si="4"/>
        <v/>
      </c>
    </row>
    <row r="532" ht="15.75" customHeight="1">
      <c r="A532" s="3"/>
      <c r="B532" s="2" t="str">
        <f t="shared" si="1"/>
        <v/>
      </c>
      <c r="E532" s="2"/>
      <c r="F532" s="2"/>
      <c r="G532" s="2"/>
      <c r="H532" s="2"/>
      <c r="I532" s="2"/>
      <c r="J532" s="2"/>
      <c r="K532" s="2" t="str">
        <f t="shared" si="2"/>
        <v/>
      </c>
      <c r="L532" s="2" t="str">
        <f t="shared" si="3"/>
        <v>No</v>
      </c>
      <c r="M532" s="2" t="str">
        <f>IF(K532="","",F532*VLOOKUP(E532,WEIGHTS!$A$2:$F$4,2,FALSE)+G532*VLOOKUP(E532,WEIGHTS!$A$2:$F$4,3,FALSE)+H532*VLOOKUP(E532,WEIGHTS!$A$2:$F$4,4,FALSE)+I532*VLOOKUP(E532,WEIGHTS!$A$2:$F$4,5,FALSE)+J532*VLOOKUP(E532,WEIGHTS!$A$2:$F$4,6,FALSE))</f>
        <v/>
      </c>
      <c r="N532" s="2" t="str">
        <f t="shared" si="4"/>
        <v/>
      </c>
    </row>
    <row r="533" ht="15.75" customHeight="1">
      <c r="A533" s="3"/>
      <c r="B533" s="2" t="str">
        <f t="shared" si="1"/>
        <v/>
      </c>
      <c r="E533" s="2"/>
      <c r="F533" s="2"/>
      <c r="G533" s="2"/>
      <c r="H533" s="2"/>
      <c r="I533" s="2"/>
      <c r="J533" s="2"/>
      <c r="K533" s="2" t="str">
        <f t="shared" si="2"/>
        <v/>
      </c>
      <c r="L533" s="2" t="str">
        <f t="shared" si="3"/>
        <v>No</v>
      </c>
      <c r="M533" s="2" t="str">
        <f>IF(K533="","",F533*VLOOKUP(E533,WEIGHTS!$A$2:$F$4,2,FALSE)+G533*VLOOKUP(E533,WEIGHTS!$A$2:$F$4,3,FALSE)+H533*VLOOKUP(E533,WEIGHTS!$A$2:$F$4,4,FALSE)+I533*VLOOKUP(E533,WEIGHTS!$A$2:$F$4,5,FALSE)+J533*VLOOKUP(E533,WEIGHTS!$A$2:$F$4,6,FALSE))</f>
        <v/>
      </c>
      <c r="N533" s="2" t="str">
        <f t="shared" si="4"/>
        <v/>
      </c>
    </row>
    <row r="534" ht="15.75" customHeight="1">
      <c r="A534" s="3"/>
      <c r="B534" s="2" t="str">
        <f t="shared" si="1"/>
        <v/>
      </c>
      <c r="E534" s="2"/>
      <c r="F534" s="2"/>
      <c r="G534" s="2"/>
      <c r="H534" s="2"/>
      <c r="I534" s="2"/>
      <c r="J534" s="2"/>
      <c r="K534" s="2" t="str">
        <f t="shared" si="2"/>
        <v/>
      </c>
      <c r="L534" s="2" t="str">
        <f t="shared" si="3"/>
        <v>No</v>
      </c>
      <c r="M534" s="2" t="str">
        <f>IF(K534="","",F534*VLOOKUP(E534,WEIGHTS!$A$2:$F$4,2,FALSE)+G534*VLOOKUP(E534,WEIGHTS!$A$2:$F$4,3,FALSE)+H534*VLOOKUP(E534,WEIGHTS!$A$2:$F$4,4,FALSE)+I534*VLOOKUP(E534,WEIGHTS!$A$2:$F$4,5,FALSE)+J534*VLOOKUP(E534,WEIGHTS!$A$2:$F$4,6,FALSE))</f>
        <v/>
      </c>
      <c r="N534" s="2" t="str">
        <f t="shared" si="4"/>
        <v/>
      </c>
    </row>
    <row r="535" ht="15.75" customHeight="1">
      <c r="A535" s="3"/>
      <c r="B535" s="2" t="str">
        <f t="shared" si="1"/>
        <v/>
      </c>
      <c r="E535" s="2"/>
      <c r="F535" s="2"/>
      <c r="G535" s="2"/>
      <c r="H535" s="2"/>
      <c r="I535" s="2"/>
      <c r="J535" s="2"/>
      <c r="K535" s="2" t="str">
        <f t="shared" si="2"/>
        <v/>
      </c>
      <c r="L535" s="2" t="str">
        <f t="shared" si="3"/>
        <v>No</v>
      </c>
      <c r="M535" s="2" t="str">
        <f>IF(K535="","",F535*VLOOKUP(E535,WEIGHTS!$A$2:$F$4,2,FALSE)+G535*VLOOKUP(E535,WEIGHTS!$A$2:$F$4,3,FALSE)+H535*VLOOKUP(E535,WEIGHTS!$A$2:$F$4,4,FALSE)+I535*VLOOKUP(E535,WEIGHTS!$A$2:$F$4,5,FALSE)+J535*VLOOKUP(E535,WEIGHTS!$A$2:$F$4,6,FALSE))</f>
        <v/>
      </c>
      <c r="N535" s="2" t="str">
        <f t="shared" si="4"/>
        <v/>
      </c>
    </row>
    <row r="536" ht="15.75" customHeight="1">
      <c r="A536" s="3"/>
      <c r="B536" s="2" t="str">
        <f t="shared" si="1"/>
        <v/>
      </c>
      <c r="E536" s="2"/>
      <c r="F536" s="2"/>
      <c r="G536" s="2"/>
      <c r="H536" s="2"/>
      <c r="I536" s="2"/>
      <c r="J536" s="2"/>
      <c r="K536" s="2" t="str">
        <f t="shared" si="2"/>
        <v/>
      </c>
      <c r="L536" s="2" t="str">
        <f t="shared" si="3"/>
        <v>No</v>
      </c>
      <c r="M536" s="2" t="str">
        <f>IF(K536="","",F536*VLOOKUP(E536,WEIGHTS!$A$2:$F$4,2,FALSE)+G536*VLOOKUP(E536,WEIGHTS!$A$2:$F$4,3,FALSE)+H536*VLOOKUP(E536,WEIGHTS!$A$2:$F$4,4,FALSE)+I536*VLOOKUP(E536,WEIGHTS!$A$2:$F$4,5,FALSE)+J536*VLOOKUP(E536,WEIGHTS!$A$2:$F$4,6,FALSE))</f>
        <v/>
      </c>
      <c r="N536" s="2" t="str">
        <f t="shared" si="4"/>
        <v/>
      </c>
    </row>
    <row r="537" ht="15.75" customHeight="1">
      <c r="A537" s="3"/>
      <c r="B537" s="2" t="str">
        <f t="shared" si="1"/>
        <v/>
      </c>
      <c r="E537" s="2"/>
      <c r="F537" s="2"/>
      <c r="G537" s="2"/>
      <c r="H537" s="2"/>
      <c r="I537" s="2"/>
      <c r="J537" s="2"/>
      <c r="K537" s="2" t="str">
        <f t="shared" si="2"/>
        <v/>
      </c>
      <c r="L537" s="2" t="str">
        <f t="shared" si="3"/>
        <v>No</v>
      </c>
      <c r="M537" s="2" t="str">
        <f>IF(K537="","",F537*VLOOKUP(E537,WEIGHTS!$A$2:$F$4,2,FALSE)+G537*VLOOKUP(E537,WEIGHTS!$A$2:$F$4,3,FALSE)+H537*VLOOKUP(E537,WEIGHTS!$A$2:$F$4,4,FALSE)+I537*VLOOKUP(E537,WEIGHTS!$A$2:$F$4,5,FALSE)+J537*VLOOKUP(E537,WEIGHTS!$A$2:$F$4,6,FALSE))</f>
        <v/>
      </c>
      <c r="N537" s="2" t="str">
        <f t="shared" si="4"/>
        <v/>
      </c>
    </row>
    <row r="538" ht="15.75" customHeight="1">
      <c r="A538" s="3"/>
      <c r="B538" s="2" t="str">
        <f t="shared" si="1"/>
        <v/>
      </c>
      <c r="E538" s="2"/>
      <c r="F538" s="2"/>
      <c r="G538" s="2"/>
      <c r="H538" s="2"/>
      <c r="I538" s="2"/>
      <c r="J538" s="2"/>
      <c r="K538" s="2" t="str">
        <f t="shared" si="2"/>
        <v/>
      </c>
      <c r="L538" s="2" t="str">
        <f t="shared" si="3"/>
        <v>No</v>
      </c>
      <c r="M538" s="2" t="str">
        <f>IF(K538="","",F538*VLOOKUP(E538,WEIGHTS!$A$2:$F$4,2,FALSE)+G538*VLOOKUP(E538,WEIGHTS!$A$2:$F$4,3,FALSE)+H538*VLOOKUP(E538,WEIGHTS!$A$2:$F$4,4,FALSE)+I538*VLOOKUP(E538,WEIGHTS!$A$2:$F$4,5,FALSE)+J538*VLOOKUP(E538,WEIGHTS!$A$2:$F$4,6,FALSE))</f>
        <v/>
      </c>
      <c r="N538" s="2" t="str">
        <f t="shared" si="4"/>
        <v/>
      </c>
    </row>
    <row r="539" ht="15.75" customHeight="1">
      <c r="A539" s="3"/>
      <c r="B539" s="2" t="str">
        <f t="shared" si="1"/>
        <v/>
      </c>
      <c r="E539" s="2"/>
      <c r="F539" s="2"/>
      <c r="G539" s="2"/>
      <c r="H539" s="2"/>
      <c r="I539" s="2"/>
      <c r="J539" s="2"/>
      <c r="K539" s="2" t="str">
        <f t="shared" si="2"/>
        <v/>
      </c>
      <c r="L539" s="2" t="str">
        <f t="shared" si="3"/>
        <v>No</v>
      </c>
      <c r="M539" s="2" t="str">
        <f>IF(K539="","",F539*VLOOKUP(E539,WEIGHTS!$A$2:$F$4,2,FALSE)+G539*VLOOKUP(E539,WEIGHTS!$A$2:$F$4,3,FALSE)+H539*VLOOKUP(E539,WEIGHTS!$A$2:$F$4,4,FALSE)+I539*VLOOKUP(E539,WEIGHTS!$A$2:$F$4,5,FALSE)+J539*VLOOKUP(E539,WEIGHTS!$A$2:$F$4,6,FALSE))</f>
        <v/>
      </c>
      <c r="N539" s="2" t="str">
        <f t="shared" si="4"/>
        <v/>
      </c>
    </row>
    <row r="540" ht="15.75" customHeight="1">
      <c r="A540" s="3"/>
      <c r="B540" s="2" t="str">
        <f t="shared" si="1"/>
        <v/>
      </c>
      <c r="E540" s="2"/>
      <c r="F540" s="2"/>
      <c r="G540" s="2"/>
      <c r="H540" s="2"/>
      <c r="I540" s="2"/>
      <c r="J540" s="2"/>
      <c r="K540" s="2" t="str">
        <f t="shared" si="2"/>
        <v/>
      </c>
      <c r="L540" s="2" t="str">
        <f t="shared" si="3"/>
        <v>No</v>
      </c>
      <c r="M540" s="2" t="str">
        <f>IF(K540="","",F540*VLOOKUP(E540,WEIGHTS!$A$2:$F$4,2,FALSE)+G540*VLOOKUP(E540,WEIGHTS!$A$2:$F$4,3,FALSE)+H540*VLOOKUP(E540,WEIGHTS!$A$2:$F$4,4,FALSE)+I540*VLOOKUP(E540,WEIGHTS!$A$2:$F$4,5,FALSE)+J540*VLOOKUP(E540,WEIGHTS!$A$2:$F$4,6,FALSE))</f>
        <v/>
      </c>
      <c r="N540" s="2" t="str">
        <f t="shared" si="4"/>
        <v/>
      </c>
    </row>
    <row r="541" ht="15.75" customHeight="1">
      <c r="A541" s="3"/>
      <c r="B541" s="2" t="str">
        <f t="shared" si="1"/>
        <v/>
      </c>
      <c r="E541" s="2"/>
      <c r="F541" s="2"/>
      <c r="G541" s="2"/>
      <c r="H541" s="2"/>
      <c r="I541" s="2"/>
      <c r="J541" s="2"/>
      <c r="K541" s="2" t="str">
        <f t="shared" si="2"/>
        <v/>
      </c>
      <c r="L541" s="2" t="str">
        <f t="shared" si="3"/>
        <v>No</v>
      </c>
      <c r="M541" s="2" t="str">
        <f>IF(K541="","",F541*VLOOKUP(E541,WEIGHTS!$A$2:$F$4,2,FALSE)+G541*VLOOKUP(E541,WEIGHTS!$A$2:$F$4,3,FALSE)+H541*VLOOKUP(E541,WEIGHTS!$A$2:$F$4,4,FALSE)+I541*VLOOKUP(E541,WEIGHTS!$A$2:$F$4,5,FALSE)+J541*VLOOKUP(E541,WEIGHTS!$A$2:$F$4,6,FALSE))</f>
        <v/>
      </c>
      <c r="N541" s="2" t="str">
        <f t="shared" si="4"/>
        <v/>
      </c>
    </row>
    <row r="542" ht="15.75" customHeight="1">
      <c r="A542" s="3"/>
      <c r="B542" s="2" t="str">
        <f t="shared" si="1"/>
        <v/>
      </c>
      <c r="E542" s="2"/>
      <c r="F542" s="2"/>
      <c r="G542" s="2"/>
      <c r="H542" s="2"/>
      <c r="I542" s="2"/>
      <c r="J542" s="2"/>
      <c r="K542" s="2" t="str">
        <f t="shared" si="2"/>
        <v/>
      </c>
      <c r="L542" s="2" t="str">
        <f t="shared" si="3"/>
        <v>No</v>
      </c>
      <c r="M542" s="2" t="str">
        <f>IF(K542="","",F542*VLOOKUP(E542,WEIGHTS!$A$2:$F$4,2,FALSE)+G542*VLOOKUP(E542,WEIGHTS!$A$2:$F$4,3,FALSE)+H542*VLOOKUP(E542,WEIGHTS!$A$2:$F$4,4,FALSE)+I542*VLOOKUP(E542,WEIGHTS!$A$2:$F$4,5,FALSE)+J542*VLOOKUP(E542,WEIGHTS!$A$2:$F$4,6,FALSE))</f>
        <v/>
      </c>
      <c r="N542" s="2" t="str">
        <f t="shared" si="4"/>
        <v/>
      </c>
    </row>
    <row r="543" ht="15.75" customHeight="1">
      <c r="A543" s="3"/>
      <c r="B543" s="2" t="str">
        <f t="shared" si="1"/>
        <v/>
      </c>
      <c r="E543" s="2"/>
      <c r="F543" s="2"/>
      <c r="G543" s="2"/>
      <c r="H543" s="2"/>
      <c r="I543" s="2"/>
      <c r="J543" s="2"/>
      <c r="K543" s="2" t="str">
        <f t="shared" si="2"/>
        <v/>
      </c>
      <c r="L543" s="2" t="str">
        <f t="shared" si="3"/>
        <v>No</v>
      </c>
      <c r="M543" s="2" t="str">
        <f>IF(K543="","",F543*VLOOKUP(E543,WEIGHTS!$A$2:$F$4,2,FALSE)+G543*VLOOKUP(E543,WEIGHTS!$A$2:$F$4,3,FALSE)+H543*VLOOKUP(E543,WEIGHTS!$A$2:$F$4,4,FALSE)+I543*VLOOKUP(E543,WEIGHTS!$A$2:$F$4,5,FALSE)+J543*VLOOKUP(E543,WEIGHTS!$A$2:$F$4,6,FALSE))</f>
        <v/>
      </c>
      <c r="N543" s="2" t="str">
        <f t="shared" si="4"/>
        <v/>
      </c>
    </row>
    <row r="544" ht="15.75" customHeight="1">
      <c r="A544" s="3"/>
      <c r="B544" s="2" t="str">
        <f t="shared" si="1"/>
        <v/>
      </c>
      <c r="E544" s="2"/>
      <c r="F544" s="2"/>
      <c r="G544" s="2"/>
      <c r="H544" s="2"/>
      <c r="I544" s="2"/>
      <c r="J544" s="2"/>
      <c r="K544" s="2" t="str">
        <f t="shared" si="2"/>
        <v/>
      </c>
      <c r="L544" s="2" t="str">
        <f t="shared" si="3"/>
        <v>No</v>
      </c>
      <c r="M544" s="2" t="str">
        <f>IF(K544="","",F544*VLOOKUP(E544,WEIGHTS!$A$2:$F$4,2,FALSE)+G544*VLOOKUP(E544,WEIGHTS!$A$2:$F$4,3,FALSE)+H544*VLOOKUP(E544,WEIGHTS!$A$2:$F$4,4,FALSE)+I544*VLOOKUP(E544,WEIGHTS!$A$2:$F$4,5,FALSE)+J544*VLOOKUP(E544,WEIGHTS!$A$2:$F$4,6,FALSE))</f>
        <v/>
      </c>
      <c r="N544" s="2" t="str">
        <f t="shared" si="4"/>
        <v/>
      </c>
    </row>
    <row r="545" ht="15.75" customHeight="1">
      <c r="A545" s="3"/>
      <c r="B545" s="2" t="str">
        <f t="shared" si="1"/>
        <v/>
      </c>
      <c r="E545" s="2"/>
      <c r="F545" s="2"/>
      <c r="G545" s="2"/>
      <c r="H545" s="2"/>
      <c r="I545" s="2"/>
      <c r="J545" s="2"/>
      <c r="K545" s="2" t="str">
        <f t="shared" si="2"/>
        <v/>
      </c>
      <c r="L545" s="2" t="str">
        <f t="shared" si="3"/>
        <v>No</v>
      </c>
      <c r="M545" s="2" t="str">
        <f>IF(K545="","",F545*VLOOKUP(E545,WEIGHTS!$A$2:$F$4,2,FALSE)+G545*VLOOKUP(E545,WEIGHTS!$A$2:$F$4,3,FALSE)+H545*VLOOKUP(E545,WEIGHTS!$A$2:$F$4,4,FALSE)+I545*VLOOKUP(E545,WEIGHTS!$A$2:$F$4,5,FALSE)+J545*VLOOKUP(E545,WEIGHTS!$A$2:$F$4,6,FALSE))</f>
        <v/>
      </c>
      <c r="N545" s="2" t="str">
        <f t="shared" si="4"/>
        <v/>
      </c>
    </row>
    <row r="546" ht="15.75" customHeight="1">
      <c r="A546" s="3"/>
      <c r="B546" s="2" t="str">
        <f t="shared" si="1"/>
        <v/>
      </c>
      <c r="E546" s="2"/>
      <c r="F546" s="2"/>
      <c r="G546" s="2"/>
      <c r="H546" s="2"/>
      <c r="I546" s="2"/>
      <c r="J546" s="2"/>
      <c r="K546" s="2" t="str">
        <f t="shared" si="2"/>
        <v/>
      </c>
      <c r="L546" s="2" t="str">
        <f t="shared" si="3"/>
        <v>No</v>
      </c>
      <c r="M546" s="2" t="str">
        <f>IF(K546="","",F546*VLOOKUP(E546,WEIGHTS!$A$2:$F$4,2,FALSE)+G546*VLOOKUP(E546,WEIGHTS!$A$2:$F$4,3,FALSE)+H546*VLOOKUP(E546,WEIGHTS!$A$2:$F$4,4,FALSE)+I546*VLOOKUP(E546,WEIGHTS!$A$2:$F$4,5,FALSE)+J546*VLOOKUP(E546,WEIGHTS!$A$2:$F$4,6,FALSE))</f>
        <v/>
      </c>
      <c r="N546" s="2" t="str">
        <f t="shared" si="4"/>
        <v/>
      </c>
    </row>
    <row r="547" ht="15.75" customHeight="1">
      <c r="A547" s="3"/>
      <c r="B547" s="2" t="str">
        <f t="shared" si="1"/>
        <v/>
      </c>
      <c r="E547" s="2"/>
      <c r="F547" s="2"/>
      <c r="G547" s="2"/>
      <c r="H547" s="2"/>
      <c r="I547" s="2"/>
      <c r="J547" s="2"/>
      <c r="K547" s="2" t="str">
        <f t="shared" si="2"/>
        <v/>
      </c>
      <c r="L547" s="2" t="str">
        <f t="shared" si="3"/>
        <v>No</v>
      </c>
      <c r="M547" s="2" t="str">
        <f>IF(K547="","",F547*VLOOKUP(E547,WEIGHTS!$A$2:$F$4,2,FALSE)+G547*VLOOKUP(E547,WEIGHTS!$A$2:$F$4,3,FALSE)+H547*VLOOKUP(E547,WEIGHTS!$A$2:$F$4,4,FALSE)+I547*VLOOKUP(E547,WEIGHTS!$A$2:$F$4,5,FALSE)+J547*VLOOKUP(E547,WEIGHTS!$A$2:$F$4,6,FALSE))</f>
        <v/>
      </c>
      <c r="N547" s="2" t="str">
        <f t="shared" si="4"/>
        <v/>
      </c>
    </row>
    <row r="548" ht="15.75" customHeight="1">
      <c r="A548" s="3"/>
      <c r="B548" s="2" t="str">
        <f t="shared" si="1"/>
        <v/>
      </c>
      <c r="E548" s="2"/>
      <c r="F548" s="2"/>
      <c r="G548" s="2"/>
      <c r="H548" s="2"/>
      <c r="I548" s="2"/>
      <c r="J548" s="2"/>
      <c r="K548" s="2" t="str">
        <f t="shared" si="2"/>
        <v/>
      </c>
      <c r="L548" s="2" t="str">
        <f t="shared" si="3"/>
        <v>No</v>
      </c>
      <c r="M548" s="2" t="str">
        <f>IF(K548="","",F548*VLOOKUP(E548,WEIGHTS!$A$2:$F$4,2,FALSE)+G548*VLOOKUP(E548,WEIGHTS!$A$2:$F$4,3,FALSE)+H548*VLOOKUP(E548,WEIGHTS!$A$2:$F$4,4,FALSE)+I548*VLOOKUP(E548,WEIGHTS!$A$2:$F$4,5,FALSE)+J548*VLOOKUP(E548,WEIGHTS!$A$2:$F$4,6,FALSE))</f>
        <v/>
      </c>
      <c r="N548" s="2" t="str">
        <f t="shared" si="4"/>
        <v/>
      </c>
    </row>
    <row r="549" ht="15.75" customHeight="1">
      <c r="A549" s="3"/>
      <c r="B549" s="2" t="str">
        <f t="shared" si="1"/>
        <v/>
      </c>
      <c r="E549" s="2"/>
      <c r="F549" s="2"/>
      <c r="G549" s="2"/>
      <c r="H549" s="2"/>
      <c r="I549" s="2"/>
      <c r="J549" s="2"/>
      <c r="K549" s="2" t="str">
        <f t="shared" si="2"/>
        <v/>
      </c>
      <c r="L549" s="2" t="str">
        <f t="shared" si="3"/>
        <v>No</v>
      </c>
      <c r="M549" s="2" t="str">
        <f>IF(K549="","",F549*VLOOKUP(E549,WEIGHTS!$A$2:$F$4,2,FALSE)+G549*VLOOKUP(E549,WEIGHTS!$A$2:$F$4,3,FALSE)+H549*VLOOKUP(E549,WEIGHTS!$A$2:$F$4,4,FALSE)+I549*VLOOKUP(E549,WEIGHTS!$A$2:$F$4,5,FALSE)+J549*VLOOKUP(E549,WEIGHTS!$A$2:$F$4,6,FALSE))</f>
        <v/>
      </c>
      <c r="N549" s="2" t="str">
        <f t="shared" si="4"/>
        <v/>
      </c>
    </row>
    <row r="550" ht="15.75" customHeight="1">
      <c r="A550" s="3"/>
      <c r="B550" s="2" t="str">
        <f t="shared" si="1"/>
        <v/>
      </c>
      <c r="E550" s="2"/>
      <c r="F550" s="2"/>
      <c r="G550" s="2"/>
      <c r="H550" s="2"/>
      <c r="I550" s="2"/>
      <c r="J550" s="2"/>
      <c r="K550" s="2" t="str">
        <f t="shared" si="2"/>
        <v/>
      </c>
      <c r="L550" s="2" t="str">
        <f t="shared" si="3"/>
        <v>No</v>
      </c>
      <c r="M550" s="2" t="str">
        <f>IF(K550="","",F550*VLOOKUP(E550,WEIGHTS!$A$2:$F$4,2,FALSE)+G550*VLOOKUP(E550,WEIGHTS!$A$2:$F$4,3,FALSE)+H550*VLOOKUP(E550,WEIGHTS!$A$2:$F$4,4,FALSE)+I550*VLOOKUP(E550,WEIGHTS!$A$2:$F$4,5,FALSE)+J550*VLOOKUP(E550,WEIGHTS!$A$2:$F$4,6,FALSE))</f>
        <v/>
      </c>
      <c r="N550" s="2" t="str">
        <f t="shared" si="4"/>
        <v/>
      </c>
    </row>
    <row r="551" ht="15.75" customHeight="1">
      <c r="A551" s="3"/>
      <c r="B551" s="2" t="str">
        <f t="shared" si="1"/>
        <v/>
      </c>
      <c r="E551" s="2"/>
      <c r="F551" s="2"/>
      <c r="G551" s="2"/>
      <c r="H551" s="2"/>
      <c r="I551" s="2"/>
      <c r="J551" s="2"/>
      <c r="K551" s="2" t="str">
        <f t="shared" si="2"/>
        <v/>
      </c>
      <c r="L551" s="2" t="str">
        <f t="shared" si="3"/>
        <v>No</v>
      </c>
      <c r="M551" s="2" t="str">
        <f>IF(K551="","",F551*VLOOKUP(E551,WEIGHTS!$A$2:$F$4,2,FALSE)+G551*VLOOKUP(E551,WEIGHTS!$A$2:$F$4,3,FALSE)+H551*VLOOKUP(E551,WEIGHTS!$A$2:$F$4,4,FALSE)+I551*VLOOKUP(E551,WEIGHTS!$A$2:$F$4,5,FALSE)+J551*VLOOKUP(E551,WEIGHTS!$A$2:$F$4,6,FALSE))</f>
        <v/>
      </c>
      <c r="N551" s="2" t="str">
        <f t="shared" si="4"/>
        <v/>
      </c>
    </row>
    <row r="552" ht="15.75" customHeight="1">
      <c r="A552" s="3"/>
      <c r="B552" s="2" t="str">
        <f t="shared" si="1"/>
        <v/>
      </c>
      <c r="E552" s="2"/>
      <c r="F552" s="2"/>
      <c r="G552" s="2"/>
      <c r="H552" s="2"/>
      <c r="I552" s="2"/>
      <c r="J552" s="2"/>
      <c r="K552" s="2" t="str">
        <f t="shared" si="2"/>
        <v/>
      </c>
      <c r="L552" s="2" t="str">
        <f t="shared" si="3"/>
        <v>No</v>
      </c>
      <c r="M552" s="2" t="str">
        <f>IF(K552="","",F552*VLOOKUP(E552,WEIGHTS!$A$2:$F$4,2,FALSE)+G552*VLOOKUP(E552,WEIGHTS!$A$2:$F$4,3,FALSE)+H552*VLOOKUP(E552,WEIGHTS!$A$2:$F$4,4,FALSE)+I552*VLOOKUP(E552,WEIGHTS!$A$2:$F$4,5,FALSE)+J552*VLOOKUP(E552,WEIGHTS!$A$2:$F$4,6,FALSE))</f>
        <v/>
      </c>
      <c r="N552" s="2" t="str">
        <f t="shared" si="4"/>
        <v/>
      </c>
    </row>
    <row r="553" ht="15.75" customHeight="1">
      <c r="A553" s="3"/>
      <c r="B553" s="2" t="str">
        <f t="shared" si="1"/>
        <v/>
      </c>
      <c r="E553" s="2"/>
      <c r="F553" s="2"/>
      <c r="G553" s="2"/>
      <c r="H553" s="2"/>
      <c r="I553" s="2"/>
      <c r="J553" s="2"/>
      <c r="K553" s="2" t="str">
        <f t="shared" si="2"/>
        <v/>
      </c>
      <c r="L553" s="2" t="str">
        <f t="shared" si="3"/>
        <v>No</v>
      </c>
      <c r="M553" s="2" t="str">
        <f>IF(K553="","",F553*VLOOKUP(E553,WEIGHTS!$A$2:$F$4,2,FALSE)+G553*VLOOKUP(E553,WEIGHTS!$A$2:$F$4,3,FALSE)+H553*VLOOKUP(E553,WEIGHTS!$A$2:$F$4,4,FALSE)+I553*VLOOKUP(E553,WEIGHTS!$A$2:$F$4,5,FALSE)+J553*VLOOKUP(E553,WEIGHTS!$A$2:$F$4,6,FALSE))</f>
        <v/>
      </c>
      <c r="N553" s="2" t="str">
        <f t="shared" si="4"/>
        <v/>
      </c>
    </row>
    <row r="554" ht="15.75" customHeight="1">
      <c r="A554" s="3"/>
      <c r="B554" s="2" t="str">
        <f t="shared" si="1"/>
        <v/>
      </c>
      <c r="E554" s="2"/>
      <c r="F554" s="2"/>
      <c r="G554" s="2"/>
      <c r="H554" s="2"/>
      <c r="I554" s="2"/>
      <c r="J554" s="2"/>
      <c r="K554" s="2" t="str">
        <f t="shared" si="2"/>
        <v/>
      </c>
      <c r="L554" s="2" t="str">
        <f t="shared" si="3"/>
        <v>No</v>
      </c>
      <c r="M554" s="2" t="str">
        <f>IF(K554="","",F554*VLOOKUP(E554,WEIGHTS!$A$2:$F$4,2,FALSE)+G554*VLOOKUP(E554,WEIGHTS!$A$2:$F$4,3,FALSE)+H554*VLOOKUP(E554,WEIGHTS!$A$2:$F$4,4,FALSE)+I554*VLOOKUP(E554,WEIGHTS!$A$2:$F$4,5,FALSE)+J554*VLOOKUP(E554,WEIGHTS!$A$2:$F$4,6,FALSE))</f>
        <v/>
      </c>
      <c r="N554" s="2" t="str">
        <f t="shared" si="4"/>
        <v/>
      </c>
    </row>
    <row r="555" ht="15.75" customHeight="1">
      <c r="A555" s="3"/>
      <c r="B555" s="2" t="str">
        <f t="shared" si="1"/>
        <v/>
      </c>
      <c r="E555" s="2"/>
      <c r="F555" s="2"/>
      <c r="G555" s="2"/>
      <c r="H555" s="2"/>
      <c r="I555" s="2"/>
      <c r="J555" s="2"/>
      <c r="K555" s="2" t="str">
        <f t="shared" si="2"/>
        <v/>
      </c>
      <c r="L555" s="2" t="str">
        <f t="shared" si="3"/>
        <v>No</v>
      </c>
      <c r="M555" s="2" t="str">
        <f>IF(K555="","",F555*VLOOKUP(E555,WEIGHTS!$A$2:$F$4,2,FALSE)+G555*VLOOKUP(E555,WEIGHTS!$A$2:$F$4,3,FALSE)+H555*VLOOKUP(E555,WEIGHTS!$A$2:$F$4,4,FALSE)+I555*VLOOKUP(E555,WEIGHTS!$A$2:$F$4,5,FALSE)+J555*VLOOKUP(E555,WEIGHTS!$A$2:$F$4,6,FALSE))</f>
        <v/>
      </c>
      <c r="N555" s="2" t="str">
        <f t="shared" si="4"/>
        <v/>
      </c>
    </row>
    <row r="556" ht="15.75" customHeight="1">
      <c r="A556" s="3"/>
      <c r="B556" s="2" t="str">
        <f t="shared" si="1"/>
        <v/>
      </c>
      <c r="E556" s="2"/>
      <c r="F556" s="2"/>
      <c r="G556" s="2"/>
      <c r="H556" s="2"/>
      <c r="I556" s="2"/>
      <c r="J556" s="2"/>
      <c r="K556" s="2" t="str">
        <f t="shared" si="2"/>
        <v/>
      </c>
      <c r="L556" s="2" t="str">
        <f t="shared" si="3"/>
        <v>No</v>
      </c>
      <c r="M556" s="2" t="str">
        <f>IF(K556="","",F556*VLOOKUP(E556,WEIGHTS!$A$2:$F$4,2,FALSE)+G556*VLOOKUP(E556,WEIGHTS!$A$2:$F$4,3,FALSE)+H556*VLOOKUP(E556,WEIGHTS!$A$2:$F$4,4,FALSE)+I556*VLOOKUP(E556,WEIGHTS!$A$2:$F$4,5,FALSE)+J556*VLOOKUP(E556,WEIGHTS!$A$2:$F$4,6,FALSE))</f>
        <v/>
      </c>
      <c r="N556" s="2" t="str">
        <f t="shared" si="4"/>
        <v/>
      </c>
    </row>
    <row r="557" ht="15.75" customHeight="1">
      <c r="A557" s="3"/>
      <c r="B557" s="2" t="str">
        <f t="shared" si="1"/>
        <v/>
      </c>
      <c r="E557" s="2"/>
      <c r="F557" s="2"/>
      <c r="G557" s="2"/>
      <c r="H557" s="2"/>
      <c r="I557" s="2"/>
      <c r="J557" s="2"/>
      <c r="K557" s="2" t="str">
        <f t="shared" si="2"/>
        <v/>
      </c>
      <c r="L557" s="2" t="str">
        <f t="shared" si="3"/>
        <v>No</v>
      </c>
      <c r="M557" s="2" t="str">
        <f>IF(K557="","",F557*VLOOKUP(E557,WEIGHTS!$A$2:$F$4,2,FALSE)+G557*VLOOKUP(E557,WEIGHTS!$A$2:$F$4,3,FALSE)+H557*VLOOKUP(E557,WEIGHTS!$A$2:$F$4,4,FALSE)+I557*VLOOKUP(E557,WEIGHTS!$A$2:$F$4,5,FALSE)+J557*VLOOKUP(E557,WEIGHTS!$A$2:$F$4,6,FALSE))</f>
        <v/>
      </c>
      <c r="N557" s="2" t="str">
        <f t="shared" si="4"/>
        <v/>
      </c>
    </row>
    <row r="558" ht="15.75" customHeight="1">
      <c r="A558" s="3"/>
      <c r="B558" s="2" t="str">
        <f t="shared" si="1"/>
        <v/>
      </c>
      <c r="E558" s="2"/>
      <c r="F558" s="2"/>
      <c r="G558" s="2"/>
      <c r="H558" s="2"/>
      <c r="I558" s="2"/>
      <c r="J558" s="2"/>
      <c r="K558" s="2" t="str">
        <f t="shared" si="2"/>
        <v/>
      </c>
      <c r="L558" s="2" t="str">
        <f t="shared" si="3"/>
        <v>No</v>
      </c>
      <c r="M558" s="2" t="str">
        <f>IF(K558="","",F558*VLOOKUP(E558,WEIGHTS!$A$2:$F$4,2,FALSE)+G558*VLOOKUP(E558,WEIGHTS!$A$2:$F$4,3,FALSE)+H558*VLOOKUP(E558,WEIGHTS!$A$2:$F$4,4,FALSE)+I558*VLOOKUP(E558,WEIGHTS!$A$2:$F$4,5,FALSE)+J558*VLOOKUP(E558,WEIGHTS!$A$2:$F$4,6,FALSE))</f>
        <v/>
      </c>
      <c r="N558" s="2" t="str">
        <f t="shared" si="4"/>
        <v/>
      </c>
    </row>
    <row r="559" ht="15.75" customHeight="1">
      <c r="A559" s="3"/>
      <c r="B559" s="2" t="str">
        <f t="shared" si="1"/>
        <v/>
      </c>
      <c r="E559" s="2"/>
      <c r="F559" s="2"/>
      <c r="G559" s="2"/>
      <c r="H559" s="2"/>
      <c r="I559" s="2"/>
      <c r="J559" s="2"/>
      <c r="K559" s="2" t="str">
        <f t="shared" si="2"/>
        <v/>
      </c>
      <c r="L559" s="2" t="str">
        <f t="shared" si="3"/>
        <v>No</v>
      </c>
      <c r="M559" s="2" t="str">
        <f>IF(K559="","",F559*VLOOKUP(E559,WEIGHTS!$A$2:$F$4,2,FALSE)+G559*VLOOKUP(E559,WEIGHTS!$A$2:$F$4,3,FALSE)+H559*VLOOKUP(E559,WEIGHTS!$A$2:$F$4,4,FALSE)+I559*VLOOKUP(E559,WEIGHTS!$A$2:$F$4,5,FALSE)+J559*VLOOKUP(E559,WEIGHTS!$A$2:$F$4,6,FALSE))</f>
        <v/>
      </c>
      <c r="N559" s="2" t="str">
        <f t="shared" si="4"/>
        <v/>
      </c>
    </row>
    <row r="560" ht="15.75" customHeight="1">
      <c r="A560" s="3"/>
      <c r="B560" s="2" t="str">
        <f t="shared" si="1"/>
        <v/>
      </c>
      <c r="E560" s="2"/>
      <c r="F560" s="2"/>
      <c r="G560" s="2"/>
      <c r="H560" s="2"/>
      <c r="I560" s="2"/>
      <c r="J560" s="2"/>
      <c r="K560" s="2" t="str">
        <f t="shared" si="2"/>
        <v/>
      </c>
      <c r="L560" s="2" t="str">
        <f t="shared" si="3"/>
        <v>No</v>
      </c>
      <c r="M560" s="2" t="str">
        <f>IF(K560="","",F560*VLOOKUP(E560,WEIGHTS!$A$2:$F$4,2,FALSE)+G560*VLOOKUP(E560,WEIGHTS!$A$2:$F$4,3,FALSE)+H560*VLOOKUP(E560,WEIGHTS!$A$2:$F$4,4,FALSE)+I560*VLOOKUP(E560,WEIGHTS!$A$2:$F$4,5,FALSE)+J560*VLOOKUP(E560,WEIGHTS!$A$2:$F$4,6,FALSE))</f>
        <v/>
      </c>
      <c r="N560" s="2" t="str">
        <f t="shared" si="4"/>
        <v/>
      </c>
    </row>
    <row r="561" ht="15.75" customHeight="1">
      <c r="A561" s="3"/>
      <c r="B561" s="2" t="str">
        <f t="shared" si="1"/>
        <v/>
      </c>
      <c r="E561" s="2"/>
      <c r="F561" s="2"/>
      <c r="G561" s="2"/>
      <c r="H561" s="2"/>
      <c r="I561" s="2"/>
      <c r="J561" s="2"/>
      <c r="K561" s="2" t="str">
        <f t="shared" si="2"/>
        <v/>
      </c>
      <c r="L561" s="2" t="str">
        <f t="shared" si="3"/>
        <v>No</v>
      </c>
      <c r="M561" s="2" t="str">
        <f>IF(K561="","",F561*VLOOKUP(E561,WEIGHTS!$A$2:$F$4,2,FALSE)+G561*VLOOKUP(E561,WEIGHTS!$A$2:$F$4,3,FALSE)+H561*VLOOKUP(E561,WEIGHTS!$A$2:$F$4,4,FALSE)+I561*VLOOKUP(E561,WEIGHTS!$A$2:$F$4,5,FALSE)+J561*VLOOKUP(E561,WEIGHTS!$A$2:$F$4,6,FALSE))</f>
        <v/>
      </c>
      <c r="N561" s="2" t="str">
        <f t="shared" si="4"/>
        <v/>
      </c>
    </row>
    <row r="562" ht="15.75" customHeight="1">
      <c r="A562" s="3"/>
      <c r="B562" s="2" t="str">
        <f t="shared" si="1"/>
        <v/>
      </c>
      <c r="E562" s="2"/>
      <c r="F562" s="2"/>
      <c r="G562" s="2"/>
      <c r="H562" s="2"/>
      <c r="I562" s="2"/>
      <c r="J562" s="2"/>
      <c r="K562" s="2" t="str">
        <f t="shared" si="2"/>
        <v/>
      </c>
      <c r="L562" s="2" t="str">
        <f t="shared" si="3"/>
        <v>No</v>
      </c>
      <c r="M562" s="2" t="str">
        <f>IF(K562="","",F562*VLOOKUP(E562,WEIGHTS!$A$2:$F$4,2,FALSE)+G562*VLOOKUP(E562,WEIGHTS!$A$2:$F$4,3,FALSE)+H562*VLOOKUP(E562,WEIGHTS!$A$2:$F$4,4,FALSE)+I562*VLOOKUP(E562,WEIGHTS!$A$2:$F$4,5,FALSE)+J562*VLOOKUP(E562,WEIGHTS!$A$2:$F$4,6,FALSE))</f>
        <v/>
      </c>
      <c r="N562" s="2" t="str">
        <f t="shared" si="4"/>
        <v/>
      </c>
    </row>
    <row r="563" ht="15.75" customHeight="1">
      <c r="A563" s="3"/>
      <c r="B563" s="2" t="str">
        <f t="shared" si="1"/>
        <v/>
      </c>
      <c r="E563" s="2"/>
      <c r="F563" s="2"/>
      <c r="G563" s="2"/>
      <c r="H563" s="2"/>
      <c r="I563" s="2"/>
      <c r="J563" s="2"/>
      <c r="K563" s="2" t="str">
        <f t="shared" si="2"/>
        <v/>
      </c>
      <c r="L563" s="2" t="str">
        <f t="shared" si="3"/>
        <v>No</v>
      </c>
      <c r="M563" s="2" t="str">
        <f>IF(K563="","",F563*VLOOKUP(E563,WEIGHTS!$A$2:$F$4,2,FALSE)+G563*VLOOKUP(E563,WEIGHTS!$A$2:$F$4,3,FALSE)+H563*VLOOKUP(E563,WEIGHTS!$A$2:$F$4,4,FALSE)+I563*VLOOKUP(E563,WEIGHTS!$A$2:$F$4,5,FALSE)+J563*VLOOKUP(E563,WEIGHTS!$A$2:$F$4,6,FALSE))</f>
        <v/>
      </c>
      <c r="N563" s="2" t="str">
        <f t="shared" si="4"/>
        <v/>
      </c>
    </row>
    <row r="564" ht="15.75" customHeight="1">
      <c r="A564" s="3"/>
      <c r="B564" s="2" t="str">
        <f t="shared" si="1"/>
        <v/>
      </c>
      <c r="E564" s="2"/>
      <c r="F564" s="2"/>
      <c r="G564" s="2"/>
      <c r="H564" s="2"/>
      <c r="I564" s="2"/>
      <c r="J564" s="2"/>
      <c r="K564" s="2" t="str">
        <f t="shared" si="2"/>
        <v/>
      </c>
      <c r="L564" s="2" t="str">
        <f t="shared" si="3"/>
        <v>No</v>
      </c>
      <c r="M564" s="2" t="str">
        <f>IF(K564="","",F564*VLOOKUP(E564,WEIGHTS!$A$2:$F$4,2,FALSE)+G564*VLOOKUP(E564,WEIGHTS!$A$2:$F$4,3,FALSE)+H564*VLOOKUP(E564,WEIGHTS!$A$2:$F$4,4,FALSE)+I564*VLOOKUP(E564,WEIGHTS!$A$2:$F$4,5,FALSE)+J564*VLOOKUP(E564,WEIGHTS!$A$2:$F$4,6,FALSE))</f>
        <v/>
      </c>
      <c r="N564" s="2" t="str">
        <f t="shared" si="4"/>
        <v/>
      </c>
    </row>
    <row r="565" ht="15.75" customHeight="1">
      <c r="A565" s="3"/>
      <c r="B565" s="2" t="str">
        <f t="shared" si="1"/>
        <v/>
      </c>
      <c r="E565" s="2"/>
      <c r="F565" s="2"/>
      <c r="G565" s="2"/>
      <c r="H565" s="2"/>
      <c r="I565" s="2"/>
      <c r="J565" s="2"/>
      <c r="K565" s="2" t="str">
        <f t="shared" si="2"/>
        <v/>
      </c>
      <c r="L565" s="2" t="str">
        <f t="shared" si="3"/>
        <v>No</v>
      </c>
      <c r="M565" s="2" t="str">
        <f>IF(K565="","",F565*VLOOKUP(E565,WEIGHTS!$A$2:$F$4,2,FALSE)+G565*VLOOKUP(E565,WEIGHTS!$A$2:$F$4,3,FALSE)+H565*VLOOKUP(E565,WEIGHTS!$A$2:$F$4,4,FALSE)+I565*VLOOKUP(E565,WEIGHTS!$A$2:$F$4,5,FALSE)+J565*VLOOKUP(E565,WEIGHTS!$A$2:$F$4,6,FALSE))</f>
        <v/>
      </c>
      <c r="N565" s="2" t="str">
        <f t="shared" si="4"/>
        <v/>
      </c>
    </row>
    <row r="566" ht="15.75" customHeight="1">
      <c r="A566" s="3"/>
      <c r="B566" s="2" t="str">
        <f t="shared" si="1"/>
        <v/>
      </c>
      <c r="E566" s="2"/>
      <c r="F566" s="2"/>
      <c r="G566" s="2"/>
      <c r="H566" s="2"/>
      <c r="I566" s="2"/>
      <c r="J566" s="2"/>
      <c r="K566" s="2" t="str">
        <f t="shared" si="2"/>
        <v/>
      </c>
      <c r="L566" s="2" t="str">
        <f t="shared" si="3"/>
        <v>No</v>
      </c>
      <c r="M566" s="2" t="str">
        <f>IF(K566="","",F566*VLOOKUP(E566,WEIGHTS!$A$2:$F$4,2,FALSE)+G566*VLOOKUP(E566,WEIGHTS!$A$2:$F$4,3,FALSE)+H566*VLOOKUP(E566,WEIGHTS!$A$2:$F$4,4,FALSE)+I566*VLOOKUP(E566,WEIGHTS!$A$2:$F$4,5,FALSE)+J566*VLOOKUP(E566,WEIGHTS!$A$2:$F$4,6,FALSE))</f>
        <v/>
      </c>
      <c r="N566" s="2" t="str">
        <f t="shared" si="4"/>
        <v/>
      </c>
    </row>
    <row r="567" ht="15.75" customHeight="1">
      <c r="A567" s="3"/>
      <c r="B567" s="2" t="str">
        <f t="shared" si="1"/>
        <v/>
      </c>
      <c r="E567" s="2"/>
      <c r="F567" s="2"/>
      <c r="G567" s="2"/>
      <c r="H567" s="2"/>
      <c r="I567" s="2"/>
      <c r="J567" s="2"/>
      <c r="K567" s="2" t="str">
        <f t="shared" si="2"/>
        <v/>
      </c>
      <c r="L567" s="2" t="str">
        <f t="shared" si="3"/>
        <v>No</v>
      </c>
      <c r="M567" s="2" t="str">
        <f>IF(K567="","",F567*VLOOKUP(E567,WEIGHTS!$A$2:$F$4,2,FALSE)+G567*VLOOKUP(E567,WEIGHTS!$A$2:$F$4,3,FALSE)+H567*VLOOKUP(E567,WEIGHTS!$A$2:$F$4,4,FALSE)+I567*VLOOKUP(E567,WEIGHTS!$A$2:$F$4,5,FALSE)+J567*VLOOKUP(E567,WEIGHTS!$A$2:$F$4,6,FALSE))</f>
        <v/>
      </c>
      <c r="N567" s="2" t="str">
        <f t="shared" si="4"/>
        <v/>
      </c>
    </row>
    <row r="568" ht="15.75" customHeight="1">
      <c r="A568" s="3"/>
      <c r="B568" s="2" t="str">
        <f t="shared" si="1"/>
        <v/>
      </c>
      <c r="E568" s="2"/>
      <c r="F568" s="2"/>
      <c r="G568" s="2"/>
      <c r="H568" s="2"/>
      <c r="I568" s="2"/>
      <c r="J568" s="2"/>
      <c r="K568" s="2" t="str">
        <f t="shared" si="2"/>
        <v/>
      </c>
      <c r="L568" s="2" t="str">
        <f t="shared" si="3"/>
        <v>No</v>
      </c>
      <c r="M568" s="2" t="str">
        <f>IF(K568="","",F568*VLOOKUP(E568,WEIGHTS!$A$2:$F$4,2,FALSE)+G568*VLOOKUP(E568,WEIGHTS!$A$2:$F$4,3,FALSE)+H568*VLOOKUP(E568,WEIGHTS!$A$2:$F$4,4,FALSE)+I568*VLOOKUP(E568,WEIGHTS!$A$2:$F$4,5,FALSE)+J568*VLOOKUP(E568,WEIGHTS!$A$2:$F$4,6,FALSE))</f>
        <v/>
      </c>
      <c r="N568" s="2" t="str">
        <f t="shared" si="4"/>
        <v/>
      </c>
    </row>
    <row r="569" ht="15.75" customHeight="1">
      <c r="A569" s="3"/>
      <c r="B569" s="2" t="str">
        <f t="shared" si="1"/>
        <v/>
      </c>
      <c r="E569" s="2"/>
      <c r="F569" s="2"/>
      <c r="G569" s="2"/>
      <c r="H569" s="2"/>
      <c r="I569" s="2"/>
      <c r="J569" s="2"/>
      <c r="K569" s="2" t="str">
        <f t="shared" si="2"/>
        <v/>
      </c>
      <c r="L569" s="2" t="str">
        <f t="shared" si="3"/>
        <v>No</v>
      </c>
      <c r="M569" s="2" t="str">
        <f>IF(K569="","",F569*VLOOKUP(E569,WEIGHTS!$A$2:$F$4,2,FALSE)+G569*VLOOKUP(E569,WEIGHTS!$A$2:$F$4,3,FALSE)+H569*VLOOKUP(E569,WEIGHTS!$A$2:$F$4,4,FALSE)+I569*VLOOKUP(E569,WEIGHTS!$A$2:$F$4,5,FALSE)+J569*VLOOKUP(E569,WEIGHTS!$A$2:$F$4,6,FALSE))</f>
        <v/>
      </c>
      <c r="N569" s="2" t="str">
        <f t="shared" si="4"/>
        <v/>
      </c>
    </row>
    <row r="570" ht="15.75" customHeight="1">
      <c r="A570" s="3"/>
      <c r="B570" s="2" t="str">
        <f t="shared" si="1"/>
        <v/>
      </c>
      <c r="E570" s="2"/>
      <c r="F570" s="2"/>
      <c r="G570" s="2"/>
      <c r="H570" s="2"/>
      <c r="I570" s="2"/>
      <c r="J570" s="2"/>
      <c r="K570" s="2" t="str">
        <f t="shared" si="2"/>
        <v/>
      </c>
      <c r="L570" s="2" t="str">
        <f t="shared" si="3"/>
        <v>No</v>
      </c>
      <c r="M570" s="2" t="str">
        <f>IF(K570="","",F570*VLOOKUP(E570,WEIGHTS!$A$2:$F$4,2,FALSE)+G570*VLOOKUP(E570,WEIGHTS!$A$2:$F$4,3,FALSE)+H570*VLOOKUP(E570,WEIGHTS!$A$2:$F$4,4,FALSE)+I570*VLOOKUP(E570,WEIGHTS!$A$2:$F$4,5,FALSE)+J570*VLOOKUP(E570,WEIGHTS!$A$2:$F$4,6,FALSE))</f>
        <v/>
      </c>
      <c r="N570" s="2" t="str">
        <f t="shared" si="4"/>
        <v/>
      </c>
    </row>
    <row r="571" ht="15.75" customHeight="1">
      <c r="A571" s="3"/>
      <c r="B571" s="2" t="str">
        <f t="shared" si="1"/>
        <v/>
      </c>
      <c r="E571" s="2"/>
      <c r="F571" s="2"/>
      <c r="G571" s="2"/>
      <c r="H571" s="2"/>
      <c r="I571" s="2"/>
      <c r="J571" s="2"/>
      <c r="K571" s="2" t="str">
        <f t="shared" si="2"/>
        <v/>
      </c>
      <c r="L571" s="2" t="str">
        <f t="shared" si="3"/>
        <v>No</v>
      </c>
      <c r="M571" s="2" t="str">
        <f>IF(K571="","",F571*VLOOKUP(E571,WEIGHTS!$A$2:$F$4,2,FALSE)+G571*VLOOKUP(E571,WEIGHTS!$A$2:$F$4,3,FALSE)+H571*VLOOKUP(E571,WEIGHTS!$A$2:$F$4,4,FALSE)+I571*VLOOKUP(E571,WEIGHTS!$A$2:$F$4,5,FALSE)+J571*VLOOKUP(E571,WEIGHTS!$A$2:$F$4,6,FALSE))</f>
        <v/>
      </c>
      <c r="N571" s="2" t="str">
        <f t="shared" si="4"/>
        <v/>
      </c>
    </row>
    <row r="572" ht="15.75" customHeight="1">
      <c r="A572" s="3"/>
      <c r="B572" s="2" t="str">
        <f t="shared" si="1"/>
        <v/>
      </c>
      <c r="E572" s="2"/>
      <c r="F572" s="2"/>
      <c r="G572" s="2"/>
      <c r="H572" s="2"/>
      <c r="I572" s="2"/>
      <c r="J572" s="2"/>
      <c r="K572" s="2" t="str">
        <f t="shared" si="2"/>
        <v/>
      </c>
      <c r="L572" s="2" t="str">
        <f t="shared" si="3"/>
        <v>No</v>
      </c>
      <c r="M572" s="2" t="str">
        <f>IF(K572="","",F572*VLOOKUP(E572,WEIGHTS!$A$2:$F$4,2,FALSE)+G572*VLOOKUP(E572,WEIGHTS!$A$2:$F$4,3,FALSE)+H572*VLOOKUP(E572,WEIGHTS!$A$2:$F$4,4,FALSE)+I572*VLOOKUP(E572,WEIGHTS!$A$2:$F$4,5,FALSE)+J572*VLOOKUP(E572,WEIGHTS!$A$2:$F$4,6,FALSE))</f>
        <v/>
      </c>
      <c r="N572" s="2" t="str">
        <f t="shared" si="4"/>
        <v/>
      </c>
    </row>
    <row r="573" ht="15.75" customHeight="1">
      <c r="A573" s="3"/>
      <c r="B573" s="2" t="str">
        <f t="shared" si="1"/>
        <v/>
      </c>
      <c r="E573" s="2"/>
      <c r="F573" s="2"/>
      <c r="G573" s="2"/>
      <c r="H573" s="2"/>
      <c r="I573" s="2"/>
      <c r="J573" s="2"/>
      <c r="K573" s="2" t="str">
        <f t="shared" si="2"/>
        <v/>
      </c>
      <c r="L573" s="2" t="str">
        <f t="shared" si="3"/>
        <v>No</v>
      </c>
      <c r="M573" s="2" t="str">
        <f>IF(K573="","",F573*VLOOKUP(E573,WEIGHTS!$A$2:$F$4,2,FALSE)+G573*VLOOKUP(E573,WEIGHTS!$A$2:$F$4,3,FALSE)+H573*VLOOKUP(E573,WEIGHTS!$A$2:$F$4,4,FALSE)+I573*VLOOKUP(E573,WEIGHTS!$A$2:$F$4,5,FALSE)+J573*VLOOKUP(E573,WEIGHTS!$A$2:$F$4,6,FALSE))</f>
        <v/>
      </c>
      <c r="N573" s="2" t="str">
        <f t="shared" si="4"/>
        <v/>
      </c>
    </row>
    <row r="574" ht="15.75" customHeight="1">
      <c r="A574" s="3"/>
      <c r="B574" s="2" t="str">
        <f t="shared" si="1"/>
        <v/>
      </c>
      <c r="E574" s="2"/>
      <c r="F574" s="2"/>
      <c r="G574" s="2"/>
      <c r="H574" s="2"/>
      <c r="I574" s="2"/>
      <c r="J574" s="2"/>
      <c r="K574" s="2" t="str">
        <f t="shared" si="2"/>
        <v/>
      </c>
      <c r="L574" s="2" t="str">
        <f t="shared" si="3"/>
        <v>No</v>
      </c>
      <c r="M574" s="2" t="str">
        <f>IF(K574="","",F574*VLOOKUP(E574,WEIGHTS!$A$2:$F$4,2,FALSE)+G574*VLOOKUP(E574,WEIGHTS!$A$2:$F$4,3,FALSE)+H574*VLOOKUP(E574,WEIGHTS!$A$2:$F$4,4,FALSE)+I574*VLOOKUP(E574,WEIGHTS!$A$2:$F$4,5,FALSE)+J574*VLOOKUP(E574,WEIGHTS!$A$2:$F$4,6,FALSE))</f>
        <v/>
      </c>
      <c r="N574" s="2" t="str">
        <f t="shared" si="4"/>
        <v/>
      </c>
    </row>
    <row r="575" ht="15.75" customHeight="1">
      <c r="A575" s="3"/>
      <c r="B575" s="2" t="str">
        <f t="shared" si="1"/>
        <v/>
      </c>
      <c r="E575" s="2"/>
      <c r="F575" s="2"/>
      <c r="G575" s="2"/>
      <c r="H575" s="2"/>
      <c r="I575" s="2"/>
      <c r="J575" s="2"/>
      <c r="K575" s="2" t="str">
        <f t="shared" si="2"/>
        <v/>
      </c>
      <c r="L575" s="2" t="str">
        <f t="shared" si="3"/>
        <v>No</v>
      </c>
      <c r="M575" s="2" t="str">
        <f>IF(K575="","",F575*VLOOKUP(E575,WEIGHTS!$A$2:$F$4,2,FALSE)+G575*VLOOKUP(E575,WEIGHTS!$A$2:$F$4,3,FALSE)+H575*VLOOKUP(E575,WEIGHTS!$A$2:$F$4,4,FALSE)+I575*VLOOKUP(E575,WEIGHTS!$A$2:$F$4,5,FALSE)+J575*VLOOKUP(E575,WEIGHTS!$A$2:$F$4,6,FALSE))</f>
        <v/>
      </c>
      <c r="N575" s="2" t="str">
        <f t="shared" si="4"/>
        <v/>
      </c>
    </row>
    <row r="576" ht="15.75" customHeight="1">
      <c r="A576" s="3"/>
      <c r="B576" s="2" t="str">
        <f t="shared" si="1"/>
        <v/>
      </c>
      <c r="E576" s="2"/>
      <c r="F576" s="2"/>
      <c r="G576" s="2"/>
      <c r="H576" s="2"/>
      <c r="I576" s="2"/>
      <c r="J576" s="2"/>
      <c r="K576" s="2" t="str">
        <f t="shared" si="2"/>
        <v/>
      </c>
      <c r="L576" s="2" t="str">
        <f t="shared" si="3"/>
        <v>No</v>
      </c>
      <c r="M576" s="2" t="str">
        <f>IF(K576="","",F576*VLOOKUP(E576,WEIGHTS!$A$2:$F$4,2,FALSE)+G576*VLOOKUP(E576,WEIGHTS!$A$2:$F$4,3,FALSE)+H576*VLOOKUP(E576,WEIGHTS!$A$2:$F$4,4,FALSE)+I576*VLOOKUP(E576,WEIGHTS!$A$2:$F$4,5,FALSE)+J576*VLOOKUP(E576,WEIGHTS!$A$2:$F$4,6,FALSE))</f>
        <v/>
      </c>
      <c r="N576" s="2" t="str">
        <f t="shared" si="4"/>
        <v/>
      </c>
    </row>
    <row r="577" ht="15.75" customHeight="1">
      <c r="A577" s="3"/>
      <c r="B577" s="2" t="str">
        <f t="shared" si="1"/>
        <v/>
      </c>
      <c r="E577" s="2"/>
      <c r="F577" s="2"/>
      <c r="G577" s="2"/>
      <c r="H577" s="2"/>
      <c r="I577" s="2"/>
      <c r="J577" s="2"/>
      <c r="K577" s="2" t="str">
        <f t="shared" si="2"/>
        <v/>
      </c>
      <c r="L577" s="2" t="str">
        <f t="shared" si="3"/>
        <v>No</v>
      </c>
      <c r="M577" s="2" t="str">
        <f>IF(K577="","",F577*VLOOKUP(E577,WEIGHTS!$A$2:$F$4,2,FALSE)+G577*VLOOKUP(E577,WEIGHTS!$A$2:$F$4,3,FALSE)+H577*VLOOKUP(E577,WEIGHTS!$A$2:$F$4,4,FALSE)+I577*VLOOKUP(E577,WEIGHTS!$A$2:$F$4,5,FALSE)+J577*VLOOKUP(E577,WEIGHTS!$A$2:$F$4,6,FALSE))</f>
        <v/>
      </c>
      <c r="N577" s="2" t="str">
        <f t="shared" si="4"/>
        <v/>
      </c>
    </row>
    <row r="578" ht="15.75" customHeight="1">
      <c r="A578" s="3"/>
      <c r="B578" s="2" t="str">
        <f t="shared" si="1"/>
        <v/>
      </c>
      <c r="E578" s="2"/>
      <c r="F578" s="2"/>
      <c r="G578" s="2"/>
      <c r="H578" s="2"/>
      <c r="I578" s="2"/>
      <c r="J578" s="2"/>
      <c r="K578" s="2" t="str">
        <f t="shared" si="2"/>
        <v/>
      </c>
      <c r="L578" s="2" t="str">
        <f t="shared" si="3"/>
        <v>No</v>
      </c>
      <c r="M578" s="2" t="str">
        <f>IF(K578="","",F578*VLOOKUP(E578,WEIGHTS!$A$2:$F$4,2,FALSE)+G578*VLOOKUP(E578,WEIGHTS!$A$2:$F$4,3,FALSE)+H578*VLOOKUP(E578,WEIGHTS!$A$2:$F$4,4,FALSE)+I578*VLOOKUP(E578,WEIGHTS!$A$2:$F$4,5,FALSE)+J578*VLOOKUP(E578,WEIGHTS!$A$2:$F$4,6,FALSE))</f>
        <v/>
      </c>
      <c r="N578" s="2" t="str">
        <f t="shared" si="4"/>
        <v/>
      </c>
    </row>
    <row r="579" ht="15.75" customHeight="1">
      <c r="A579" s="3"/>
      <c r="B579" s="2" t="str">
        <f t="shared" si="1"/>
        <v/>
      </c>
      <c r="E579" s="2"/>
      <c r="F579" s="2"/>
      <c r="G579" s="2"/>
      <c r="H579" s="2"/>
      <c r="I579" s="2"/>
      <c r="J579" s="2"/>
      <c r="K579" s="2" t="str">
        <f t="shared" si="2"/>
        <v/>
      </c>
      <c r="L579" s="2" t="str">
        <f t="shared" si="3"/>
        <v>No</v>
      </c>
      <c r="M579" s="2" t="str">
        <f>IF(K579="","",F579*VLOOKUP(E579,WEIGHTS!$A$2:$F$4,2,FALSE)+G579*VLOOKUP(E579,WEIGHTS!$A$2:$F$4,3,FALSE)+H579*VLOOKUP(E579,WEIGHTS!$A$2:$F$4,4,FALSE)+I579*VLOOKUP(E579,WEIGHTS!$A$2:$F$4,5,FALSE)+J579*VLOOKUP(E579,WEIGHTS!$A$2:$F$4,6,FALSE))</f>
        <v/>
      </c>
      <c r="N579" s="2" t="str">
        <f t="shared" si="4"/>
        <v/>
      </c>
    </row>
    <row r="580" ht="15.75" customHeight="1">
      <c r="A580" s="3"/>
      <c r="B580" s="2" t="str">
        <f t="shared" si="1"/>
        <v/>
      </c>
      <c r="E580" s="2"/>
      <c r="F580" s="2"/>
      <c r="G580" s="2"/>
      <c r="H580" s="2"/>
      <c r="I580" s="2"/>
      <c r="J580" s="2"/>
      <c r="K580" s="2" t="str">
        <f t="shared" si="2"/>
        <v/>
      </c>
      <c r="L580" s="2" t="str">
        <f t="shared" si="3"/>
        <v>No</v>
      </c>
      <c r="M580" s="2" t="str">
        <f>IF(K580="","",F580*VLOOKUP(E580,WEIGHTS!$A$2:$F$4,2,FALSE)+G580*VLOOKUP(E580,WEIGHTS!$A$2:$F$4,3,FALSE)+H580*VLOOKUP(E580,WEIGHTS!$A$2:$F$4,4,FALSE)+I580*VLOOKUP(E580,WEIGHTS!$A$2:$F$4,5,FALSE)+J580*VLOOKUP(E580,WEIGHTS!$A$2:$F$4,6,FALSE))</f>
        <v/>
      </c>
      <c r="N580" s="2" t="str">
        <f t="shared" si="4"/>
        <v/>
      </c>
    </row>
    <row r="581" ht="15.75" customHeight="1">
      <c r="A581" s="3"/>
      <c r="B581" s="2" t="str">
        <f t="shared" si="1"/>
        <v/>
      </c>
      <c r="E581" s="2"/>
      <c r="F581" s="2"/>
      <c r="G581" s="2"/>
      <c r="H581" s="2"/>
      <c r="I581" s="2"/>
      <c r="J581" s="2"/>
      <c r="K581" s="2" t="str">
        <f t="shared" si="2"/>
        <v/>
      </c>
      <c r="L581" s="2" t="str">
        <f t="shared" si="3"/>
        <v>No</v>
      </c>
      <c r="M581" s="2" t="str">
        <f>IF(K581="","",F581*VLOOKUP(E581,WEIGHTS!$A$2:$F$4,2,FALSE)+G581*VLOOKUP(E581,WEIGHTS!$A$2:$F$4,3,FALSE)+H581*VLOOKUP(E581,WEIGHTS!$A$2:$F$4,4,FALSE)+I581*VLOOKUP(E581,WEIGHTS!$A$2:$F$4,5,FALSE)+J581*VLOOKUP(E581,WEIGHTS!$A$2:$F$4,6,FALSE))</f>
        <v/>
      </c>
      <c r="N581" s="2" t="str">
        <f t="shared" si="4"/>
        <v/>
      </c>
    </row>
    <row r="582" ht="15.75" customHeight="1">
      <c r="A582" s="3"/>
      <c r="B582" s="2" t="str">
        <f t="shared" si="1"/>
        <v/>
      </c>
      <c r="E582" s="2"/>
      <c r="F582" s="2"/>
      <c r="G582" s="2"/>
      <c r="H582" s="2"/>
      <c r="I582" s="2"/>
      <c r="J582" s="2"/>
      <c r="K582" s="2" t="str">
        <f t="shared" si="2"/>
        <v/>
      </c>
      <c r="L582" s="2" t="str">
        <f t="shared" si="3"/>
        <v>No</v>
      </c>
      <c r="M582" s="2" t="str">
        <f>IF(K582="","",F582*VLOOKUP(E582,WEIGHTS!$A$2:$F$4,2,FALSE)+G582*VLOOKUP(E582,WEIGHTS!$A$2:$F$4,3,FALSE)+H582*VLOOKUP(E582,WEIGHTS!$A$2:$F$4,4,FALSE)+I582*VLOOKUP(E582,WEIGHTS!$A$2:$F$4,5,FALSE)+J582*VLOOKUP(E582,WEIGHTS!$A$2:$F$4,6,FALSE))</f>
        <v/>
      </c>
      <c r="N582" s="2" t="str">
        <f t="shared" si="4"/>
        <v/>
      </c>
    </row>
    <row r="583" ht="15.75" customHeight="1">
      <c r="A583" s="3"/>
      <c r="B583" s="2" t="str">
        <f t="shared" si="1"/>
        <v/>
      </c>
      <c r="E583" s="2"/>
      <c r="F583" s="2"/>
      <c r="G583" s="2"/>
      <c r="H583" s="2"/>
      <c r="I583" s="2"/>
      <c r="J583" s="2"/>
      <c r="K583" s="2" t="str">
        <f t="shared" si="2"/>
        <v/>
      </c>
      <c r="L583" s="2" t="str">
        <f t="shared" si="3"/>
        <v>No</v>
      </c>
      <c r="M583" s="2" t="str">
        <f>IF(K583="","",F583*VLOOKUP(E583,WEIGHTS!$A$2:$F$4,2,FALSE)+G583*VLOOKUP(E583,WEIGHTS!$A$2:$F$4,3,FALSE)+H583*VLOOKUP(E583,WEIGHTS!$A$2:$F$4,4,FALSE)+I583*VLOOKUP(E583,WEIGHTS!$A$2:$F$4,5,FALSE)+J583*VLOOKUP(E583,WEIGHTS!$A$2:$F$4,6,FALSE))</f>
        <v/>
      </c>
      <c r="N583" s="2" t="str">
        <f t="shared" si="4"/>
        <v/>
      </c>
    </row>
    <row r="584" ht="15.75" customHeight="1">
      <c r="A584" s="3"/>
      <c r="B584" s="2" t="str">
        <f t="shared" si="1"/>
        <v/>
      </c>
      <c r="E584" s="2"/>
      <c r="F584" s="2"/>
      <c r="G584" s="2"/>
      <c r="H584" s="2"/>
      <c r="I584" s="2"/>
      <c r="J584" s="2"/>
      <c r="K584" s="2" t="str">
        <f t="shared" si="2"/>
        <v/>
      </c>
      <c r="L584" s="2" t="str">
        <f t="shared" si="3"/>
        <v>No</v>
      </c>
      <c r="M584" s="2" t="str">
        <f>IF(K584="","",F584*VLOOKUP(E584,WEIGHTS!$A$2:$F$4,2,FALSE)+G584*VLOOKUP(E584,WEIGHTS!$A$2:$F$4,3,FALSE)+H584*VLOOKUP(E584,WEIGHTS!$A$2:$F$4,4,FALSE)+I584*VLOOKUP(E584,WEIGHTS!$A$2:$F$4,5,FALSE)+J584*VLOOKUP(E584,WEIGHTS!$A$2:$F$4,6,FALSE))</f>
        <v/>
      </c>
      <c r="N584" s="2" t="str">
        <f t="shared" si="4"/>
        <v/>
      </c>
    </row>
    <row r="585" ht="15.75" customHeight="1">
      <c r="A585" s="3"/>
      <c r="B585" s="2" t="str">
        <f t="shared" si="1"/>
        <v/>
      </c>
      <c r="E585" s="2"/>
      <c r="F585" s="2"/>
      <c r="G585" s="2"/>
      <c r="H585" s="2"/>
      <c r="I585" s="2"/>
      <c r="J585" s="2"/>
      <c r="K585" s="2" t="str">
        <f t="shared" si="2"/>
        <v/>
      </c>
      <c r="L585" s="2" t="str">
        <f t="shared" si="3"/>
        <v>No</v>
      </c>
      <c r="M585" s="2" t="str">
        <f>IF(K585="","",F585*VLOOKUP(E585,WEIGHTS!$A$2:$F$4,2,FALSE)+G585*VLOOKUP(E585,WEIGHTS!$A$2:$F$4,3,FALSE)+H585*VLOOKUP(E585,WEIGHTS!$A$2:$F$4,4,FALSE)+I585*VLOOKUP(E585,WEIGHTS!$A$2:$F$4,5,FALSE)+J585*VLOOKUP(E585,WEIGHTS!$A$2:$F$4,6,FALSE))</f>
        <v/>
      </c>
      <c r="N585" s="2" t="str">
        <f t="shared" si="4"/>
        <v/>
      </c>
    </row>
    <row r="586" ht="15.75" customHeight="1">
      <c r="A586" s="3"/>
      <c r="B586" s="2" t="str">
        <f t="shared" si="1"/>
        <v/>
      </c>
      <c r="E586" s="2"/>
      <c r="F586" s="2"/>
      <c r="G586" s="2"/>
      <c r="H586" s="2"/>
      <c r="I586" s="2"/>
      <c r="J586" s="2"/>
      <c r="K586" s="2" t="str">
        <f t="shared" si="2"/>
        <v/>
      </c>
      <c r="L586" s="2" t="str">
        <f t="shared" si="3"/>
        <v>No</v>
      </c>
      <c r="M586" s="2" t="str">
        <f>IF(K586="","",F586*VLOOKUP(E586,WEIGHTS!$A$2:$F$4,2,FALSE)+G586*VLOOKUP(E586,WEIGHTS!$A$2:$F$4,3,FALSE)+H586*VLOOKUP(E586,WEIGHTS!$A$2:$F$4,4,FALSE)+I586*VLOOKUP(E586,WEIGHTS!$A$2:$F$4,5,FALSE)+J586*VLOOKUP(E586,WEIGHTS!$A$2:$F$4,6,FALSE))</f>
        <v/>
      </c>
      <c r="N586" s="2" t="str">
        <f t="shared" si="4"/>
        <v/>
      </c>
    </row>
    <row r="587" ht="15.75" customHeight="1">
      <c r="A587" s="3"/>
      <c r="B587" s="2" t="str">
        <f t="shared" si="1"/>
        <v/>
      </c>
      <c r="E587" s="2"/>
      <c r="F587" s="2"/>
      <c r="G587" s="2"/>
      <c r="H587" s="2"/>
      <c r="I587" s="2"/>
      <c r="J587" s="2"/>
      <c r="K587" s="2" t="str">
        <f t="shared" si="2"/>
        <v/>
      </c>
      <c r="L587" s="2" t="str">
        <f t="shared" si="3"/>
        <v>No</v>
      </c>
      <c r="M587" s="2" t="str">
        <f>IF(K587="","",F587*VLOOKUP(E587,WEIGHTS!$A$2:$F$4,2,FALSE)+G587*VLOOKUP(E587,WEIGHTS!$A$2:$F$4,3,FALSE)+H587*VLOOKUP(E587,WEIGHTS!$A$2:$F$4,4,FALSE)+I587*VLOOKUP(E587,WEIGHTS!$A$2:$F$4,5,FALSE)+J587*VLOOKUP(E587,WEIGHTS!$A$2:$F$4,6,FALSE))</f>
        <v/>
      </c>
      <c r="N587" s="2" t="str">
        <f t="shared" si="4"/>
        <v/>
      </c>
    </row>
    <row r="588" ht="15.75" customHeight="1">
      <c r="A588" s="3"/>
      <c r="B588" s="2" t="str">
        <f t="shared" si="1"/>
        <v/>
      </c>
      <c r="E588" s="2"/>
      <c r="F588" s="2"/>
      <c r="G588" s="2"/>
      <c r="H588" s="2"/>
      <c r="I588" s="2"/>
      <c r="J588" s="2"/>
      <c r="K588" s="2" t="str">
        <f t="shared" si="2"/>
        <v/>
      </c>
      <c r="L588" s="2" t="str">
        <f t="shared" si="3"/>
        <v>No</v>
      </c>
      <c r="M588" s="2" t="str">
        <f>IF(K588="","",F588*VLOOKUP(E588,WEIGHTS!$A$2:$F$4,2,FALSE)+G588*VLOOKUP(E588,WEIGHTS!$A$2:$F$4,3,FALSE)+H588*VLOOKUP(E588,WEIGHTS!$A$2:$F$4,4,FALSE)+I588*VLOOKUP(E588,WEIGHTS!$A$2:$F$4,5,FALSE)+J588*VLOOKUP(E588,WEIGHTS!$A$2:$F$4,6,FALSE))</f>
        <v/>
      </c>
      <c r="N588" s="2" t="str">
        <f t="shared" si="4"/>
        <v/>
      </c>
    </row>
    <row r="589" ht="15.75" customHeight="1">
      <c r="A589" s="3"/>
      <c r="B589" s="2" t="str">
        <f t="shared" si="1"/>
        <v/>
      </c>
      <c r="E589" s="2"/>
      <c r="F589" s="2"/>
      <c r="G589" s="2"/>
      <c r="H589" s="2"/>
      <c r="I589" s="2"/>
      <c r="J589" s="2"/>
      <c r="K589" s="2" t="str">
        <f t="shared" si="2"/>
        <v/>
      </c>
      <c r="L589" s="2" t="str">
        <f t="shared" si="3"/>
        <v>No</v>
      </c>
      <c r="M589" s="2" t="str">
        <f>IF(K589="","",F589*VLOOKUP(E589,WEIGHTS!$A$2:$F$4,2,FALSE)+G589*VLOOKUP(E589,WEIGHTS!$A$2:$F$4,3,FALSE)+H589*VLOOKUP(E589,WEIGHTS!$A$2:$F$4,4,FALSE)+I589*VLOOKUP(E589,WEIGHTS!$A$2:$F$4,5,FALSE)+J589*VLOOKUP(E589,WEIGHTS!$A$2:$F$4,6,FALSE))</f>
        <v/>
      </c>
      <c r="N589" s="2" t="str">
        <f t="shared" si="4"/>
        <v/>
      </c>
    </row>
    <row r="590" ht="15.75" customHeight="1">
      <c r="A590" s="3"/>
      <c r="B590" s="2" t="str">
        <f t="shared" si="1"/>
        <v/>
      </c>
      <c r="E590" s="2"/>
      <c r="F590" s="2"/>
      <c r="G590" s="2"/>
      <c r="H590" s="2"/>
      <c r="I590" s="2"/>
      <c r="J590" s="2"/>
      <c r="K590" s="2" t="str">
        <f t="shared" si="2"/>
        <v/>
      </c>
      <c r="L590" s="2" t="str">
        <f t="shared" si="3"/>
        <v>No</v>
      </c>
      <c r="M590" s="2" t="str">
        <f>IF(K590="","",F590*VLOOKUP(E590,WEIGHTS!$A$2:$F$4,2,FALSE)+G590*VLOOKUP(E590,WEIGHTS!$A$2:$F$4,3,FALSE)+H590*VLOOKUP(E590,WEIGHTS!$A$2:$F$4,4,FALSE)+I590*VLOOKUP(E590,WEIGHTS!$A$2:$F$4,5,FALSE)+J590*VLOOKUP(E590,WEIGHTS!$A$2:$F$4,6,FALSE))</f>
        <v/>
      </c>
      <c r="N590" s="2" t="str">
        <f t="shared" si="4"/>
        <v/>
      </c>
    </row>
    <row r="591" ht="15.75" customHeight="1">
      <c r="A591" s="3"/>
      <c r="B591" s="2" t="str">
        <f t="shared" si="1"/>
        <v/>
      </c>
      <c r="E591" s="2"/>
      <c r="F591" s="2"/>
      <c r="G591" s="2"/>
      <c r="H591" s="2"/>
      <c r="I591" s="2"/>
      <c r="J591" s="2"/>
      <c r="K591" s="2" t="str">
        <f t="shared" si="2"/>
        <v/>
      </c>
      <c r="L591" s="2" t="str">
        <f t="shared" si="3"/>
        <v>No</v>
      </c>
      <c r="M591" s="2" t="str">
        <f>IF(K591="","",F591*VLOOKUP(E591,WEIGHTS!$A$2:$F$4,2,FALSE)+G591*VLOOKUP(E591,WEIGHTS!$A$2:$F$4,3,FALSE)+H591*VLOOKUP(E591,WEIGHTS!$A$2:$F$4,4,FALSE)+I591*VLOOKUP(E591,WEIGHTS!$A$2:$F$4,5,FALSE)+J591*VLOOKUP(E591,WEIGHTS!$A$2:$F$4,6,FALSE))</f>
        <v/>
      </c>
      <c r="N591" s="2" t="str">
        <f t="shared" si="4"/>
        <v/>
      </c>
    </row>
    <row r="592" ht="15.75" customHeight="1">
      <c r="A592" s="3"/>
      <c r="B592" s="2" t="str">
        <f t="shared" si="1"/>
        <v/>
      </c>
      <c r="E592" s="2"/>
      <c r="F592" s="2"/>
      <c r="G592" s="2"/>
      <c r="H592" s="2"/>
      <c r="I592" s="2"/>
      <c r="J592" s="2"/>
      <c r="K592" s="2" t="str">
        <f t="shared" si="2"/>
        <v/>
      </c>
      <c r="L592" s="2" t="str">
        <f t="shared" si="3"/>
        <v>No</v>
      </c>
      <c r="M592" s="2" t="str">
        <f>IF(K592="","",F592*VLOOKUP(E592,WEIGHTS!$A$2:$F$4,2,FALSE)+G592*VLOOKUP(E592,WEIGHTS!$A$2:$F$4,3,FALSE)+H592*VLOOKUP(E592,WEIGHTS!$A$2:$F$4,4,FALSE)+I592*VLOOKUP(E592,WEIGHTS!$A$2:$F$4,5,FALSE)+J592*VLOOKUP(E592,WEIGHTS!$A$2:$F$4,6,FALSE))</f>
        <v/>
      </c>
      <c r="N592" s="2" t="str">
        <f t="shared" si="4"/>
        <v/>
      </c>
    </row>
    <row r="593" ht="15.75" customHeight="1">
      <c r="A593" s="3"/>
      <c r="B593" s="2" t="str">
        <f t="shared" si="1"/>
        <v/>
      </c>
      <c r="E593" s="2"/>
      <c r="F593" s="2"/>
      <c r="G593" s="2"/>
      <c r="H593" s="2"/>
      <c r="I593" s="2"/>
      <c r="J593" s="2"/>
      <c r="K593" s="2" t="str">
        <f t="shared" si="2"/>
        <v/>
      </c>
      <c r="L593" s="2" t="str">
        <f t="shared" si="3"/>
        <v>No</v>
      </c>
      <c r="M593" s="2" t="str">
        <f>IF(K593="","",F593*VLOOKUP(E593,WEIGHTS!$A$2:$F$4,2,FALSE)+G593*VLOOKUP(E593,WEIGHTS!$A$2:$F$4,3,FALSE)+H593*VLOOKUP(E593,WEIGHTS!$A$2:$F$4,4,FALSE)+I593*VLOOKUP(E593,WEIGHTS!$A$2:$F$4,5,FALSE)+J593*VLOOKUP(E593,WEIGHTS!$A$2:$F$4,6,FALSE))</f>
        <v/>
      </c>
      <c r="N593" s="2" t="str">
        <f t="shared" si="4"/>
        <v/>
      </c>
    </row>
    <row r="594" ht="15.75" customHeight="1">
      <c r="A594" s="3"/>
      <c r="B594" s="2" t="str">
        <f t="shared" si="1"/>
        <v/>
      </c>
      <c r="E594" s="2"/>
      <c r="F594" s="2"/>
      <c r="G594" s="2"/>
      <c r="H594" s="2"/>
      <c r="I594" s="2"/>
      <c r="J594" s="2"/>
      <c r="K594" s="2" t="str">
        <f t="shared" si="2"/>
        <v/>
      </c>
      <c r="L594" s="2" t="str">
        <f t="shared" si="3"/>
        <v>No</v>
      </c>
      <c r="M594" s="2" t="str">
        <f>IF(K594="","",F594*VLOOKUP(E594,WEIGHTS!$A$2:$F$4,2,FALSE)+G594*VLOOKUP(E594,WEIGHTS!$A$2:$F$4,3,FALSE)+H594*VLOOKUP(E594,WEIGHTS!$A$2:$F$4,4,FALSE)+I594*VLOOKUP(E594,WEIGHTS!$A$2:$F$4,5,FALSE)+J594*VLOOKUP(E594,WEIGHTS!$A$2:$F$4,6,FALSE))</f>
        <v/>
      </c>
      <c r="N594" s="2" t="str">
        <f t="shared" si="4"/>
        <v/>
      </c>
    </row>
    <row r="595" ht="15.75" customHeight="1">
      <c r="A595" s="3"/>
      <c r="B595" s="2" t="str">
        <f t="shared" si="1"/>
        <v/>
      </c>
      <c r="E595" s="2"/>
      <c r="F595" s="2"/>
      <c r="G595" s="2"/>
      <c r="H595" s="2"/>
      <c r="I595" s="2"/>
      <c r="J595" s="2"/>
      <c r="K595" s="2" t="str">
        <f t="shared" si="2"/>
        <v/>
      </c>
      <c r="L595" s="2" t="str">
        <f t="shared" si="3"/>
        <v>No</v>
      </c>
      <c r="M595" s="2" t="str">
        <f>IF(K595="","",F595*VLOOKUP(E595,WEIGHTS!$A$2:$F$4,2,FALSE)+G595*VLOOKUP(E595,WEIGHTS!$A$2:$F$4,3,FALSE)+H595*VLOOKUP(E595,WEIGHTS!$A$2:$F$4,4,FALSE)+I595*VLOOKUP(E595,WEIGHTS!$A$2:$F$4,5,FALSE)+J595*VLOOKUP(E595,WEIGHTS!$A$2:$F$4,6,FALSE))</f>
        <v/>
      </c>
      <c r="N595" s="2" t="str">
        <f t="shared" si="4"/>
        <v/>
      </c>
    </row>
    <row r="596" ht="15.75" customHeight="1">
      <c r="A596" s="3"/>
      <c r="B596" s="2" t="str">
        <f t="shared" si="1"/>
        <v/>
      </c>
      <c r="E596" s="2"/>
      <c r="F596" s="2"/>
      <c r="G596" s="2"/>
      <c r="H596" s="2"/>
      <c r="I596" s="2"/>
      <c r="J596" s="2"/>
      <c r="K596" s="2" t="str">
        <f t="shared" si="2"/>
        <v/>
      </c>
      <c r="L596" s="2" t="str">
        <f t="shared" si="3"/>
        <v>No</v>
      </c>
      <c r="M596" s="2" t="str">
        <f>IF(K596="","",F596*VLOOKUP(E596,WEIGHTS!$A$2:$F$4,2,FALSE)+G596*VLOOKUP(E596,WEIGHTS!$A$2:$F$4,3,FALSE)+H596*VLOOKUP(E596,WEIGHTS!$A$2:$F$4,4,FALSE)+I596*VLOOKUP(E596,WEIGHTS!$A$2:$F$4,5,FALSE)+J596*VLOOKUP(E596,WEIGHTS!$A$2:$F$4,6,FALSE))</f>
        <v/>
      </c>
      <c r="N596" s="2" t="str">
        <f t="shared" si="4"/>
        <v/>
      </c>
    </row>
    <row r="597" ht="15.75" customHeight="1">
      <c r="A597" s="3"/>
      <c r="B597" s="2" t="str">
        <f t="shared" si="1"/>
        <v/>
      </c>
      <c r="E597" s="2"/>
      <c r="F597" s="2"/>
      <c r="G597" s="2"/>
      <c r="H597" s="2"/>
      <c r="I597" s="2"/>
      <c r="J597" s="2"/>
      <c r="K597" s="2" t="str">
        <f t="shared" si="2"/>
        <v/>
      </c>
      <c r="L597" s="2" t="str">
        <f t="shared" si="3"/>
        <v>No</v>
      </c>
      <c r="M597" s="2" t="str">
        <f>IF(K597="","",F597*VLOOKUP(E597,WEIGHTS!$A$2:$F$4,2,FALSE)+G597*VLOOKUP(E597,WEIGHTS!$A$2:$F$4,3,FALSE)+H597*VLOOKUP(E597,WEIGHTS!$A$2:$F$4,4,FALSE)+I597*VLOOKUP(E597,WEIGHTS!$A$2:$F$4,5,FALSE)+J597*VLOOKUP(E597,WEIGHTS!$A$2:$F$4,6,FALSE))</f>
        <v/>
      </c>
      <c r="N597" s="2" t="str">
        <f t="shared" si="4"/>
        <v/>
      </c>
    </row>
    <row r="598" ht="15.75" customHeight="1">
      <c r="A598" s="3"/>
      <c r="B598" s="2" t="str">
        <f t="shared" si="1"/>
        <v/>
      </c>
      <c r="E598" s="2"/>
      <c r="F598" s="2"/>
      <c r="G598" s="2"/>
      <c r="H598" s="2"/>
      <c r="I598" s="2"/>
      <c r="J598" s="2"/>
      <c r="K598" s="2" t="str">
        <f t="shared" si="2"/>
        <v/>
      </c>
      <c r="L598" s="2" t="str">
        <f t="shared" si="3"/>
        <v>No</v>
      </c>
      <c r="M598" s="2" t="str">
        <f>IF(K598="","",F598*VLOOKUP(E598,WEIGHTS!$A$2:$F$4,2,FALSE)+G598*VLOOKUP(E598,WEIGHTS!$A$2:$F$4,3,FALSE)+H598*VLOOKUP(E598,WEIGHTS!$A$2:$F$4,4,FALSE)+I598*VLOOKUP(E598,WEIGHTS!$A$2:$F$4,5,FALSE)+J598*VLOOKUP(E598,WEIGHTS!$A$2:$F$4,6,FALSE))</f>
        <v/>
      </c>
      <c r="N598" s="2" t="str">
        <f t="shared" si="4"/>
        <v/>
      </c>
    </row>
    <row r="599" ht="15.75" customHeight="1">
      <c r="A599" s="3"/>
      <c r="B599" s="2" t="str">
        <f t="shared" si="1"/>
        <v/>
      </c>
      <c r="E599" s="2"/>
      <c r="F599" s="2"/>
      <c r="G599" s="2"/>
      <c r="H599" s="2"/>
      <c r="I599" s="2"/>
      <c r="J599" s="2"/>
      <c r="K599" s="2" t="str">
        <f t="shared" si="2"/>
        <v/>
      </c>
      <c r="L599" s="2" t="str">
        <f t="shared" si="3"/>
        <v>No</v>
      </c>
      <c r="M599" s="2" t="str">
        <f>IF(K599="","",F599*VLOOKUP(E599,WEIGHTS!$A$2:$F$4,2,FALSE)+G599*VLOOKUP(E599,WEIGHTS!$A$2:$F$4,3,FALSE)+H599*VLOOKUP(E599,WEIGHTS!$A$2:$F$4,4,FALSE)+I599*VLOOKUP(E599,WEIGHTS!$A$2:$F$4,5,FALSE)+J599*VLOOKUP(E599,WEIGHTS!$A$2:$F$4,6,FALSE))</f>
        <v/>
      </c>
      <c r="N599" s="2" t="str">
        <f t="shared" si="4"/>
        <v/>
      </c>
    </row>
    <row r="600" ht="15.75" customHeight="1">
      <c r="A600" s="3"/>
      <c r="B600" s="2" t="str">
        <f t="shared" si="1"/>
        <v/>
      </c>
      <c r="E600" s="2"/>
      <c r="F600" s="2"/>
      <c r="G600" s="2"/>
      <c r="H600" s="2"/>
      <c r="I600" s="2"/>
      <c r="J600" s="2"/>
      <c r="K600" s="2" t="str">
        <f t="shared" si="2"/>
        <v/>
      </c>
      <c r="L600" s="2" t="str">
        <f t="shared" si="3"/>
        <v>No</v>
      </c>
      <c r="M600" s="2" t="str">
        <f>IF(K600="","",F600*VLOOKUP(E600,WEIGHTS!$A$2:$F$4,2,FALSE)+G600*VLOOKUP(E600,WEIGHTS!$A$2:$F$4,3,FALSE)+H600*VLOOKUP(E600,WEIGHTS!$A$2:$F$4,4,FALSE)+I600*VLOOKUP(E600,WEIGHTS!$A$2:$F$4,5,FALSE)+J600*VLOOKUP(E600,WEIGHTS!$A$2:$F$4,6,FALSE))</f>
        <v/>
      </c>
      <c r="N600" s="2" t="str">
        <f t="shared" si="4"/>
        <v/>
      </c>
    </row>
    <row r="601" ht="15.75" customHeight="1">
      <c r="A601" s="3"/>
      <c r="B601" s="2" t="str">
        <f t="shared" si="1"/>
        <v/>
      </c>
      <c r="E601" s="2"/>
      <c r="F601" s="2"/>
      <c r="G601" s="2"/>
      <c r="H601" s="2"/>
      <c r="I601" s="2"/>
      <c r="J601" s="2"/>
      <c r="K601" s="2" t="str">
        <f t="shared" si="2"/>
        <v/>
      </c>
      <c r="L601" s="2" t="str">
        <f t="shared" si="3"/>
        <v>No</v>
      </c>
      <c r="M601" s="2" t="str">
        <f>IF(K601="","",F601*VLOOKUP(E601,WEIGHTS!$A$2:$F$4,2,FALSE)+G601*VLOOKUP(E601,WEIGHTS!$A$2:$F$4,3,FALSE)+H601*VLOOKUP(E601,WEIGHTS!$A$2:$F$4,4,FALSE)+I601*VLOOKUP(E601,WEIGHTS!$A$2:$F$4,5,FALSE)+J601*VLOOKUP(E601,WEIGHTS!$A$2:$F$4,6,FALSE))</f>
        <v/>
      </c>
      <c r="N601" s="2" t="str">
        <f t="shared" si="4"/>
        <v/>
      </c>
    </row>
    <row r="602" ht="15.75" customHeight="1">
      <c r="A602" s="3"/>
      <c r="B602" s="2" t="str">
        <f t="shared" si="1"/>
        <v/>
      </c>
      <c r="E602" s="2"/>
      <c r="F602" s="2"/>
      <c r="G602" s="2"/>
      <c r="H602" s="2"/>
      <c r="I602" s="2"/>
      <c r="J602" s="2"/>
      <c r="K602" s="2" t="str">
        <f t="shared" si="2"/>
        <v/>
      </c>
      <c r="L602" s="2" t="str">
        <f t="shared" si="3"/>
        <v>No</v>
      </c>
      <c r="M602" s="2" t="str">
        <f>IF(K602="","",F602*VLOOKUP(E602,WEIGHTS!$A$2:$F$4,2,FALSE)+G602*VLOOKUP(E602,WEIGHTS!$A$2:$F$4,3,FALSE)+H602*VLOOKUP(E602,WEIGHTS!$A$2:$F$4,4,FALSE)+I602*VLOOKUP(E602,WEIGHTS!$A$2:$F$4,5,FALSE)+J602*VLOOKUP(E602,WEIGHTS!$A$2:$F$4,6,FALSE))</f>
        <v/>
      </c>
      <c r="N602" s="2" t="str">
        <f t="shared" si="4"/>
        <v/>
      </c>
    </row>
    <row r="603" ht="15.75" customHeight="1">
      <c r="A603" s="3"/>
      <c r="B603" s="2" t="str">
        <f t="shared" si="1"/>
        <v/>
      </c>
      <c r="E603" s="2"/>
      <c r="F603" s="2"/>
      <c r="G603" s="2"/>
      <c r="H603" s="2"/>
      <c r="I603" s="2"/>
      <c r="J603" s="2"/>
      <c r="K603" s="2" t="str">
        <f t="shared" si="2"/>
        <v/>
      </c>
      <c r="L603" s="2" t="str">
        <f t="shared" si="3"/>
        <v>No</v>
      </c>
      <c r="M603" s="2" t="str">
        <f>IF(K603="","",F603*VLOOKUP(E603,WEIGHTS!$A$2:$F$4,2,FALSE)+G603*VLOOKUP(E603,WEIGHTS!$A$2:$F$4,3,FALSE)+H603*VLOOKUP(E603,WEIGHTS!$A$2:$F$4,4,FALSE)+I603*VLOOKUP(E603,WEIGHTS!$A$2:$F$4,5,FALSE)+J603*VLOOKUP(E603,WEIGHTS!$A$2:$F$4,6,FALSE))</f>
        <v/>
      </c>
      <c r="N603" s="2" t="str">
        <f t="shared" si="4"/>
        <v/>
      </c>
    </row>
    <row r="604" ht="15.75" customHeight="1">
      <c r="A604" s="3"/>
      <c r="B604" s="2" t="str">
        <f t="shared" si="1"/>
        <v/>
      </c>
      <c r="E604" s="2"/>
      <c r="F604" s="2"/>
      <c r="G604" s="2"/>
      <c r="H604" s="2"/>
      <c r="I604" s="2"/>
      <c r="J604" s="2"/>
      <c r="K604" s="2" t="str">
        <f t="shared" si="2"/>
        <v/>
      </c>
      <c r="L604" s="2" t="str">
        <f t="shared" si="3"/>
        <v>No</v>
      </c>
      <c r="M604" s="2" t="str">
        <f>IF(K604="","",F604*VLOOKUP(E604,WEIGHTS!$A$2:$F$4,2,FALSE)+G604*VLOOKUP(E604,WEIGHTS!$A$2:$F$4,3,FALSE)+H604*VLOOKUP(E604,WEIGHTS!$A$2:$F$4,4,FALSE)+I604*VLOOKUP(E604,WEIGHTS!$A$2:$F$4,5,FALSE)+J604*VLOOKUP(E604,WEIGHTS!$A$2:$F$4,6,FALSE))</f>
        <v/>
      </c>
      <c r="N604" s="2" t="str">
        <f t="shared" si="4"/>
        <v/>
      </c>
    </row>
    <row r="605" ht="15.75" customHeight="1">
      <c r="A605" s="3"/>
      <c r="B605" s="2" t="str">
        <f t="shared" si="1"/>
        <v/>
      </c>
      <c r="E605" s="2"/>
      <c r="F605" s="2"/>
      <c r="G605" s="2"/>
      <c r="H605" s="2"/>
      <c r="I605" s="2"/>
      <c r="J605" s="2"/>
      <c r="K605" s="2" t="str">
        <f t="shared" si="2"/>
        <v/>
      </c>
      <c r="L605" s="2" t="str">
        <f t="shared" si="3"/>
        <v>No</v>
      </c>
      <c r="M605" s="2" t="str">
        <f>IF(K605="","",F605*VLOOKUP(E605,WEIGHTS!$A$2:$F$4,2,FALSE)+G605*VLOOKUP(E605,WEIGHTS!$A$2:$F$4,3,FALSE)+H605*VLOOKUP(E605,WEIGHTS!$A$2:$F$4,4,FALSE)+I605*VLOOKUP(E605,WEIGHTS!$A$2:$F$4,5,FALSE)+J605*VLOOKUP(E605,WEIGHTS!$A$2:$F$4,6,FALSE))</f>
        <v/>
      </c>
      <c r="N605" s="2" t="str">
        <f t="shared" si="4"/>
        <v/>
      </c>
    </row>
    <row r="606" ht="15.75" customHeight="1">
      <c r="A606" s="3"/>
      <c r="B606" s="2" t="str">
        <f t="shared" si="1"/>
        <v/>
      </c>
      <c r="E606" s="2"/>
      <c r="F606" s="2"/>
      <c r="G606" s="2"/>
      <c r="H606" s="2"/>
      <c r="I606" s="2"/>
      <c r="J606" s="2"/>
      <c r="K606" s="2" t="str">
        <f t="shared" si="2"/>
        <v/>
      </c>
      <c r="L606" s="2" t="str">
        <f t="shared" si="3"/>
        <v>No</v>
      </c>
      <c r="M606" s="2" t="str">
        <f>IF(K606="","",F606*VLOOKUP(E606,WEIGHTS!$A$2:$F$4,2,FALSE)+G606*VLOOKUP(E606,WEIGHTS!$A$2:$F$4,3,FALSE)+H606*VLOOKUP(E606,WEIGHTS!$A$2:$F$4,4,FALSE)+I606*VLOOKUP(E606,WEIGHTS!$A$2:$F$4,5,FALSE)+J606*VLOOKUP(E606,WEIGHTS!$A$2:$F$4,6,FALSE))</f>
        <v/>
      </c>
      <c r="N606" s="2" t="str">
        <f t="shared" si="4"/>
        <v/>
      </c>
    </row>
    <row r="607" ht="15.75" customHeight="1">
      <c r="A607" s="3"/>
      <c r="B607" s="2" t="str">
        <f t="shared" si="1"/>
        <v/>
      </c>
      <c r="E607" s="2"/>
      <c r="F607" s="2"/>
      <c r="G607" s="2"/>
      <c r="H607" s="2"/>
      <c r="I607" s="2"/>
      <c r="J607" s="2"/>
      <c r="K607" s="2" t="str">
        <f t="shared" si="2"/>
        <v/>
      </c>
      <c r="L607" s="2" t="str">
        <f t="shared" si="3"/>
        <v>No</v>
      </c>
      <c r="M607" s="2" t="str">
        <f>IF(K607="","",F607*VLOOKUP(E607,WEIGHTS!$A$2:$F$4,2,FALSE)+G607*VLOOKUP(E607,WEIGHTS!$A$2:$F$4,3,FALSE)+H607*VLOOKUP(E607,WEIGHTS!$A$2:$F$4,4,FALSE)+I607*VLOOKUP(E607,WEIGHTS!$A$2:$F$4,5,FALSE)+J607*VLOOKUP(E607,WEIGHTS!$A$2:$F$4,6,FALSE))</f>
        <v/>
      </c>
      <c r="N607" s="2" t="str">
        <f t="shared" si="4"/>
        <v/>
      </c>
    </row>
    <row r="608" ht="15.75" customHeight="1">
      <c r="A608" s="3"/>
      <c r="B608" s="2" t="str">
        <f t="shared" si="1"/>
        <v/>
      </c>
      <c r="E608" s="2"/>
      <c r="F608" s="2"/>
      <c r="G608" s="2"/>
      <c r="H608" s="2"/>
      <c r="I608" s="2"/>
      <c r="J608" s="2"/>
      <c r="K608" s="2" t="str">
        <f t="shared" si="2"/>
        <v/>
      </c>
      <c r="L608" s="2" t="str">
        <f t="shared" si="3"/>
        <v>No</v>
      </c>
      <c r="M608" s="2" t="str">
        <f>IF(K608="","",F608*VLOOKUP(E608,WEIGHTS!$A$2:$F$4,2,FALSE)+G608*VLOOKUP(E608,WEIGHTS!$A$2:$F$4,3,FALSE)+H608*VLOOKUP(E608,WEIGHTS!$A$2:$F$4,4,FALSE)+I608*VLOOKUP(E608,WEIGHTS!$A$2:$F$4,5,FALSE)+J608*VLOOKUP(E608,WEIGHTS!$A$2:$F$4,6,FALSE))</f>
        <v/>
      </c>
      <c r="N608" s="2" t="str">
        <f t="shared" si="4"/>
        <v/>
      </c>
    </row>
    <row r="609" ht="15.75" customHeight="1">
      <c r="A609" s="3"/>
      <c r="B609" s="2" t="str">
        <f t="shared" si="1"/>
        <v/>
      </c>
      <c r="E609" s="2"/>
      <c r="F609" s="2"/>
      <c r="G609" s="2"/>
      <c r="H609" s="2"/>
      <c r="I609" s="2"/>
      <c r="J609" s="2"/>
      <c r="K609" s="2" t="str">
        <f t="shared" si="2"/>
        <v/>
      </c>
      <c r="L609" s="2" t="str">
        <f t="shared" si="3"/>
        <v>No</v>
      </c>
      <c r="M609" s="2" t="str">
        <f>IF(K609="","",F609*VLOOKUP(E609,WEIGHTS!$A$2:$F$4,2,FALSE)+G609*VLOOKUP(E609,WEIGHTS!$A$2:$F$4,3,FALSE)+H609*VLOOKUP(E609,WEIGHTS!$A$2:$F$4,4,FALSE)+I609*VLOOKUP(E609,WEIGHTS!$A$2:$F$4,5,FALSE)+J609*VLOOKUP(E609,WEIGHTS!$A$2:$F$4,6,FALSE))</f>
        <v/>
      </c>
      <c r="N609" s="2" t="str">
        <f t="shared" si="4"/>
        <v/>
      </c>
    </row>
    <row r="610" ht="15.75" customHeight="1">
      <c r="A610" s="3"/>
      <c r="B610" s="2" t="str">
        <f t="shared" si="1"/>
        <v/>
      </c>
      <c r="E610" s="2"/>
      <c r="F610" s="2"/>
      <c r="G610" s="2"/>
      <c r="H610" s="2"/>
      <c r="I610" s="2"/>
      <c r="J610" s="2"/>
      <c r="K610" s="2" t="str">
        <f t="shared" si="2"/>
        <v/>
      </c>
      <c r="L610" s="2" t="str">
        <f t="shared" si="3"/>
        <v>No</v>
      </c>
      <c r="M610" s="2" t="str">
        <f>IF(K610="","",F610*VLOOKUP(E610,WEIGHTS!$A$2:$F$4,2,FALSE)+G610*VLOOKUP(E610,WEIGHTS!$A$2:$F$4,3,FALSE)+H610*VLOOKUP(E610,WEIGHTS!$A$2:$F$4,4,FALSE)+I610*VLOOKUP(E610,WEIGHTS!$A$2:$F$4,5,FALSE)+J610*VLOOKUP(E610,WEIGHTS!$A$2:$F$4,6,FALSE))</f>
        <v/>
      </c>
      <c r="N610" s="2" t="str">
        <f t="shared" si="4"/>
        <v/>
      </c>
    </row>
    <row r="611" ht="15.75" customHeight="1">
      <c r="A611" s="3"/>
      <c r="B611" s="2" t="str">
        <f t="shared" si="1"/>
        <v/>
      </c>
      <c r="E611" s="2"/>
      <c r="F611" s="2"/>
      <c r="G611" s="2"/>
      <c r="H611" s="2"/>
      <c r="I611" s="2"/>
      <c r="J611" s="2"/>
      <c r="K611" s="2" t="str">
        <f t="shared" si="2"/>
        <v/>
      </c>
      <c r="L611" s="2" t="str">
        <f t="shared" si="3"/>
        <v>No</v>
      </c>
      <c r="M611" s="2" t="str">
        <f>IF(K611="","",F611*VLOOKUP(E611,WEIGHTS!$A$2:$F$4,2,FALSE)+G611*VLOOKUP(E611,WEIGHTS!$A$2:$F$4,3,FALSE)+H611*VLOOKUP(E611,WEIGHTS!$A$2:$F$4,4,FALSE)+I611*VLOOKUP(E611,WEIGHTS!$A$2:$F$4,5,FALSE)+J611*VLOOKUP(E611,WEIGHTS!$A$2:$F$4,6,FALSE))</f>
        <v/>
      </c>
      <c r="N611" s="2" t="str">
        <f t="shared" si="4"/>
        <v/>
      </c>
    </row>
    <row r="612" ht="15.75" customHeight="1">
      <c r="A612" s="3"/>
      <c r="B612" s="2" t="str">
        <f t="shared" si="1"/>
        <v/>
      </c>
      <c r="E612" s="2"/>
      <c r="F612" s="2"/>
      <c r="G612" s="2"/>
      <c r="H612" s="2"/>
      <c r="I612" s="2"/>
      <c r="J612" s="2"/>
      <c r="K612" s="2" t="str">
        <f t="shared" si="2"/>
        <v/>
      </c>
      <c r="L612" s="2" t="str">
        <f t="shared" si="3"/>
        <v>No</v>
      </c>
      <c r="M612" s="2" t="str">
        <f>IF(K612="","",F612*VLOOKUP(E612,WEIGHTS!$A$2:$F$4,2,FALSE)+G612*VLOOKUP(E612,WEIGHTS!$A$2:$F$4,3,FALSE)+H612*VLOOKUP(E612,WEIGHTS!$A$2:$F$4,4,FALSE)+I612*VLOOKUP(E612,WEIGHTS!$A$2:$F$4,5,FALSE)+J612*VLOOKUP(E612,WEIGHTS!$A$2:$F$4,6,FALSE))</f>
        <v/>
      </c>
      <c r="N612" s="2" t="str">
        <f t="shared" si="4"/>
        <v/>
      </c>
    </row>
    <row r="613" ht="15.75" customHeight="1">
      <c r="A613" s="3"/>
      <c r="B613" s="2" t="str">
        <f t="shared" si="1"/>
        <v/>
      </c>
      <c r="E613" s="2"/>
      <c r="F613" s="2"/>
      <c r="G613" s="2"/>
      <c r="H613" s="2"/>
      <c r="I613" s="2"/>
      <c r="J613" s="2"/>
      <c r="K613" s="2" t="str">
        <f t="shared" si="2"/>
        <v/>
      </c>
      <c r="L613" s="2" t="str">
        <f t="shared" si="3"/>
        <v>No</v>
      </c>
      <c r="M613" s="2" t="str">
        <f>IF(K613="","",F613*VLOOKUP(E613,WEIGHTS!$A$2:$F$4,2,FALSE)+G613*VLOOKUP(E613,WEIGHTS!$A$2:$F$4,3,FALSE)+H613*VLOOKUP(E613,WEIGHTS!$A$2:$F$4,4,FALSE)+I613*VLOOKUP(E613,WEIGHTS!$A$2:$F$4,5,FALSE)+J613*VLOOKUP(E613,WEIGHTS!$A$2:$F$4,6,FALSE))</f>
        <v/>
      </c>
      <c r="N613" s="2" t="str">
        <f t="shared" si="4"/>
        <v/>
      </c>
    </row>
    <row r="614" ht="15.75" customHeight="1">
      <c r="A614" s="3"/>
      <c r="B614" s="2" t="str">
        <f t="shared" si="1"/>
        <v/>
      </c>
      <c r="E614" s="2"/>
      <c r="F614" s="2"/>
      <c r="G614" s="2"/>
      <c r="H614" s="2"/>
      <c r="I614" s="2"/>
      <c r="J614" s="2"/>
      <c r="K614" s="2" t="str">
        <f t="shared" si="2"/>
        <v/>
      </c>
      <c r="L614" s="2" t="str">
        <f t="shared" si="3"/>
        <v>No</v>
      </c>
      <c r="M614" s="2" t="str">
        <f>IF(K614="","",F614*VLOOKUP(E614,WEIGHTS!$A$2:$F$4,2,FALSE)+G614*VLOOKUP(E614,WEIGHTS!$A$2:$F$4,3,FALSE)+H614*VLOOKUP(E614,WEIGHTS!$A$2:$F$4,4,FALSE)+I614*VLOOKUP(E614,WEIGHTS!$A$2:$F$4,5,FALSE)+J614*VLOOKUP(E614,WEIGHTS!$A$2:$F$4,6,FALSE))</f>
        <v/>
      </c>
      <c r="N614" s="2" t="str">
        <f t="shared" si="4"/>
        <v/>
      </c>
    </row>
    <row r="615" ht="15.75" customHeight="1">
      <c r="A615" s="3"/>
      <c r="B615" s="2" t="str">
        <f t="shared" si="1"/>
        <v/>
      </c>
      <c r="E615" s="2"/>
      <c r="F615" s="2"/>
      <c r="G615" s="2"/>
      <c r="H615" s="2"/>
      <c r="I615" s="2"/>
      <c r="J615" s="2"/>
      <c r="K615" s="2" t="str">
        <f t="shared" si="2"/>
        <v/>
      </c>
      <c r="L615" s="2" t="str">
        <f t="shared" si="3"/>
        <v>No</v>
      </c>
      <c r="M615" s="2" t="str">
        <f>IF(K615="","",F615*VLOOKUP(E615,WEIGHTS!$A$2:$F$4,2,FALSE)+G615*VLOOKUP(E615,WEIGHTS!$A$2:$F$4,3,FALSE)+H615*VLOOKUP(E615,WEIGHTS!$A$2:$F$4,4,FALSE)+I615*VLOOKUP(E615,WEIGHTS!$A$2:$F$4,5,FALSE)+J615*VLOOKUP(E615,WEIGHTS!$A$2:$F$4,6,FALSE))</f>
        <v/>
      </c>
      <c r="N615" s="2" t="str">
        <f t="shared" si="4"/>
        <v/>
      </c>
    </row>
    <row r="616" ht="15.75" customHeight="1">
      <c r="A616" s="3"/>
      <c r="B616" s="2" t="str">
        <f t="shared" si="1"/>
        <v/>
      </c>
      <c r="E616" s="2"/>
      <c r="F616" s="2"/>
      <c r="G616" s="2"/>
      <c r="H616" s="2"/>
      <c r="I616" s="2"/>
      <c r="J616" s="2"/>
      <c r="K616" s="2" t="str">
        <f t="shared" si="2"/>
        <v/>
      </c>
      <c r="L616" s="2" t="str">
        <f t="shared" si="3"/>
        <v>No</v>
      </c>
      <c r="M616" s="2" t="str">
        <f>IF(K616="","",F616*VLOOKUP(E616,WEIGHTS!$A$2:$F$4,2,FALSE)+G616*VLOOKUP(E616,WEIGHTS!$A$2:$F$4,3,FALSE)+H616*VLOOKUP(E616,WEIGHTS!$A$2:$F$4,4,FALSE)+I616*VLOOKUP(E616,WEIGHTS!$A$2:$F$4,5,FALSE)+J616*VLOOKUP(E616,WEIGHTS!$A$2:$F$4,6,FALSE))</f>
        <v/>
      </c>
      <c r="N616" s="2" t="str">
        <f t="shared" si="4"/>
        <v/>
      </c>
    </row>
    <row r="617" ht="15.75" customHeight="1">
      <c r="A617" s="3"/>
      <c r="B617" s="2" t="str">
        <f t="shared" si="1"/>
        <v/>
      </c>
      <c r="E617" s="2"/>
      <c r="F617" s="2"/>
      <c r="G617" s="2"/>
      <c r="H617" s="2"/>
      <c r="I617" s="2"/>
      <c r="J617" s="2"/>
      <c r="K617" s="2" t="str">
        <f t="shared" si="2"/>
        <v/>
      </c>
      <c r="L617" s="2" t="str">
        <f t="shared" si="3"/>
        <v>No</v>
      </c>
      <c r="M617" s="2" t="str">
        <f>IF(K617="","",F617*VLOOKUP(E617,WEIGHTS!$A$2:$F$4,2,FALSE)+G617*VLOOKUP(E617,WEIGHTS!$A$2:$F$4,3,FALSE)+H617*VLOOKUP(E617,WEIGHTS!$A$2:$F$4,4,FALSE)+I617*VLOOKUP(E617,WEIGHTS!$A$2:$F$4,5,FALSE)+J617*VLOOKUP(E617,WEIGHTS!$A$2:$F$4,6,FALSE))</f>
        <v/>
      </c>
      <c r="N617" s="2" t="str">
        <f t="shared" si="4"/>
        <v/>
      </c>
    </row>
    <row r="618" ht="15.75" customHeight="1">
      <c r="A618" s="3"/>
      <c r="B618" s="2" t="str">
        <f t="shared" si="1"/>
        <v/>
      </c>
      <c r="E618" s="2"/>
      <c r="F618" s="2"/>
      <c r="G618" s="2"/>
      <c r="H618" s="2"/>
      <c r="I618" s="2"/>
      <c r="J618" s="2"/>
      <c r="K618" s="2" t="str">
        <f t="shared" si="2"/>
        <v/>
      </c>
      <c r="L618" s="2" t="str">
        <f t="shared" si="3"/>
        <v>No</v>
      </c>
      <c r="M618" s="2" t="str">
        <f>IF(K618="","",F618*VLOOKUP(E618,WEIGHTS!$A$2:$F$4,2,FALSE)+G618*VLOOKUP(E618,WEIGHTS!$A$2:$F$4,3,FALSE)+H618*VLOOKUP(E618,WEIGHTS!$A$2:$F$4,4,FALSE)+I618*VLOOKUP(E618,WEIGHTS!$A$2:$F$4,5,FALSE)+J618*VLOOKUP(E618,WEIGHTS!$A$2:$F$4,6,FALSE))</f>
        <v/>
      </c>
      <c r="N618" s="2" t="str">
        <f t="shared" si="4"/>
        <v/>
      </c>
    </row>
    <row r="619" ht="15.75" customHeight="1">
      <c r="A619" s="3"/>
      <c r="B619" s="2" t="str">
        <f t="shared" si="1"/>
        <v/>
      </c>
      <c r="E619" s="2"/>
      <c r="F619" s="2"/>
      <c r="G619" s="2"/>
      <c r="H619" s="2"/>
      <c r="I619" s="2"/>
      <c r="J619" s="2"/>
      <c r="K619" s="2" t="str">
        <f t="shared" si="2"/>
        <v/>
      </c>
      <c r="L619" s="2" t="str">
        <f t="shared" si="3"/>
        <v>No</v>
      </c>
      <c r="M619" s="2" t="str">
        <f>IF(K619="","",F619*VLOOKUP(E619,WEIGHTS!$A$2:$F$4,2,FALSE)+G619*VLOOKUP(E619,WEIGHTS!$A$2:$F$4,3,FALSE)+H619*VLOOKUP(E619,WEIGHTS!$A$2:$F$4,4,FALSE)+I619*VLOOKUP(E619,WEIGHTS!$A$2:$F$4,5,FALSE)+J619*VLOOKUP(E619,WEIGHTS!$A$2:$F$4,6,FALSE))</f>
        <v/>
      </c>
      <c r="N619" s="2" t="str">
        <f t="shared" si="4"/>
        <v/>
      </c>
    </row>
    <row r="620" ht="15.75" customHeight="1">
      <c r="A620" s="3"/>
      <c r="B620" s="2" t="str">
        <f t="shared" si="1"/>
        <v/>
      </c>
      <c r="E620" s="2"/>
      <c r="F620" s="2"/>
      <c r="G620" s="2"/>
      <c r="H620" s="2"/>
      <c r="I620" s="2"/>
      <c r="J620" s="2"/>
      <c r="K620" s="2" t="str">
        <f t="shared" si="2"/>
        <v/>
      </c>
      <c r="L620" s="2" t="str">
        <f t="shared" si="3"/>
        <v>No</v>
      </c>
      <c r="M620" s="2" t="str">
        <f>IF(K620="","",F620*VLOOKUP(E620,WEIGHTS!$A$2:$F$4,2,FALSE)+G620*VLOOKUP(E620,WEIGHTS!$A$2:$F$4,3,FALSE)+H620*VLOOKUP(E620,WEIGHTS!$A$2:$F$4,4,FALSE)+I620*VLOOKUP(E620,WEIGHTS!$A$2:$F$4,5,FALSE)+J620*VLOOKUP(E620,WEIGHTS!$A$2:$F$4,6,FALSE))</f>
        <v/>
      </c>
      <c r="N620" s="2" t="str">
        <f t="shared" si="4"/>
        <v/>
      </c>
    </row>
    <row r="621" ht="15.75" customHeight="1">
      <c r="A621" s="3"/>
      <c r="B621" s="2" t="str">
        <f t="shared" si="1"/>
        <v/>
      </c>
      <c r="E621" s="2"/>
      <c r="F621" s="2"/>
      <c r="G621" s="2"/>
      <c r="H621" s="2"/>
      <c r="I621" s="2"/>
      <c r="J621" s="2"/>
      <c r="K621" s="2" t="str">
        <f t="shared" si="2"/>
        <v/>
      </c>
      <c r="L621" s="2" t="str">
        <f t="shared" si="3"/>
        <v>No</v>
      </c>
      <c r="M621" s="2" t="str">
        <f>IF(K621="","",F621*VLOOKUP(E621,WEIGHTS!$A$2:$F$4,2,FALSE)+G621*VLOOKUP(E621,WEIGHTS!$A$2:$F$4,3,FALSE)+H621*VLOOKUP(E621,WEIGHTS!$A$2:$F$4,4,FALSE)+I621*VLOOKUP(E621,WEIGHTS!$A$2:$F$4,5,FALSE)+J621*VLOOKUP(E621,WEIGHTS!$A$2:$F$4,6,FALSE))</f>
        <v/>
      </c>
      <c r="N621" s="2" t="str">
        <f t="shared" si="4"/>
        <v/>
      </c>
    </row>
    <row r="622" ht="15.75" customHeight="1">
      <c r="A622" s="3"/>
      <c r="B622" s="2" t="str">
        <f t="shared" si="1"/>
        <v/>
      </c>
      <c r="E622" s="2"/>
      <c r="F622" s="2"/>
      <c r="G622" s="2"/>
      <c r="H622" s="2"/>
      <c r="I622" s="2"/>
      <c r="J622" s="2"/>
      <c r="K622" s="2" t="str">
        <f t="shared" si="2"/>
        <v/>
      </c>
      <c r="L622" s="2" t="str">
        <f t="shared" si="3"/>
        <v>No</v>
      </c>
      <c r="M622" s="2" t="str">
        <f>IF(K622="","",F622*VLOOKUP(E622,WEIGHTS!$A$2:$F$4,2,FALSE)+G622*VLOOKUP(E622,WEIGHTS!$A$2:$F$4,3,FALSE)+H622*VLOOKUP(E622,WEIGHTS!$A$2:$F$4,4,FALSE)+I622*VLOOKUP(E622,WEIGHTS!$A$2:$F$4,5,FALSE)+J622*VLOOKUP(E622,WEIGHTS!$A$2:$F$4,6,FALSE))</f>
        <v/>
      </c>
      <c r="N622" s="2" t="str">
        <f t="shared" si="4"/>
        <v/>
      </c>
    </row>
    <row r="623" ht="15.75" customHeight="1">
      <c r="A623" s="3"/>
      <c r="B623" s="2" t="str">
        <f t="shared" si="1"/>
        <v/>
      </c>
      <c r="E623" s="2"/>
      <c r="F623" s="2"/>
      <c r="G623" s="2"/>
      <c r="H623" s="2"/>
      <c r="I623" s="2"/>
      <c r="J623" s="2"/>
      <c r="K623" s="2" t="str">
        <f t="shared" si="2"/>
        <v/>
      </c>
      <c r="L623" s="2" t="str">
        <f t="shared" si="3"/>
        <v>No</v>
      </c>
      <c r="M623" s="2" t="str">
        <f>IF(K623="","",F623*VLOOKUP(E623,WEIGHTS!$A$2:$F$4,2,FALSE)+G623*VLOOKUP(E623,WEIGHTS!$A$2:$F$4,3,FALSE)+H623*VLOOKUP(E623,WEIGHTS!$A$2:$F$4,4,FALSE)+I623*VLOOKUP(E623,WEIGHTS!$A$2:$F$4,5,FALSE)+J623*VLOOKUP(E623,WEIGHTS!$A$2:$F$4,6,FALSE))</f>
        <v/>
      </c>
      <c r="N623" s="2" t="str">
        <f t="shared" si="4"/>
        <v/>
      </c>
    </row>
    <row r="624" ht="15.75" customHeight="1">
      <c r="A624" s="3"/>
      <c r="B624" s="2" t="str">
        <f t="shared" si="1"/>
        <v/>
      </c>
      <c r="E624" s="2"/>
      <c r="F624" s="2"/>
      <c r="G624" s="2"/>
      <c r="H624" s="2"/>
      <c r="I624" s="2"/>
      <c r="J624" s="2"/>
      <c r="K624" s="2" t="str">
        <f t="shared" si="2"/>
        <v/>
      </c>
      <c r="L624" s="2" t="str">
        <f t="shared" si="3"/>
        <v>No</v>
      </c>
      <c r="M624" s="2" t="str">
        <f>IF(K624="","",F624*VLOOKUP(E624,WEIGHTS!$A$2:$F$4,2,FALSE)+G624*VLOOKUP(E624,WEIGHTS!$A$2:$F$4,3,FALSE)+H624*VLOOKUP(E624,WEIGHTS!$A$2:$F$4,4,FALSE)+I624*VLOOKUP(E624,WEIGHTS!$A$2:$F$4,5,FALSE)+J624*VLOOKUP(E624,WEIGHTS!$A$2:$F$4,6,FALSE))</f>
        <v/>
      </c>
      <c r="N624" s="2" t="str">
        <f t="shared" si="4"/>
        <v/>
      </c>
    </row>
    <row r="625" ht="15.75" customHeight="1">
      <c r="A625" s="3"/>
      <c r="B625" s="2" t="str">
        <f t="shared" si="1"/>
        <v/>
      </c>
      <c r="E625" s="2"/>
      <c r="F625" s="2"/>
      <c r="G625" s="2"/>
      <c r="H625" s="2"/>
      <c r="I625" s="2"/>
      <c r="J625" s="2"/>
      <c r="K625" s="2" t="str">
        <f t="shared" si="2"/>
        <v/>
      </c>
      <c r="L625" s="2" t="str">
        <f t="shared" si="3"/>
        <v>No</v>
      </c>
      <c r="M625" s="2" t="str">
        <f>IF(K625="","",F625*VLOOKUP(E625,WEIGHTS!$A$2:$F$4,2,FALSE)+G625*VLOOKUP(E625,WEIGHTS!$A$2:$F$4,3,FALSE)+H625*VLOOKUP(E625,WEIGHTS!$A$2:$F$4,4,FALSE)+I625*VLOOKUP(E625,WEIGHTS!$A$2:$F$4,5,FALSE)+J625*VLOOKUP(E625,WEIGHTS!$A$2:$F$4,6,FALSE))</f>
        <v/>
      </c>
      <c r="N625" s="2" t="str">
        <f t="shared" si="4"/>
        <v/>
      </c>
    </row>
    <row r="626" ht="15.75" customHeight="1">
      <c r="A626" s="3"/>
      <c r="B626" s="2" t="str">
        <f t="shared" si="1"/>
        <v/>
      </c>
      <c r="E626" s="2"/>
      <c r="F626" s="2"/>
      <c r="G626" s="2"/>
      <c r="H626" s="2"/>
      <c r="I626" s="2"/>
      <c r="J626" s="2"/>
      <c r="K626" s="2" t="str">
        <f t="shared" si="2"/>
        <v/>
      </c>
      <c r="L626" s="2" t="str">
        <f t="shared" si="3"/>
        <v>No</v>
      </c>
      <c r="M626" s="2" t="str">
        <f>IF(K626="","",F626*VLOOKUP(E626,WEIGHTS!$A$2:$F$4,2,FALSE)+G626*VLOOKUP(E626,WEIGHTS!$A$2:$F$4,3,FALSE)+H626*VLOOKUP(E626,WEIGHTS!$A$2:$F$4,4,FALSE)+I626*VLOOKUP(E626,WEIGHTS!$A$2:$F$4,5,FALSE)+J626*VLOOKUP(E626,WEIGHTS!$A$2:$F$4,6,FALSE))</f>
        <v/>
      </c>
      <c r="N626" s="2" t="str">
        <f t="shared" si="4"/>
        <v/>
      </c>
    </row>
    <row r="627" ht="15.75" customHeight="1">
      <c r="A627" s="3"/>
      <c r="B627" s="2" t="str">
        <f t="shared" si="1"/>
        <v/>
      </c>
      <c r="E627" s="2"/>
      <c r="F627" s="2"/>
      <c r="G627" s="2"/>
      <c r="H627" s="2"/>
      <c r="I627" s="2"/>
      <c r="J627" s="2"/>
      <c r="K627" s="2" t="str">
        <f t="shared" si="2"/>
        <v/>
      </c>
      <c r="L627" s="2" t="str">
        <f t="shared" si="3"/>
        <v>No</v>
      </c>
      <c r="M627" s="2" t="str">
        <f>IF(K627="","",F627*VLOOKUP(E627,WEIGHTS!$A$2:$F$4,2,FALSE)+G627*VLOOKUP(E627,WEIGHTS!$A$2:$F$4,3,FALSE)+H627*VLOOKUP(E627,WEIGHTS!$A$2:$F$4,4,FALSE)+I627*VLOOKUP(E627,WEIGHTS!$A$2:$F$4,5,FALSE)+J627*VLOOKUP(E627,WEIGHTS!$A$2:$F$4,6,FALSE))</f>
        <v/>
      </c>
      <c r="N627" s="2" t="str">
        <f t="shared" si="4"/>
        <v/>
      </c>
    </row>
    <row r="628" ht="15.75" customHeight="1">
      <c r="A628" s="3"/>
      <c r="B628" s="2" t="str">
        <f t="shared" si="1"/>
        <v/>
      </c>
      <c r="E628" s="2"/>
      <c r="F628" s="2"/>
      <c r="G628" s="2"/>
      <c r="H628" s="2"/>
      <c r="I628" s="2"/>
      <c r="J628" s="2"/>
      <c r="K628" s="2" t="str">
        <f t="shared" si="2"/>
        <v/>
      </c>
      <c r="L628" s="2" t="str">
        <f t="shared" si="3"/>
        <v>No</v>
      </c>
      <c r="M628" s="2" t="str">
        <f>IF(K628="","",F628*VLOOKUP(E628,WEIGHTS!$A$2:$F$4,2,FALSE)+G628*VLOOKUP(E628,WEIGHTS!$A$2:$F$4,3,FALSE)+H628*VLOOKUP(E628,WEIGHTS!$A$2:$F$4,4,FALSE)+I628*VLOOKUP(E628,WEIGHTS!$A$2:$F$4,5,FALSE)+J628*VLOOKUP(E628,WEIGHTS!$A$2:$F$4,6,FALSE))</f>
        <v/>
      </c>
      <c r="N628" s="2" t="str">
        <f t="shared" si="4"/>
        <v/>
      </c>
    </row>
    <row r="629" ht="15.75" customHeight="1">
      <c r="A629" s="3"/>
      <c r="B629" s="2" t="str">
        <f t="shared" si="1"/>
        <v/>
      </c>
      <c r="E629" s="2"/>
      <c r="F629" s="2"/>
      <c r="G629" s="2"/>
      <c r="H629" s="2"/>
      <c r="I629" s="2"/>
      <c r="J629" s="2"/>
      <c r="K629" s="2" t="str">
        <f t="shared" si="2"/>
        <v/>
      </c>
      <c r="L629" s="2" t="str">
        <f t="shared" si="3"/>
        <v>No</v>
      </c>
      <c r="M629" s="2" t="str">
        <f>IF(K629="","",F629*VLOOKUP(E629,WEIGHTS!$A$2:$F$4,2,FALSE)+G629*VLOOKUP(E629,WEIGHTS!$A$2:$F$4,3,FALSE)+H629*VLOOKUP(E629,WEIGHTS!$A$2:$F$4,4,FALSE)+I629*VLOOKUP(E629,WEIGHTS!$A$2:$F$4,5,FALSE)+J629*VLOOKUP(E629,WEIGHTS!$A$2:$F$4,6,FALSE))</f>
        <v/>
      </c>
      <c r="N629" s="2" t="str">
        <f t="shared" si="4"/>
        <v/>
      </c>
    </row>
    <row r="630" ht="15.75" customHeight="1">
      <c r="A630" s="3"/>
      <c r="B630" s="2" t="str">
        <f t="shared" si="1"/>
        <v/>
      </c>
      <c r="E630" s="2"/>
      <c r="F630" s="2"/>
      <c r="G630" s="2"/>
      <c r="H630" s="2"/>
      <c r="I630" s="2"/>
      <c r="J630" s="2"/>
      <c r="K630" s="2" t="str">
        <f t="shared" si="2"/>
        <v/>
      </c>
      <c r="L630" s="2" t="str">
        <f t="shared" si="3"/>
        <v>No</v>
      </c>
      <c r="M630" s="2" t="str">
        <f>IF(K630="","",F630*VLOOKUP(E630,WEIGHTS!$A$2:$F$4,2,FALSE)+G630*VLOOKUP(E630,WEIGHTS!$A$2:$F$4,3,FALSE)+H630*VLOOKUP(E630,WEIGHTS!$A$2:$F$4,4,FALSE)+I630*VLOOKUP(E630,WEIGHTS!$A$2:$F$4,5,FALSE)+J630*VLOOKUP(E630,WEIGHTS!$A$2:$F$4,6,FALSE))</f>
        <v/>
      </c>
      <c r="N630" s="2" t="str">
        <f t="shared" si="4"/>
        <v/>
      </c>
    </row>
    <row r="631" ht="15.75" customHeight="1">
      <c r="A631" s="3"/>
      <c r="B631" s="2" t="str">
        <f t="shared" si="1"/>
        <v/>
      </c>
      <c r="E631" s="2"/>
      <c r="F631" s="2"/>
      <c r="G631" s="2"/>
      <c r="H631" s="2"/>
      <c r="I631" s="2"/>
      <c r="J631" s="2"/>
      <c r="K631" s="2" t="str">
        <f t="shared" si="2"/>
        <v/>
      </c>
      <c r="L631" s="2" t="str">
        <f t="shared" si="3"/>
        <v>No</v>
      </c>
      <c r="M631" s="2" t="str">
        <f>IF(K631="","",F631*VLOOKUP(E631,WEIGHTS!$A$2:$F$4,2,FALSE)+G631*VLOOKUP(E631,WEIGHTS!$A$2:$F$4,3,FALSE)+H631*VLOOKUP(E631,WEIGHTS!$A$2:$F$4,4,FALSE)+I631*VLOOKUP(E631,WEIGHTS!$A$2:$F$4,5,FALSE)+J631*VLOOKUP(E631,WEIGHTS!$A$2:$F$4,6,FALSE))</f>
        <v/>
      </c>
      <c r="N631" s="2" t="str">
        <f t="shared" si="4"/>
        <v/>
      </c>
    </row>
    <row r="632" ht="15.75" customHeight="1">
      <c r="A632" s="3"/>
      <c r="B632" s="2" t="str">
        <f t="shared" si="1"/>
        <v/>
      </c>
      <c r="E632" s="2"/>
      <c r="F632" s="2"/>
      <c r="G632" s="2"/>
      <c r="H632" s="2"/>
      <c r="I632" s="2"/>
      <c r="J632" s="2"/>
      <c r="K632" s="2" t="str">
        <f t="shared" si="2"/>
        <v/>
      </c>
      <c r="L632" s="2" t="str">
        <f t="shared" si="3"/>
        <v>No</v>
      </c>
      <c r="M632" s="2" t="str">
        <f>IF(K632="","",F632*VLOOKUP(E632,WEIGHTS!$A$2:$F$4,2,FALSE)+G632*VLOOKUP(E632,WEIGHTS!$A$2:$F$4,3,FALSE)+H632*VLOOKUP(E632,WEIGHTS!$A$2:$F$4,4,FALSE)+I632*VLOOKUP(E632,WEIGHTS!$A$2:$F$4,5,FALSE)+J632*VLOOKUP(E632,WEIGHTS!$A$2:$F$4,6,FALSE))</f>
        <v/>
      </c>
      <c r="N632" s="2" t="str">
        <f t="shared" si="4"/>
        <v/>
      </c>
    </row>
    <row r="633" ht="15.75" customHeight="1">
      <c r="A633" s="3"/>
      <c r="B633" s="2" t="str">
        <f t="shared" si="1"/>
        <v/>
      </c>
      <c r="E633" s="2"/>
      <c r="F633" s="2"/>
      <c r="G633" s="2"/>
      <c r="H633" s="2"/>
      <c r="I633" s="2"/>
      <c r="J633" s="2"/>
      <c r="K633" s="2" t="str">
        <f t="shared" si="2"/>
        <v/>
      </c>
      <c r="L633" s="2" t="str">
        <f t="shared" si="3"/>
        <v>No</v>
      </c>
      <c r="M633" s="2" t="str">
        <f>IF(K633="","",F633*VLOOKUP(E633,WEIGHTS!$A$2:$F$4,2,FALSE)+G633*VLOOKUP(E633,WEIGHTS!$A$2:$F$4,3,FALSE)+H633*VLOOKUP(E633,WEIGHTS!$A$2:$F$4,4,FALSE)+I633*VLOOKUP(E633,WEIGHTS!$A$2:$F$4,5,FALSE)+J633*VLOOKUP(E633,WEIGHTS!$A$2:$F$4,6,FALSE))</f>
        <v/>
      </c>
      <c r="N633" s="2" t="str">
        <f t="shared" si="4"/>
        <v/>
      </c>
    </row>
    <row r="634" ht="15.75" customHeight="1">
      <c r="A634" s="3"/>
      <c r="B634" s="2" t="str">
        <f t="shared" si="1"/>
        <v/>
      </c>
      <c r="E634" s="2"/>
      <c r="F634" s="2"/>
      <c r="G634" s="2"/>
      <c r="H634" s="2"/>
      <c r="I634" s="2"/>
      <c r="J634" s="2"/>
      <c r="K634" s="2" t="str">
        <f t="shared" si="2"/>
        <v/>
      </c>
      <c r="L634" s="2" t="str">
        <f t="shared" si="3"/>
        <v>No</v>
      </c>
      <c r="M634" s="2" t="str">
        <f>IF(K634="","",F634*VLOOKUP(E634,WEIGHTS!$A$2:$F$4,2,FALSE)+G634*VLOOKUP(E634,WEIGHTS!$A$2:$F$4,3,FALSE)+H634*VLOOKUP(E634,WEIGHTS!$A$2:$F$4,4,FALSE)+I634*VLOOKUP(E634,WEIGHTS!$A$2:$F$4,5,FALSE)+J634*VLOOKUP(E634,WEIGHTS!$A$2:$F$4,6,FALSE))</f>
        <v/>
      </c>
      <c r="N634" s="2" t="str">
        <f t="shared" si="4"/>
        <v/>
      </c>
    </row>
    <row r="635" ht="15.75" customHeight="1">
      <c r="A635" s="3"/>
      <c r="B635" s="2" t="str">
        <f t="shared" si="1"/>
        <v/>
      </c>
      <c r="E635" s="2"/>
      <c r="F635" s="2"/>
      <c r="G635" s="2"/>
      <c r="H635" s="2"/>
      <c r="I635" s="2"/>
      <c r="J635" s="2"/>
      <c r="K635" s="2" t="str">
        <f t="shared" si="2"/>
        <v/>
      </c>
      <c r="L635" s="2" t="str">
        <f t="shared" si="3"/>
        <v>No</v>
      </c>
      <c r="M635" s="2" t="str">
        <f>IF(K635="","",F635*VLOOKUP(E635,WEIGHTS!$A$2:$F$4,2,FALSE)+G635*VLOOKUP(E635,WEIGHTS!$A$2:$F$4,3,FALSE)+H635*VLOOKUP(E635,WEIGHTS!$A$2:$F$4,4,FALSE)+I635*VLOOKUP(E635,WEIGHTS!$A$2:$F$4,5,FALSE)+J635*VLOOKUP(E635,WEIGHTS!$A$2:$F$4,6,FALSE))</f>
        <v/>
      </c>
      <c r="N635" s="2" t="str">
        <f t="shared" si="4"/>
        <v/>
      </c>
    </row>
    <row r="636" ht="15.75" customHeight="1">
      <c r="A636" s="3"/>
      <c r="B636" s="2" t="str">
        <f t="shared" si="1"/>
        <v/>
      </c>
      <c r="E636" s="2"/>
      <c r="F636" s="2"/>
      <c r="G636" s="2"/>
      <c r="H636" s="2"/>
      <c r="I636" s="2"/>
      <c r="J636" s="2"/>
      <c r="K636" s="2" t="str">
        <f t="shared" si="2"/>
        <v/>
      </c>
      <c r="L636" s="2" t="str">
        <f t="shared" si="3"/>
        <v>No</v>
      </c>
      <c r="M636" s="2" t="str">
        <f>IF(K636="","",F636*VLOOKUP(E636,WEIGHTS!$A$2:$F$4,2,FALSE)+G636*VLOOKUP(E636,WEIGHTS!$A$2:$F$4,3,FALSE)+H636*VLOOKUP(E636,WEIGHTS!$A$2:$F$4,4,FALSE)+I636*VLOOKUP(E636,WEIGHTS!$A$2:$F$4,5,FALSE)+J636*VLOOKUP(E636,WEIGHTS!$A$2:$F$4,6,FALSE))</f>
        <v/>
      </c>
      <c r="N636" s="2" t="str">
        <f t="shared" si="4"/>
        <v/>
      </c>
    </row>
    <row r="637" ht="15.75" customHeight="1">
      <c r="A637" s="3"/>
      <c r="B637" s="2" t="str">
        <f t="shared" si="1"/>
        <v/>
      </c>
      <c r="E637" s="2"/>
      <c r="F637" s="2"/>
      <c r="G637" s="2"/>
      <c r="H637" s="2"/>
      <c r="I637" s="2"/>
      <c r="J637" s="2"/>
      <c r="K637" s="2" t="str">
        <f t="shared" si="2"/>
        <v/>
      </c>
      <c r="L637" s="2" t="str">
        <f t="shared" si="3"/>
        <v>No</v>
      </c>
      <c r="M637" s="2" t="str">
        <f>IF(K637="","",F637*VLOOKUP(E637,WEIGHTS!$A$2:$F$4,2,FALSE)+G637*VLOOKUP(E637,WEIGHTS!$A$2:$F$4,3,FALSE)+H637*VLOOKUP(E637,WEIGHTS!$A$2:$F$4,4,FALSE)+I637*VLOOKUP(E637,WEIGHTS!$A$2:$F$4,5,FALSE)+J637*VLOOKUP(E637,WEIGHTS!$A$2:$F$4,6,FALSE))</f>
        <v/>
      </c>
      <c r="N637" s="2" t="str">
        <f t="shared" si="4"/>
        <v/>
      </c>
    </row>
    <row r="638" ht="15.75" customHeight="1">
      <c r="A638" s="3"/>
      <c r="B638" s="2" t="str">
        <f t="shared" si="1"/>
        <v/>
      </c>
      <c r="E638" s="2"/>
      <c r="F638" s="2"/>
      <c r="G638" s="2"/>
      <c r="H638" s="2"/>
      <c r="I638" s="2"/>
      <c r="J638" s="2"/>
      <c r="K638" s="2" t="str">
        <f t="shared" si="2"/>
        <v/>
      </c>
      <c r="L638" s="2" t="str">
        <f t="shared" si="3"/>
        <v>No</v>
      </c>
      <c r="M638" s="2" t="str">
        <f>IF(K638="","",F638*VLOOKUP(E638,WEIGHTS!$A$2:$F$4,2,FALSE)+G638*VLOOKUP(E638,WEIGHTS!$A$2:$F$4,3,FALSE)+H638*VLOOKUP(E638,WEIGHTS!$A$2:$F$4,4,FALSE)+I638*VLOOKUP(E638,WEIGHTS!$A$2:$F$4,5,FALSE)+J638*VLOOKUP(E638,WEIGHTS!$A$2:$F$4,6,FALSE))</f>
        <v/>
      </c>
      <c r="N638" s="2" t="str">
        <f t="shared" si="4"/>
        <v/>
      </c>
    </row>
    <row r="639" ht="15.75" customHeight="1">
      <c r="A639" s="3"/>
      <c r="B639" s="2" t="str">
        <f t="shared" si="1"/>
        <v/>
      </c>
      <c r="E639" s="2"/>
      <c r="F639" s="2"/>
      <c r="G639" s="2"/>
      <c r="H639" s="2"/>
      <c r="I639" s="2"/>
      <c r="J639" s="2"/>
      <c r="K639" s="2" t="str">
        <f t="shared" si="2"/>
        <v/>
      </c>
      <c r="L639" s="2" t="str">
        <f t="shared" si="3"/>
        <v>No</v>
      </c>
      <c r="M639" s="2" t="str">
        <f>IF(K639="","",F639*VLOOKUP(E639,WEIGHTS!$A$2:$F$4,2,FALSE)+G639*VLOOKUP(E639,WEIGHTS!$A$2:$F$4,3,FALSE)+H639*VLOOKUP(E639,WEIGHTS!$A$2:$F$4,4,FALSE)+I639*VLOOKUP(E639,WEIGHTS!$A$2:$F$4,5,FALSE)+J639*VLOOKUP(E639,WEIGHTS!$A$2:$F$4,6,FALSE))</f>
        <v/>
      </c>
      <c r="N639" s="2" t="str">
        <f t="shared" si="4"/>
        <v/>
      </c>
    </row>
    <row r="640" ht="15.75" customHeight="1">
      <c r="A640" s="3"/>
      <c r="B640" s="2" t="str">
        <f t="shared" si="1"/>
        <v/>
      </c>
      <c r="E640" s="2"/>
      <c r="F640" s="2"/>
      <c r="G640" s="2"/>
      <c r="H640" s="2"/>
      <c r="I640" s="2"/>
      <c r="J640" s="2"/>
      <c r="K640" s="2" t="str">
        <f t="shared" si="2"/>
        <v/>
      </c>
      <c r="L640" s="2" t="str">
        <f t="shared" si="3"/>
        <v>No</v>
      </c>
      <c r="M640" s="2" t="str">
        <f>IF(K640="","",F640*VLOOKUP(E640,WEIGHTS!$A$2:$F$4,2,FALSE)+G640*VLOOKUP(E640,WEIGHTS!$A$2:$F$4,3,FALSE)+H640*VLOOKUP(E640,WEIGHTS!$A$2:$F$4,4,FALSE)+I640*VLOOKUP(E640,WEIGHTS!$A$2:$F$4,5,FALSE)+J640*VLOOKUP(E640,WEIGHTS!$A$2:$F$4,6,FALSE))</f>
        <v/>
      </c>
      <c r="N640" s="2" t="str">
        <f t="shared" si="4"/>
        <v/>
      </c>
    </row>
    <row r="641" ht="15.75" customHeight="1">
      <c r="A641" s="3"/>
      <c r="B641" s="2" t="str">
        <f t="shared" si="1"/>
        <v/>
      </c>
      <c r="E641" s="2"/>
      <c r="F641" s="2"/>
      <c r="G641" s="2"/>
      <c r="H641" s="2"/>
      <c r="I641" s="2"/>
      <c r="J641" s="2"/>
      <c r="K641" s="2" t="str">
        <f t="shared" si="2"/>
        <v/>
      </c>
      <c r="L641" s="2" t="str">
        <f t="shared" si="3"/>
        <v>No</v>
      </c>
      <c r="M641" s="2" t="str">
        <f>IF(K641="","",F641*VLOOKUP(E641,WEIGHTS!$A$2:$F$4,2,FALSE)+G641*VLOOKUP(E641,WEIGHTS!$A$2:$F$4,3,FALSE)+H641*VLOOKUP(E641,WEIGHTS!$A$2:$F$4,4,FALSE)+I641*VLOOKUP(E641,WEIGHTS!$A$2:$F$4,5,FALSE)+J641*VLOOKUP(E641,WEIGHTS!$A$2:$F$4,6,FALSE))</f>
        <v/>
      </c>
      <c r="N641" s="2" t="str">
        <f t="shared" si="4"/>
        <v/>
      </c>
    </row>
    <row r="642" ht="15.75" customHeight="1">
      <c r="A642" s="3"/>
      <c r="B642" s="2" t="str">
        <f t="shared" si="1"/>
        <v/>
      </c>
      <c r="E642" s="2"/>
      <c r="F642" s="2"/>
      <c r="G642" s="2"/>
      <c r="H642" s="2"/>
      <c r="I642" s="2"/>
      <c r="J642" s="2"/>
      <c r="K642" s="2" t="str">
        <f t="shared" si="2"/>
        <v/>
      </c>
      <c r="L642" s="2" t="str">
        <f t="shared" si="3"/>
        <v>No</v>
      </c>
      <c r="M642" s="2" t="str">
        <f>IF(K642="","",F642*VLOOKUP(E642,WEIGHTS!$A$2:$F$4,2,FALSE)+G642*VLOOKUP(E642,WEIGHTS!$A$2:$F$4,3,FALSE)+H642*VLOOKUP(E642,WEIGHTS!$A$2:$F$4,4,FALSE)+I642*VLOOKUP(E642,WEIGHTS!$A$2:$F$4,5,FALSE)+J642*VLOOKUP(E642,WEIGHTS!$A$2:$F$4,6,FALSE))</f>
        <v/>
      </c>
      <c r="N642" s="2" t="str">
        <f t="shared" si="4"/>
        <v/>
      </c>
    </row>
    <row r="643" ht="15.75" customHeight="1">
      <c r="A643" s="3"/>
      <c r="B643" s="2" t="str">
        <f t="shared" si="1"/>
        <v/>
      </c>
      <c r="E643" s="2"/>
      <c r="F643" s="2"/>
      <c r="G643" s="2"/>
      <c r="H643" s="2"/>
      <c r="I643" s="2"/>
      <c r="J643" s="2"/>
      <c r="K643" s="2" t="str">
        <f t="shared" si="2"/>
        <v/>
      </c>
      <c r="L643" s="2" t="str">
        <f t="shared" si="3"/>
        <v>No</v>
      </c>
      <c r="M643" s="2" t="str">
        <f>IF(K643="","",F643*VLOOKUP(E643,WEIGHTS!$A$2:$F$4,2,FALSE)+G643*VLOOKUP(E643,WEIGHTS!$A$2:$F$4,3,FALSE)+H643*VLOOKUP(E643,WEIGHTS!$A$2:$F$4,4,FALSE)+I643*VLOOKUP(E643,WEIGHTS!$A$2:$F$4,5,FALSE)+J643*VLOOKUP(E643,WEIGHTS!$A$2:$F$4,6,FALSE))</f>
        <v/>
      </c>
      <c r="N643" s="2" t="str">
        <f t="shared" si="4"/>
        <v/>
      </c>
    </row>
    <row r="644" ht="15.75" customHeight="1">
      <c r="A644" s="3"/>
      <c r="B644" s="2" t="str">
        <f t="shared" si="1"/>
        <v/>
      </c>
      <c r="E644" s="2"/>
      <c r="F644" s="2"/>
      <c r="G644" s="2"/>
      <c r="H644" s="2"/>
      <c r="I644" s="2"/>
      <c r="J644" s="2"/>
      <c r="K644" s="2" t="str">
        <f t="shared" si="2"/>
        <v/>
      </c>
      <c r="L644" s="2" t="str">
        <f t="shared" si="3"/>
        <v>No</v>
      </c>
      <c r="M644" s="2" t="str">
        <f>IF(K644="","",F644*VLOOKUP(E644,WEIGHTS!$A$2:$F$4,2,FALSE)+G644*VLOOKUP(E644,WEIGHTS!$A$2:$F$4,3,FALSE)+H644*VLOOKUP(E644,WEIGHTS!$A$2:$F$4,4,FALSE)+I644*VLOOKUP(E644,WEIGHTS!$A$2:$F$4,5,FALSE)+J644*VLOOKUP(E644,WEIGHTS!$A$2:$F$4,6,FALSE))</f>
        <v/>
      </c>
      <c r="N644" s="2" t="str">
        <f t="shared" si="4"/>
        <v/>
      </c>
    </row>
    <row r="645" ht="15.75" customHeight="1">
      <c r="A645" s="3"/>
      <c r="B645" s="2" t="str">
        <f t="shared" si="1"/>
        <v/>
      </c>
      <c r="E645" s="2"/>
      <c r="F645" s="2"/>
      <c r="G645" s="2"/>
      <c r="H645" s="2"/>
      <c r="I645" s="2"/>
      <c r="J645" s="2"/>
      <c r="K645" s="2" t="str">
        <f t="shared" si="2"/>
        <v/>
      </c>
      <c r="L645" s="2" t="str">
        <f t="shared" si="3"/>
        <v>No</v>
      </c>
      <c r="M645" s="2" t="str">
        <f>IF(K645="","",F645*VLOOKUP(E645,WEIGHTS!$A$2:$F$4,2,FALSE)+G645*VLOOKUP(E645,WEIGHTS!$A$2:$F$4,3,FALSE)+H645*VLOOKUP(E645,WEIGHTS!$A$2:$F$4,4,FALSE)+I645*VLOOKUP(E645,WEIGHTS!$A$2:$F$4,5,FALSE)+J645*VLOOKUP(E645,WEIGHTS!$A$2:$F$4,6,FALSE))</f>
        <v/>
      </c>
      <c r="N645" s="2" t="str">
        <f t="shared" si="4"/>
        <v/>
      </c>
    </row>
    <row r="646" ht="15.75" customHeight="1">
      <c r="A646" s="3"/>
      <c r="B646" s="2" t="str">
        <f t="shared" si="1"/>
        <v/>
      </c>
      <c r="E646" s="2"/>
      <c r="F646" s="2"/>
      <c r="G646" s="2"/>
      <c r="H646" s="2"/>
      <c r="I646" s="2"/>
      <c r="J646" s="2"/>
      <c r="K646" s="2" t="str">
        <f t="shared" si="2"/>
        <v/>
      </c>
      <c r="L646" s="2" t="str">
        <f t="shared" si="3"/>
        <v>No</v>
      </c>
      <c r="M646" s="2" t="str">
        <f>IF(K646="","",F646*VLOOKUP(E646,WEIGHTS!$A$2:$F$4,2,FALSE)+G646*VLOOKUP(E646,WEIGHTS!$A$2:$F$4,3,FALSE)+H646*VLOOKUP(E646,WEIGHTS!$A$2:$F$4,4,FALSE)+I646*VLOOKUP(E646,WEIGHTS!$A$2:$F$4,5,FALSE)+J646*VLOOKUP(E646,WEIGHTS!$A$2:$F$4,6,FALSE))</f>
        <v/>
      </c>
      <c r="N646" s="2" t="str">
        <f t="shared" si="4"/>
        <v/>
      </c>
    </row>
    <row r="647" ht="15.75" customHeight="1">
      <c r="A647" s="3"/>
      <c r="B647" s="2" t="str">
        <f t="shared" si="1"/>
        <v/>
      </c>
      <c r="E647" s="2"/>
      <c r="F647" s="2"/>
      <c r="G647" s="2"/>
      <c r="H647" s="2"/>
      <c r="I647" s="2"/>
      <c r="J647" s="2"/>
      <c r="K647" s="2" t="str">
        <f t="shared" si="2"/>
        <v/>
      </c>
      <c r="L647" s="2" t="str">
        <f t="shared" si="3"/>
        <v>No</v>
      </c>
      <c r="M647" s="2" t="str">
        <f>IF(K647="","",F647*VLOOKUP(E647,WEIGHTS!$A$2:$F$4,2,FALSE)+G647*VLOOKUP(E647,WEIGHTS!$A$2:$F$4,3,FALSE)+H647*VLOOKUP(E647,WEIGHTS!$A$2:$F$4,4,FALSE)+I647*VLOOKUP(E647,WEIGHTS!$A$2:$F$4,5,FALSE)+J647*VLOOKUP(E647,WEIGHTS!$A$2:$F$4,6,FALSE))</f>
        <v/>
      </c>
      <c r="N647" s="2" t="str">
        <f t="shared" si="4"/>
        <v/>
      </c>
    </row>
    <row r="648" ht="15.75" customHeight="1">
      <c r="A648" s="3"/>
      <c r="B648" s="2" t="str">
        <f t="shared" si="1"/>
        <v/>
      </c>
      <c r="E648" s="2"/>
      <c r="F648" s="2"/>
      <c r="G648" s="2"/>
      <c r="H648" s="2"/>
      <c r="I648" s="2"/>
      <c r="J648" s="2"/>
      <c r="K648" s="2" t="str">
        <f t="shared" si="2"/>
        <v/>
      </c>
      <c r="L648" s="2" t="str">
        <f t="shared" si="3"/>
        <v>No</v>
      </c>
      <c r="M648" s="2" t="str">
        <f>IF(K648="","",F648*VLOOKUP(E648,WEIGHTS!$A$2:$F$4,2,FALSE)+G648*VLOOKUP(E648,WEIGHTS!$A$2:$F$4,3,FALSE)+H648*VLOOKUP(E648,WEIGHTS!$A$2:$F$4,4,FALSE)+I648*VLOOKUP(E648,WEIGHTS!$A$2:$F$4,5,FALSE)+J648*VLOOKUP(E648,WEIGHTS!$A$2:$F$4,6,FALSE))</f>
        <v/>
      </c>
      <c r="N648" s="2" t="str">
        <f t="shared" si="4"/>
        <v/>
      </c>
    </row>
    <row r="649" ht="15.75" customHeight="1">
      <c r="A649" s="3"/>
      <c r="B649" s="2" t="str">
        <f t="shared" si="1"/>
        <v/>
      </c>
      <c r="E649" s="2"/>
      <c r="F649" s="2"/>
      <c r="G649" s="2"/>
      <c r="H649" s="2"/>
      <c r="I649" s="2"/>
      <c r="J649" s="2"/>
      <c r="K649" s="2" t="str">
        <f t="shared" si="2"/>
        <v/>
      </c>
      <c r="L649" s="2" t="str">
        <f t="shared" si="3"/>
        <v>No</v>
      </c>
      <c r="M649" s="2" t="str">
        <f>IF(K649="","",F649*VLOOKUP(E649,WEIGHTS!$A$2:$F$4,2,FALSE)+G649*VLOOKUP(E649,WEIGHTS!$A$2:$F$4,3,FALSE)+H649*VLOOKUP(E649,WEIGHTS!$A$2:$F$4,4,FALSE)+I649*VLOOKUP(E649,WEIGHTS!$A$2:$F$4,5,FALSE)+J649*VLOOKUP(E649,WEIGHTS!$A$2:$F$4,6,FALSE))</f>
        <v/>
      </c>
      <c r="N649" s="2" t="str">
        <f t="shared" si="4"/>
        <v/>
      </c>
    </row>
    <row r="650" ht="15.75" customHeight="1">
      <c r="A650" s="3"/>
      <c r="B650" s="2" t="str">
        <f t="shared" si="1"/>
        <v/>
      </c>
      <c r="E650" s="2"/>
      <c r="F650" s="2"/>
      <c r="G650" s="2"/>
      <c r="H650" s="2"/>
      <c r="I650" s="2"/>
      <c r="J650" s="2"/>
      <c r="K650" s="2" t="str">
        <f t="shared" si="2"/>
        <v/>
      </c>
      <c r="L650" s="2" t="str">
        <f t="shared" si="3"/>
        <v>No</v>
      </c>
      <c r="M650" s="2" t="str">
        <f>IF(K650="","",F650*VLOOKUP(E650,WEIGHTS!$A$2:$F$4,2,FALSE)+G650*VLOOKUP(E650,WEIGHTS!$A$2:$F$4,3,FALSE)+H650*VLOOKUP(E650,WEIGHTS!$A$2:$F$4,4,FALSE)+I650*VLOOKUP(E650,WEIGHTS!$A$2:$F$4,5,FALSE)+J650*VLOOKUP(E650,WEIGHTS!$A$2:$F$4,6,FALSE))</f>
        <v/>
      </c>
      <c r="N650" s="2" t="str">
        <f t="shared" si="4"/>
        <v/>
      </c>
    </row>
    <row r="651" ht="15.75" customHeight="1">
      <c r="A651" s="3"/>
      <c r="B651" s="2" t="str">
        <f t="shared" si="1"/>
        <v/>
      </c>
      <c r="E651" s="2"/>
      <c r="F651" s="2"/>
      <c r="G651" s="2"/>
      <c r="H651" s="2"/>
      <c r="I651" s="2"/>
      <c r="J651" s="2"/>
      <c r="K651" s="2" t="str">
        <f t="shared" si="2"/>
        <v/>
      </c>
      <c r="L651" s="2" t="str">
        <f t="shared" si="3"/>
        <v>No</v>
      </c>
      <c r="M651" s="2" t="str">
        <f>IF(K651="","",F651*VLOOKUP(E651,WEIGHTS!$A$2:$F$4,2,FALSE)+G651*VLOOKUP(E651,WEIGHTS!$A$2:$F$4,3,FALSE)+H651*VLOOKUP(E651,WEIGHTS!$A$2:$F$4,4,FALSE)+I651*VLOOKUP(E651,WEIGHTS!$A$2:$F$4,5,FALSE)+J651*VLOOKUP(E651,WEIGHTS!$A$2:$F$4,6,FALSE))</f>
        <v/>
      </c>
      <c r="N651" s="2" t="str">
        <f t="shared" si="4"/>
        <v/>
      </c>
    </row>
    <row r="652" ht="15.75" customHeight="1">
      <c r="A652" s="3"/>
      <c r="B652" s="2" t="str">
        <f t="shared" si="1"/>
        <v/>
      </c>
      <c r="E652" s="2"/>
      <c r="F652" s="2"/>
      <c r="G652" s="2"/>
      <c r="H652" s="2"/>
      <c r="I652" s="2"/>
      <c r="J652" s="2"/>
      <c r="K652" s="2" t="str">
        <f t="shared" si="2"/>
        <v/>
      </c>
      <c r="L652" s="2" t="str">
        <f t="shared" si="3"/>
        <v>No</v>
      </c>
      <c r="M652" s="2" t="str">
        <f>IF(K652="","",F652*VLOOKUP(E652,WEIGHTS!$A$2:$F$4,2,FALSE)+G652*VLOOKUP(E652,WEIGHTS!$A$2:$F$4,3,FALSE)+H652*VLOOKUP(E652,WEIGHTS!$A$2:$F$4,4,FALSE)+I652*VLOOKUP(E652,WEIGHTS!$A$2:$F$4,5,FALSE)+J652*VLOOKUP(E652,WEIGHTS!$A$2:$F$4,6,FALSE))</f>
        <v/>
      </c>
      <c r="N652" s="2" t="str">
        <f t="shared" si="4"/>
        <v/>
      </c>
    </row>
    <row r="653" ht="15.75" customHeight="1">
      <c r="A653" s="3"/>
      <c r="B653" s="2" t="str">
        <f t="shared" si="1"/>
        <v/>
      </c>
      <c r="E653" s="2"/>
      <c r="F653" s="2"/>
      <c r="G653" s="2"/>
      <c r="H653" s="2"/>
      <c r="I653" s="2"/>
      <c r="J653" s="2"/>
      <c r="K653" s="2" t="str">
        <f t="shared" si="2"/>
        <v/>
      </c>
      <c r="L653" s="2" t="str">
        <f t="shared" si="3"/>
        <v>No</v>
      </c>
      <c r="M653" s="2" t="str">
        <f>IF(K653="","",F653*VLOOKUP(E653,WEIGHTS!$A$2:$F$4,2,FALSE)+G653*VLOOKUP(E653,WEIGHTS!$A$2:$F$4,3,FALSE)+H653*VLOOKUP(E653,WEIGHTS!$A$2:$F$4,4,FALSE)+I653*VLOOKUP(E653,WEIGHTS!$A$2:$F$4,5,FALSE)+J653*VLOOKUP(E653,WEIGHTS!$A$2:$F$4,6,FALSE))</f>
        <v/>
      </c>
      <c r="N653" s="2" t="str">
        <f t="shared" si="4"/>
        <v/>
      </c>
    </row>
    <row r="654" ht="15.75" customHeight="1">
      <c r="A654" s="3"/>
      <c r="B654" s="2" t="str">
        <f t="shared" si="1"/>
        <v/>
      </c>
      <c r="E654" s="2"/>
      <c r="F654" s="2"/>
      <c r="G654" s="2"/>
      <c r="H654" s="2"/>
      <c r="I654" s="2"/>
      <c r="J654" s="2"/>
      <c r="K654" s="2" t="str">
        <f t="shared" si="2"/>
        <v/>
      </c>
      <c r="L654" s="2" t="str">
        <f t="shared" si="3"/>
        <v>No</v>
      </c>
      <c r="M654" s="2" t="str">
        <f>IF(K654="","",F654*VLOOKUP(E654,WEIGHTS!$A$2:$F$4,2,FALSE)+G654*VLOOKUP(E654,WEIGHTS!$A$2:$F$4,3,FALSE)+H654*VLOOKUP(E654,WEIGHTS!$A$2:$F$4,4,FALSE)+I654*VLOOKUP(E654,WEIGHTS!$A$2:$F$4,5,FALSE)+J654*VLOOKUP(E654,WEIGHTS!$A$2:$F$4,6,FALSE))</f>
        <v/>
      </c>
      <c r="N654" s="2" t="str">
        <f t="shared" si="4"/>
        <v/>
      </c>
    </row>
    <row r="655" ht="15.75" customHeight="1">
      <c r="A655" s="3"/>
      <c r="B655" s="2" t="str">
        <f t="shared" si="1"/>
        <v/>
      </c>
      <c r="E655" s="2"/>
      <c r="F655" s="2"/>
      <c r="G655" s="2"/>
      <c r="H655" s="2"/>
      <c r="I655" s="2"/>
      <c r="J655" s="2"/>
      <c r="K655" s="2" t="str">
        <f t="shared" si="2"/>
        <v/>
      </c>
      <c r="L655" s="2" t="str">
        <f t="shared" si="3"/>
        <v>No</v>
      </c>
      <c r="M655" s="2" t="str">
        <f>IF(K655="","",F655*VLOOKUP(E655,WEIGHTS!$A$2:$F$4,2,FALSE)+G655*VLOOKUP(E655,WEIGHTS!$A$2:$F$4,3,FALSE)+H655*VLOOKUP(E655,WEIGHTS!$A$2:$F$4,4,FALSE)+I655*VLOOKUP(E655,WEIGHTS!$A$2:$F$4,5,FALSE)+J655*VLOOKUP(E655,WEIGHTS!$A$2:$F$4,6,FALSE))</f>
        <v/>
      </c>
      <c r="N655" s="2" t="str">
        <f t="shared" si="4"/>
        <v/>
      </c>
    </row>
    <row r="656" ht="15.75" customHeight="1">
      <c r="A656" s="3"/>
      <c r="B656" s="2" t="str">
        <f t="shared" si="1"/>
        <v/>
      </c>
      <c r="E656" s="2"/>
      <c r="F656" s="2"/>
      <c r="G656" s="2"/>
      <c r="H656" s="2"/>
      <c r="I656" s="2"/>
      <c r="J656" s="2"/>
      <c r="K656" s="2" t="str">
        <f t="shared" si="2"/>
        <v/>
      </c>
      <c r="L656" s="2" t="str">
        <f t="shared" si="3"/>
        <v>No</v>
      </c>
      <c r="M656" s="2" t="str">
        <f>IF(K656="","",F656*VLOOKUP(E656,WEIGHTS!$A$2:$F$4,2,FALSE)+G656*VLOOKUP(E656,WEIGHTS!$A$2:$F$4,3,FALSE)+H656*VLOOKUP(E656,WEIGHTS!$A$2:$F$4,4,FALSE)+I656*VLOOKUP(E656,WEIGHTS!$A$2:$F$4,5,FALSE)+J656*VLOOKUP(E656,WEIGHTS!$A$2:$F$4,6,FALSE))</f>
        <v/>
      </c>
      <c r="N656" s="2" t="str">
        <f t="shared" si="4"/>
        <v/>
      </c>
    </row>
    <row r="657" ht="15.75" customHeight="1">
      <c r="A657" s="3"/>
      <c r="B657" s="2" t="str">
        <f t="shared" si="1"/>
        <v/>
      </c>
      <c r="E657" s="2"/>
      <c r="F657" s="2"/>
      <c r="G657" s="2"/>
      <c r="H657" s="2"/>
      <c r="I657" s="2"/>
      <c r="J657" s="2"/>
      <c r="K657" s="2" t="str">
        <f t="shared" si="2"/>
        <v/>
      </c>
      <c r="L657" s="2" t="str">
        <f t="shared" si="3"/>
        <v>No</v>
      </c>
      <c r="M657" s="2" t="str">
        <f>IF(K657="","",F657*VLOOKUP(E657,WEIGHTS!$A$2:$F$4,2,FALSE)+G657*VLOOKUP(E657,WEIGHTS!$A$2:$F$4,3,FALSE)+H657*VLOOKUP(E657,WEIGHTS!$A$2:$F$4,4,FALSE)+I657*VLOOKUP(E657,WEIGHTS!$A$2:$F$4,5,FALSE)+J657*VLOOKUP(E657,WEIGHTS!$A$2:$F$4,6,FALSE))</f>
        <v/>
      </c>
      <c r="N657" s="2" t="str">
        <f t="shared" si="4"/>
        <v/>
      </c>
    </row>
    <row r="658" ht="15.75" customHeight="1">
      <c r="A658" s="3"/>
      <c r="B658" s="2" t="str">
        <f t="shared" si="1"/>
        <v/>
      </c>
      <c r="E658" s="2"/>
      <c r="F658" s="2"/>
      <c r="G658" s="2"/>
      <c r="H658" s="2"/>
      <c r="I658" s="2"/>
      <c r="J658" s="2"/>
      <c r="K658" s="2" t="str">
        <f t="shared" si="2"/>
        <v/>
      </c>
      <c r="L658" s="2" t="str">
        <f t="shared" si="3"/>
        <v>No</v>
      </c>
      <c r="M658" s="2" t="str">
        <f>IF(K658="","",F658*VLOOKUP(E658,WEIGHTS!$A$2:$F$4,2,FALSE)+G658*VLOOKUP(E658,WEIGHTS!$A$2:$F$4,3,FALSE)+H658*VLOOKUP(E658,WEIGHTS!$A$2:$F$4,4,FALSE)+I658*VLOOKUP(E658,WEIGHTS!$A$2:$F$4,5,FALSE)+J658*VLOOKUP(E658,WEIGHTS!$A$2:$F$4,6,FALSE))</f>
        <v/>
      </c>
      <c r="N658" s="2" t="str">
        <f t="shared" si="4"/>
        <v/>
      </c>
    </row>
    <row r="659" ht="15.75" customHeight="1">
      <c r="A659" s="3"/>
      <c r="B659" s="2" t="str">
        <f t="shared" si="1"/>
        <v/>
      </c>
      <c r="E659" s="2"/>
      <c r="F659" s="2"/>
      <c r="G659" s="2"/>
      <c r="H659" s="2"/>
      <c r="I659" s="2"/>
      <c r="J659" s="2"/>
      <c r="K659" s="2" t="str">
        <f t="shared" si="2"/>
        <v/>
      </c>
      <c r="L659" s="2" t="str">
        <f t="shared" si="3"/>
        <v>No</v>
      </c>
      <c r="M659" s="2" t="str">
        <f>IF(K659="","",F659*VLOOKUP(E659,WEIGHTS!$A$2:$F$4,2,FALSE)+G659*VLOOKUP(E659,WEIGHTS!$A$2:$F$4,3,FALSE)+H659*VLOOKUP(E659,WEIGHTS!$A$2:$F$4,4,FALSE)+I659*VLOOKUP(E659,WEIGHTS!$A$2:$F$4,5,FALSE)+J659*VLOOKUP(E659,WEIGHTS!$A$2:$F$4,6,FALSE))</f>
        <v/>
      </c>
      <c r="N659" s="2" t="str">
        <f t="shared" si="4"/>
        <v/>
      </c>
    </row>
    <row r="660" ht="15.75" customHeight="1">
      <c r="A660" s="3"/>
      <c r="B660" s="2" t="str">
        <f t="shared" si="1"/>
        <v/>
      </c>
      <c r="E660" s="2"/>
      <c r="F660" s="2"/>
      <c r="G660" s="2"/>
      <c r="H660" s="2"/>
      <c r="I660" s="2"/>
      <c r="J660" s="2"/>
      <c r="K660" s="2" t="str">
        <f t="shared" si="2"/>
        <v/>
      </c>
      <c r="L660" s="2" t="str">
        <f t="shared" si="3"/>
        <v>No</v>
      </c>
      <c r="M660" s="2" t="str">
        <f>IF(K660="","",F660*VLOOKUP(E660,WEIGHTS!$A$2:$F$4,2,FALSE)+G660*VLOOKUP(E660,WEIGHTS!$A$2:$F$4,3,FALSE)+H660*VLOOKUP(E660,WEIGHTS!$A$2:$F$4,4,FALSE)+I660*VLOOKUP(E660,WEIGHTS!$A$2:$F$4,5,FALSE)+J660*VLOOKUP(E660,WEIGHTS!$A$2:$F$4,6,FALSE))</f>
        <v/>
      </c>
      <c r="N660" s="2" t="str">
        <f t="shared" si="4"/>
        <v/>
      </c>
    </row>
    <row r="661" ht="15.75" customHeight="1">
      <c r="A661" s="3"/>
      <c r="B661" s="2" t="str">
        <f t="shared" si="1"/>
        <v/>
      </c>
      <c r="E661" s="2"/>
      <c r="F661" s="2"/>
      <c r="G661" s="2"/>
      <c r="H661" s="2"/>
      <c r="I661" s="2"/>
      <c r="J661" s="2"/>
      <c r="K661" s="2" t="str">
        <f t="shared" si="2"/>
        <v/>
      </c>
      <c r="L661" s="2" t="str">
        <f t="shared" si="3"/>
        <v>No</v>
      </c>
      <c r="M661" s="2" t="str">
        <f>IF(K661="","",F661*VLOOKUP(E661,WEIGHTS!$A$2:$F$4,2,FALSE)+G661*VLOOKUP(E661,WEIGHTS!$A$2:$F$4,3,FALSE)+H661*VLOOKUP(E661,WEIGHTS!$A$2:$F$4,4,FALSE)+I661*VLOOKUP(E661,WEIGHTS!$A$2:$F$4,5,FALSE)+J661*VLOOKUP(E661,WEIGHTS!$A$2:$F$4,6,FALSE))</f>
        <v/>
      </c>
      <c r="N661" s="2" t="str">
        <f t="shared" si="4"/>
        <v/>
      </c>
    </row>
    <row r="662" ht="15.75" customHeight="1">
      <c r="A662" s="3"/>
      <c r="B662" s="2" t="str">
        <f t="shared" si="1"/>
        <v/>
      </c>
      <c r="E662" s="2"/>
      <c r="F662" s="2"/>
      <c r="G662" s="2"/>
      <c r="H662" s="2"/>
      <c r="I662" s="2"/>
      <c r="J662" s="2"/>
      <c r="K662" s="2" t="str">
        <f t="shared" si="2"/>
        <v/>
      </c>
      <c r="L662" s="2" t="str">
        <f t="shared" si="3"/>
        <v>No</v>
      </c>
      <c r="M662" s="2" t="str">
        <f>IF(K662="","",F662*VLOOKUP(E662,WEIGHTS!$A$2:$F$4,2,FALSE)+G662*VLOOKUP(E662,WEIGHTS!$A$2:$F$4,3,FALSE)+H662*VLOOKUP(E662,WEIGHTS!$A$2:$F$4,4,FALSE)+I662*VLOOKUP(E662,WEIGHTS!$A$2:$F$4,5,FALSE)+J662*VLOOKUP(E662,WEIGHTS!$A$2:$F$4,6,FALSE))</f>
        <v/>
      </c>
      <c r="N662" s="2" t="str">
        <f t="shared" si="4"/>
        <v/>
      </c>
    </row>
    <row r="663" ht="15.75" customHeight="1">
      <c r="A663" s="3"/>
      <c r="B663" s="2" t="str">
        <f t="shared" si="1"/>
        <v/>
      </c>
      <c r="E663" s="2"/>
      <c r="F663" s="2"/>
      <c r="G663" s="2"/>
      <c r="H663" s="2"/>
      <c r="I663" s="2"/>
      <c r="J663" s="2"/>
      <c r="K663" s="2" t="str">
        <f t="shared" si="2"/>
        <v/>
      </c>
      <c r="L663" s="2" t="str">
        <f t="shared" si="3"/>
        <v>No</v>
      </c>
      <c r="M663" s="2" t="str">
        <f>IF(K663="","",F663*VLOOKUP(E663,WEIGHTS!$A$2:$F$4,2,FALSE)+G663*VLOOKUP(E663,WEIGHTS!$A$2:$F$4,3,FALSE)+H663*VLOOKUP(E663,WEIGHTS!$A$2:$F$4,4,FALSE)+I663*VLOOKUP(E663,WEIGHTS!$A$2:$F$4,5,FALSE)+J663*VLOOKUP(E663,WEIGHTS!$A$2:$F$4,6,FALSE))</f>
        <v/>
      </c>
      <c r="N663" s="2" t="str">
        <f t="shared" si="4"/>
        <v/>
      </c>
    </row>
    <row r="664" ht="15.75" customHeight="1">
      <c r="A664" s="3"/>
      <c r="B664" s="2" t="str">
        <f t="shared" si="1"/>
        <v/>
      </c>
      <c r="E664" s="2"/>
      <c r="F664" s="2"/>
      <c r="G664" s="2"/>
      <c r="H664" s="2"/>
      <c r="I664" s="2"/>
      <c r="J664" s="2"/>
      <c r="K664" s="2" t="str">
        <f t="shared" si="2"/>
        <v/>
      </c>
      <c r="L664" s="2" t="str">
        <f t="shared" si="3"/>
        <v>No</v>
      </c>
      <c r="M664" s="2" t="str">
        <f>IF(K664="","",F664*VLOOKUP(E664,WEIGHTS!$A$2:$F$4,2,FALSE)+G664*VLOOKUP(E664,WEIGHTS!$A$2:$F$4,3,FALSE)+H664*VLOOKUP(E664,WEIGHTS!$A$2:$F$4,4,FALSE)+I664*VLOOKUP(E664,WEIGHTS!$A$2:$F$4,5,FALSE)+J664*VLOOKUP(E664,WEIGHTS!$A$2:$F$4,6,FALSE))</f>
        <v/>
      </c>
      <c r="N664" s="2" t="str">
        <f t="shared" si="4"/>
        <v/>
      </c>
    </row>
    <row r="665" ht="15.75" customHeight="1">
      <c r="A665" s="3"/>
      <c r="B665" s="2" t="str">
        <f t="shared" si="1"/>
        <v/>
      </c>
      <c r="E665" s="2"/>
      <c r="F665" s="2"/>
      <c r="G665" s="2"/>
      <c r="H665" s="2"/>
      <c r="I665" s="2"/>
      <c r="J665" s="2"/>
      <c r="K665" s="2" t="str">
        <f t="shared" si="2"/>
        <v/>
      </c>
      <c r="L665" s="2" t="str">
        <f t="shared" si="3"/>
        <v>No</v>
      </c>
      <c r="M665" s="2" t="str">
        <f>IF(K665="","",F665*VLOOKUP(E665,WEIGHTS!$A$2:$F$4,2,FALSE)+G665*VLOOKUP(E665,WEIGHTS!$A$2:$F$4,3,FALSE)+H665*VLOOKUP(E665,WEIGHTS!$A$2:$F$4,4,FALSE)+I665*VLOOKUP(E665,WEIGHTS!$A$2:$F$4,5,FALSE)+J665*VLOOKUP(E665,WEIGHTS!$A$2:$F$4,6,FALSE))</f>
        <v/>
      </c>
      <c r="N665" s="2" t="str">
        <f t="shared" si="4"/>
        <v/>
      </c>
    </row>
    <row r="666" ht="15.75" customHeight="1">
      <c r="A666" s="3"/>
      <c r="B666" s="2" t="str">
        <f t="shared" si="1"/>
        <v/>
      </c>
      <c r="E666" s="2"/>
      <c r="F666" s="2"/>
      <c r="G666" s="2"/>
      <c r="H666" s="2"/>
      <c r="I666" s="2"/>
      <c r="J666" s="2"/>
      <c r="K666" s="2" t="str">
        <f t="shared" si="2"/>
        <v/>
      </c>
      <c r="L666" s="2" t="str">
        <f t="shared" si="3"/>
        <v>No</v>
      </c>
      <c r="M666" s="2" t="str">
        <f>IF(K666="","",F666*VLOOKUP(E666,WEIGHTS!$A$2:$F$4,2,FALSE)+G666*VLOOKUP(E666,WEIGHTS!$A$2:$F$4,3,FALSE)+H666*VLOOKUP(E666,WEIGHTS!$A$2:$F$4,4,FALSE)+I666*VLOOKUP(E666,WEIGHTS!$A$2:$F$4,5,FALSE)+J666*VLOOKUP(E666,WEIGHTS!$A$2:$F$4,6,FALSE))</f>
        <v/>
      </c>
      <c r="N666" s="2" t="str">
        <f t="shared" si="4"/>
        <v/>
      </c>
    </row>
    <row r="667" ht="15.75" customHeight="1">
      <c r="A667" s="3"/>
      <c r="B667" s="2" t="str">
        <f t="shared" si="1"/>
        <v/>
      </c>
      <c r="E667" s="2"/>
      <c r="F667" s="2"/>
      <c r="G667" s="2"/>
      <c r="H667" s="2"/>
      <c r="I667" s="2"/>
      <c r="J667" s="2"/>
      <c r="K667" s="2" t="str">
        <f t="shared" si="2"/>
        <v/>
      </c>
      <c r="L667" s="2" t="str">
        <f t="shared" si="3"/>
        <v>No</v>
      </c>
      <c r="M667" s="2" t="str">
        <f>IF(K667="","",F667*VLOOKUP(E667,WEIGHTS!$A$2:$F$4,2,FALSE)+G667*VLOOKUP(E667,WEIGHTS!$A$2:$F$4,3,FALSE)+H667*VLOOKUP(E667,WEIGHTS!$A$2:$F$4,4,FALSE)+I667*VLOOKUP(E667,WEIGHTS!$A$2:$F$4,5,FALSE)+J667*VLOOKUP(E667,WEIGHTS!$A$2:$F$4,6,FALSE))</f>
        <v/>
      </c>
      <c r="N667" s="2" t="str">
        <f t="shared" si="4"/>
        <v/>
      </c>
    </row>
    <row r="668" ht="15.75" customHeight="1">
      <c r="A668" s="3"/>
      <c r="B668" s="2" t="str">
        <f t="shared" si="1"/>
        <v/>
      </c>
      <c r="E668" s="2"/>
      <c r="F668" s="2"/>
      <c r="G668" s="2"/>
      <c r="H668" s="2"/>
      <c r="I668" s="2"/>
      <c r="J668" s="2"/>
      <c r="K668" s="2" t="str">
        <f t="shared" si="2"/>
        <v/>
      </c>
      <c r="L668" s="2" t="str">
        <f t="shared" si="3"/>
        <v>No</v>
      </c>
      <c r="M668" s="2" t="str">
        <f>IF(K668="","",F668*VLOOKUP(E668,WEIGHTS!$A$2:$F$4,2,FALSE)+G668*VLOOKUP(E668,WEIGHTS!$A$2:$F$4,3,FALSE)+H668*VLOOKUP(E668,WEIGHTS!$A$2:$F$4,4,FALSE)+I668*VLOOKUP(E668,WEIGHTS!$A$2:$F$4,5,FALSE)+J668*VLOOKUP(E668,WEIGHTS!$A$2:$F$4,6,FALSE))</f>
        <v/>
      </c>
      <c r="N668" s="2" t="str">
        <f t="shared" si="4"/>
        <v/>
      </c>
    </row>
    <row r="669" ht="15.75" customHeight="1">
      <c r="A669" s="3"/>
      <c r="B669" s="2" t="str">
        <f t="shared" si="1"/>
        <v/>
      </c>
      <c r="E669" s="2"/>
      <c r="F669" s="2"/>
      <c r="G669" s="2"/>
      <c r="H669" s="2"/>
      <c r="I669" s="2"/>
      <c r="J669" s="2"/>
      <c r="K669" s="2" t="str">
        <f t="shared" si="2"/>
        <v/>
      </c>
      <c r="L669" s="2" t="str">
        <f t="shared" si="3"/>
        <v>No</v>
      </c>
      <c r="M669" s="2" t="str">
        <f>IF(K669="","",F669*VLOOKUP(E669,WEIGHTS!$A$2:$F$4,2,FALSE)+G669*VLOOKUP(E669,WEIGHTS!$A$2:$F$4,3,FALSE)+H669*VLOOKUP(E669,WEIGHTS!$A$2:$F$4,4,FALSE)+I669*VLOOKUP(E669,WEIGHTS!$A$2:$F$4,5,FALSE)+J669*VLOOKUP(E669,WEIGHTS!$A$2:$F$4,6,FALSE))</f>
        <v/>
      </c>
      <c r="N669" s="2" t="str">
        <f t="shared" si="4"/>
        <v/>
      </c>
    </row>
    <row r="670" ht="15.75" customHeight="1">
      <c r="A670" s="3"/>
      <c r="B670" s="2" t="str">
        <f t="shared" si="1"/>
        <v/>
      </c>
      <c r="E670" s="2"/>
      <c r="F670" s="2"/>
      <c r="G670" s="2"/>
      <c r="H670" s="2"/>
      <c r="I670" s="2"/>
      <c r="J670" s="2"/>
      <c r="K670" s="2" t="str">
        <f t="shared" si="2"/>
        <v/>
      </c>
      <c r="L670" s="2" t="str">
        <f t="shared" si="3"/>
        <v>No</v>
      </c>
      <c r="M670" s="2" t="str">
        <f>IF(K670="","",F670*VLOOKUP(E670,WEIGHTS!$A$2:$F$4,2,FALSE)+G670*VLOOKUP(E670,WEIGHTS!$A$2:$F$4,3,FALSE)+H670*VLOOKUP(E670,WEIGHTS!$A$2:$F$4,4,FALSE)+I670*VLOOKUP(E670,WEIGHTS!$A$2:$F$4,5,FALSE)+J670*VLOOKUP(E670,WEIGHTS!$A$2:$F$4,6,FALSE))</f>
        <v/>
      </c>
      <c r="N670" s="2" t="str">
        <f t="shared" si="4"/>
        <v/>
      </c>
    </row>
    <row r="671" ht="15.75" customHeight="1">
      <c r="A671" s="3"/>
      <c r="B671" s="2" t="str">
        <f t="shared" si="1"/>
        <v/>
      </c>
      <c r="E671" s="2"/>
      <c r="F671" s="2"/>
      <c r="G671" s="2"/>
      <c r="H671" s="2"/>
      <c r="I671" s="2"/>
      <c r="J671" s="2"/>
      <c r="K671" s="2" t="str">
        <f t="shared" si="2"/>
        <v/>
      </c>
      <c r="L671" s="2" t="str">
        <f t="shared" si="3"/>
        <v>No</v>
      </c>
      <c r="M671" s="2" t="str">
        <f>IF(K671="","",F671*VLOOKUP(E671,WEIGHTS!$A$2:$F$4,2,FALSE)+G671*VLOOKUP(E671,WEIGHTS!$A$2:$F$4,3,FALSE)+H671*VLOOKUP(E671,WEIGHTS!$A$2:$F$4,4,FALSE)+I671*VLOOKUP(E671,WEIGHTS!$A$2:$F$4,5,FALSE)+J671*VLOOKUP(E671,WEIGHTS!$A$2:$F$4,6,FALSE))</f>
        <v/>
      </c>
      <c r="N671" s="2" t="str">
        <f t="shared" si="4"/>
        <v/>
      </c>
    </row>
    <row r="672" ht="15.75" customHeight="1">
      <c r="A672" s="3"/>
      <c r="B672" s="2" t="str">
        <f t="shared" si="1"/>
        <v/>
      </c>
      <c r="E672" s="2"/>
      <c r="F672" s="2"/>
      <c r="G672" s="2"/>
      <c r="H672" s="2"/>
      <c r="I672" s="2"/>
      <c r="J672" s="2"/>
      <c r="K672" s="2" t="str">
        <f t="shared" si="2"/>
        <v/>
      </c>
      <c r="L672" s="2" t="str">
        <f t="shared" si="3"/>
        <v>No</v>
      </c>
      <c r="M672" s="2" t="str">
        <f>IF(K672="","",F672*VLOOKUP(E672,WEIGHTS!$A$2:$F$4,2,FALSE)+G672*VLOOKUP(E672,WEIGHTS!$A$2:$F$4,3,FALSE)+H672*VLOOKUP(E672,WEIGHTS!$A$2:$F$4,4,FALSE)+I672*VLOOKUP(E672,WEIGHTS!$A$2:$F$4,5,FALSE)+J672*VLOOKUP(E672,WEIGHTS!$A$2:$F$4,6,FALSE))</f>
        <v/>
      </c>
      <c r="N672" s="2" t="str">
        <f t="shared" si="4"/>
        <v/>
      </c>
    </row>
    <row r="673" ht="15.75" customHeight="1">
      <c r="A673" s="3"/>
      <c r="B673" s="2" t="str">
        <f t="shared" si="1"/>
        <v/>
      </c>
      <c r="E673" s="2"/>
      <c r="F673" s="2"/>
      <c r="G673" s="2"/>
      <c r="H673" s="2"/>
      <c r="I673" s="2"/>
      <c r="J673" s="2"/>
      <c r="K673" s="2" t="str">
        <f t="shared" si="2"/>
        <v/>
      </c>
      <c r="L673" s="2" t="str">
        <f t="shared" si="3"/>
        <v>No</v>
      </c>
      <c r="M673" s="2" t="str">
        <f>IF(K673="","",F673*VLOOKUP(E673,WEIGHTS!$A$2:$F$4,2,FALSE)+G673*VLOOKUP(E673,WEIGHTS!$A$2:$F$4,3,FALSE)+H673*VLOOKUP(E673,WEIGHTS!$A$2:$F$4,4,FALSE)+I673*VLOOKUP(E673,WEIGHTS!$A$2:$F$4,5,FALSE)+J673*VLOOKUP(E673,WEIGHTS!$A$2:$F$4,6,FALSE))</f>
        <v/>
      </c>
      <c r="N673" s="2" t="str">
        <f t="shared" si="4"/>
        <v/>
      </c>
    </row>
    <row r="674" ht="15.75" customHeight="1">
      <c r="A674" s="3"/>
      <c r="B674" s="2" t="str">
        <f t="shared" si="1"/>
        <v/>
      </c>
      <c r="E674" s="2"/>
      <c r="F674" s="2"/>
      <c r="G674" s="2"/>
      <c r="H674" s="2"/>
      <c r="I674" s="2"/>
      <c r="J674" s="2"/>
      <c r="K674" s="2" t="str">
        <f t="shared" si="2"/>
        <v/>
      </c>
      <c r="L674" s="2" t="str">
        <f t="shared" si="3"/>
        <v>No</v>
      </c>
      <c r="M674" s="2" t="str">
        <f>IF(K674="","",F674*VLOOKUP(E674,WEIGHTS!$A$2:$F$4,2,FALSE)+G674*VLOOKUP(E674,WEIGHTS!$A$2:$F$4,3,FALSE)+H674*VLOOKUP(E674,WEIGHTS!$A$2:$F$4,4,FALSE)+I674*VLOOKUP(E674,WEIGHTS!$A$2:$F$4,5,FALSE)+J674*VLOOKUP(E674,WEIGHTS!$A$2:$F$4,6,FALSE))</f>
        <v/>
      </c>
      <c r="N674" s="2" t="str">
        <f t="shared" si="4"/>
        <v/>
      </c>
    </row>
    <row r="675" ht="15.75" customHeight="1">
      <c r="A675" s="3"/>
      <c r="B675" s="2" t="str">
        <f t="shared" si="1"/>
        <v/>
      </c>
      <c r="E675" s="2"/>
      <c r="F675" s="2"/>
      <c r="G675" s="2"/>
      <c r="H675" s="2"/>
      <c r="I675" s="2"/>
      <c r="J675" s="2"/>
      <c r="K675" s="2" t="str">
        <f t="shared" si="2"/>
        <v/>
      </c>
      <c r="L675" s="2" t="str">
        <f t="shared" si="3"/>
        <v>No</v>
      </c>
      <c r="M675" s="2" t="str">
        <f>IF(K675="","",F675*VLOOKUP(E675,WEIGHTS!$A$2:$F$4,2,FALSE)+G675*VLOOKUP(E675,WEIGHTS!$A$2:$F$4,3,FALSE)+H675*VLOOKUP(E675,WEIGHTS!$A$2:$F$4,4,FALSE)+I675*VLOOKUP(E675,WEIGHTS!$A$2:$F$4,5,FALSE)+J675*VLOOKUP(E675,WEIGHTS!$A$2:$F$4,6,FALSE))</f>
        <v/>
      </c>
      <c r="N675" s="2" t="str">
        <f t="shared" si="4"/>
        <v/>
      </c>
    </row>
    <row r="676" ht="15.75" customHeight="1">
      <c r="A676" s="3"/>
      <c r="B676" s="2" t="str">
        <f t="shared" si="1"/>
        <v/>
      </c>
      <c r="E676" s="2"/>
      <c r="F676" s="2"/>
      <c r="G676" s="2"/>
      <c r="H676" s="2"/>
      <c r="I676" s="2"/>
      <c r="J676" s="2"/>
      <c r="K676" s="2" t="str">
        <f t="shared" si="2"/>
        <v/>
      </c>
      <c r="L676" s="2" t="str">
        <f t="shared" si="3"/>
        <v>No</v>
      </c>
      <c r="M676" s="2" t="str">
        <f>IF(K676="","",F676*VLOOKUP(E676,WEIGHTS!$A$2:$F$4,2,FALSE)+G676*VLOOKUP(E676,WEIGHTS!$A$2:$F$4,3,FALSE)+H676*VLOOKUP(E676,WEIGHTS!$A$2:$F$4,4,FALSE)+I676*VLOOKUP(E676,WEIGHTS!$A$2:$F$4,5,FALSE)+J676*VLOOKUP(E676,WEIGHTS!$A$2:$F$4,6,FALSE))</f>
        <v/>
      </c>
      <c r="N676" s="2" t="str">
        <f t="shared" si="4"/>
        <v/>
      </c>
    </row>
    <row r="677" ht="15.75" customHeight="1">
      <c r="A677" s="3"/>
      <c r="B677" s="2" t="str">
        <f t="shared" si="1"/>
        <v/>
      </c>
      <c r="E677" s="2"/>
      <c r="F677" s="2"/>
      <c r="G677" s="2"/>
      <c r="H677" s="2"/>
      <c r="I677" s="2"/>
      <c r="J677" s="2"/>
      <c r="K677" s="2" t="str">
        <f t="shared" si="2"/>
        <v/>
      </c>
      <c r="L677" s="2" t="str">
        <f t="shared" si="3"/>
        <v>No</v>
      </c>
      <c r="M677" s="2" t="str">
        <f>IF(K677="","",F677*VLOOKUP(E677,WEIGHTS!$A$2:$F$4,2,FALSE)+G677*VLOOKUP(E677,WEIGHTS!$A$2:$F$4,3,FALSE)+H677*VLOOKUP(E677,WEIGHTS!$A$2:$F$4,4,FALSE)+I677*VLOOKUP(E677,WEIGHTS!$A$2:$F$4,5,FALSE)+J677*VLOOKUP(E677,WEIGHTS!$A$2:$F$4,6,FALSE))</f>
        <v/>
      </c>
      <c r="N677" s="2" t="str">
        <f t="shared" si="4"/>
        <v/>
      </c>
    </row>
    <row r="678" ht="15.75" customHeight="1">
      <c r="A678" s="3"/>
      <c r="B678" s="2" t="str">
        <f t="shared" si="1"/>
        <v/>
      </c>
      <c r="E678" s="2"/>
      <c r="F678" s="2"/>
      <c r="G678" s="2"/>
      <c r="H678" s="2"/>
      <c r="I678" s="2"/>
      <c r="J678" s="2"/>
      <c r="K678" s="2" t="str">
        <f t="shared" si="2"/>
        <v/>
      </c>
      <c r="L678" s="2" t="str">
        <f t="shared" si="3"/>
        <v>No</v>
      </c>
      <c r="M678" s="2" t="str">
        <f>IF(K678="","",F678*VLOOKUP(E678,WEIGHTS!$A$2:$F$4,2,FALSE)+G678*VLOOKUP(E678,WEIGHTS!$A$2:$F$4,3,FALSE)+H678*VLOOKUP(E678,WEIGHTS!$A$2:$F$4,4,FALSE)+I678*VLOOKUP(E678,WEIGHTS!$A$2:$F$4,5,FALSE)+J678*VLOOKUP(E678,WEIGHTS!$A$2:$F$4,6,FALSE))</f>
        <v/>
      </c>
      <c r="N678" s="2" t="str">
        <f t="shared" si="4"/>
        <v/>
      </c>
    </row>
    <row r="679" ht="15.75" customHeight="1">
      <c r="A679" s="3"/>
      <c r="B679" s="2" t="str">
        <f t="shared" si="1"/>
        <v/>
      </c>
      <c r="E679" s="2"/>
      <c r="F679" s="2"/>
      <c r="G679" s="2"/>
      <c r="H679" s="2"/>
      <c r="I679" s="2"/>
      <c r="J679" s="2"/>
      <c r="K679" s="2" t="str">
        <f t="shared" si="2"/>
        <v/>
      </c>
      <c r="L679" s="2" t="str">
        <f t="shared" si="3"/>
        <v>No</v>
      </c>
      <c r="M679" s="2" t="str">
        <f>IF(K679="","",F679*VLOOKUP(E679,WEIGHTS!$A$2:$F$4,2,FALSE)+G679*VLOOKUP(E679,WEIGHTS!$A$2:$F$4,3,FALSE)+H679*VLOOKUP(E679,WEIGHTS!$A$2:$F$4,4,FALSE)+I679*VLOOKUP(E679,WEIGHTS!$A$2:$F$4,5,FALSE)+J679*VLOOKUP(E679,WEIGHTS!$A$2:$F$4,6,FALSE))</f>
        <v/>
      </c>
      <c r="N679" s="2" t="str">
        <f t="shared" si="4"/>
        <v/>
      </c>
    </row>
    <row r="680" ht="15.75" customHeight="1">
      <c r="A680" s="3"/>
      <c r="B680" s="2" t="str">
        <f t="shared" si="1"/>
        <v/>
      </c>
      <c r="E680" s="2"/>
      <c r="F680" s="2"/>
      <c r="G680" s="2"/>
      <c r="H680" s="2"/>
      <c r="I680" s="2"/>
      <c r="J680" s="2"/>
      <c r="K680" s="2" t="str">
        <f t="shared" si="2"/>
        <v/>
      </c>
      <c r="L680" s="2" t="str">
        <f t="shared" si="3"/>
        <v>No</v>
      </c>
      <c r="M680" s="2" t="str">
        <f>IF(K680="","",F680*VLOOKUP(E680,WEIGHTS!$A$2:$F$4,2,FALSE)+G680*VLOOKUP(E680,WEIGHTS!$A$2:$F$4,3,FALSE)+H680*VLOOKUP(E680,WEIGHTS!$A$2:$F$4,4,FALSE)+I680*VLOOKUP(E680,WEIGHTS!$A$2:$F$4,5,FALSE)+J680*VLOOKUP(E680,WEIGHTS!$A$2:$F$4,6,FALSE))</f>
        <v/>
      </c>
      <c r="N680" s="2" t="str">
        <f t="shared" si="4"/>
        <v/>
      </c>
    </row>
    <row r="681" ht="15.75" customHeight="1">
      <c r="A681" s="3"/>
      <c r="B681" s="2" t="str">
        <f t="shared" si="1"/>
        <v/>
      </c>
      <c r="E681" s="2"/>
      <c r="F681" s="2"/>
      <c r="G681" s="2"/>
      <c r="H681" s="2"/>
      <c r="I681" s="2"/>
      <c r="J681" s="2"/>
      <c r="K681" s="2" t="str">
        <f t="shared" si="2"/>
        <v/>
      </c>
      <c r="L681" s="2" t="str">
        <f t="shared" si="3"/>
        <v>No</v>
      </c>
      <c r="M681" s="2" t="str">
        <f>IF(K681="","",F681*VLOOKUP(E681,WEIGHTS!$A$2:$F$4,2,FALSE)+G681*VLOOKUP(E681,WEIGHTS!$A$2:$F$4,3,FALSE)+H681*VLOOKUP(E681,WEIGHTS!$A$2:$F$4,4,FALSE)+I681*VLOOKUP(E681,WEIGHTS!$A$2:$F$4,5,FALSE)+J681*VLOOKUP(E681,WEIGHTS!$A$2:$F$4,6,FALSE))</f>
        <v/>
      </c>
      <c r="N681" s="2" t="str">
        <f t="shared" si="4"/>
        <v/>
      </c>
    </row>
    <row r="682" ht="15.75" customHeight="1">
      <c r="A682" s="3"/>
      <c r="B682" s="2" t="str">
        <f t="shared" si="1"/>
        <v/>
      </c>
      <c r="E682" s="2"/>
      <c r="F682" s="2"/>
      <c r="G682" s="2"/>
      <c r="H682" s="2"/>
      <c r="I682" s="2"/>
      <c r="J682" s="2"/>
      <c r="K682" s="2" t="str">
        <f t="shared" si="2"/>
        <v/>
      </c>
      <c r="L682" s="2" t="str">
        <f t="shared" si="3"/>
        <v>No</v>
      </c>
      <c r="M682" s="2" t="str">
        <f>IF(K682="","",F682*VLOOKUP(E682,WEIGHTS!$A$2:$F$4,2,FALSE)+G682*VLOOKUP(E682,WEIGHTS!$A$2:$F$4,3,FALSE)+H682*VLOOKUP(E682,WEIGHTS!$A$2:$F$4,4,FALSE)+I682*VLOOKUP(E682,WEIGHTS!$A$2:$F$4,5,FALSE)+J682*VLOOKUP(E682,WEIGHTS!$A$2:$F$4,6,FALSE))</f>
        <v/>
      </c>
      <c r="N682" s="2" t="str">
        <f t="shared" si="4"/>
        <v/>
      </c>
    </row>
    <row r="683" ht="15.75" customHeight="1">
      <c r="A683" s="3"/>
      <c r="B683" s="2" t="str">
        <f t="shared" si="1"/>
        <v/>
      </c>
      <c r="E683" s="2"/>
      <c r="F683" s="2"/>
      <c r="G683" s="2"/>
      <c r="H683" s="2"/>
      <c r="I683" s="2"/>
      <c r="J683" s="2"/>
      <c r="K683" s="2" t="str">
        <f t="shared" si="2"/>
        <v/>
      </c>
      <c r="L683" s="2" t="str">
        <f t="shared" si="3"/>
        <v>No</v>
      </c>
      <c r="M683" s="2" t="str">
        <f>IF(K683="","",F683*VLOOKUP(E683,WEIGHTS!$A$2:$F$4,2,FALSE)+G683*VLOOKUP(E683,WEIGHTS!$A$2:$F$4,3,FALSE)+H683*VLOOKUP(E683,WEIGHTS!$A$2:$F$4,4,FALSE)+I683*VLOOKUP(E683,WEIGHTS!$A$2:$F$4,5,FALSE)+J683*VLOOKUP(E683,WEIGHTS!$A$2:$F$4,6,FALSE))</f>
        <v/>
      </c>
      <c r="N683" s="2" t="str">
        <f t="shared" si="4"/>
        <v/>
      </c>
    </row>
    <row r="684" ht="15.75" customHeight="1">
      <c r="A684" s="3"/>
      <c r="B684" s="2" t="str">
        <f t="shared" si="1"/>
        <v/>
      </c>
      <c r="E684" s="2"/>
      <c r="F684" s="2"/>
      <c r="G684" s="2"/>
      <c r="H684" s="2"/>
      <c r="I684" s="2"/>
      <c r="J684" s="2"/>
      <c r="K684" s="2" t="str">
        <f t="shared" si="2"/>
        <v/>
      </c>
      <c r="L684" s="2" t="str">
        <f t="shared" si="3"/>
        <v>No</v>
      </c>
      <c r="M684" s="2" t="str">
        <f>IF(K684="","",F684*VLOOKUP(E684,WEIGHTS!$A$2:$F$4,2,FALSE)+G684*VLOOKUP(E684,WEIGHTS!$A$2:$F$4,3,FALSE)+H684*VLOOKUP(E684,WEIGHTS!$A$2:$F$4,4,FALSE)+I684*VLOOKUP(E684,WEIGHTS!$A$2:$F$4,5,FALSE)+J684*VLOOKUP(E684,WEIGHTS!$A$2:$F$4,6,FALSE))</f>
        <v/>
      </c>
      <c r="N684" s="2" t="str">
        <f t="shared" si="4"/>
        <v/>
      </c>
    </row>
    <row r="685" ht="15.75" customHeight="1">
      <c r="A685" s="3"/>
      <c r="B685" s="2" t="str">
        <f t="shared" si="1"/>
        <v/>
      </c>
      <c r="E685" s="2"/>
      <c r="F685" s="2"/>
      <c r="G685" s="2"/>
      <c r="H685" s="2"/>
      <c r="I685" s="2"/>
      <c r="J685" s="2"/>
      <c r="K685" s="2" t="str">
        <f t="shared" si="2"/>
        <v/>
      </c>
      <c r="L685" s="2" t="str">
        <f t="shared" si="3"/>
        <v>No</v>
      </c>
      <c r="M685" s="2" t="str">
        <f>IF(K685="","",F685*VLOOKUP(E685,WEIGHTS!$A$2:$F$4,2,FALSE)+G685*VLOOKUP(E685,WEIGHTS!$A$2:$F$4,3,FALSE)+H685*VLOOKUP(E685,WEIGHTS!$A$2:$F$4,4,FALSE)+I685*VLOOKUP(E685,WEIGHTS!$A$2:$F$4,5,FALSE)+J685*VLOOKUP(E685,WEIGHTS!$A$2:$F$4,6,FALSE))</f>
        <v/>
      </c>
      <c r="N685" s="2" t="str">
        <f t="shared" si="4"/>
        <v/>
      </c>
    </row>
    <row r="686" ht="15.75" customHeight="1">
      <c r="A686" s="3"/>
      <c r="B686" s="2" t="str">
        <f t="shared" si="1"/>
        <v/>
      </c>
      <c r="E686" s="2"/>
      <c r="F686" s="2"/>
      <c r="G686" s="2"/>
      <c r="H686" s="2"/>
      <c r="I686" s="2"/>
      <c r="J686" s="2"/>
      <c r="K686" s="2" t="str">
        <f t="shared" si="2"/>
        <v/>
      </c>
      <c r="L686" s="2" t="str">
        <f t="shared" si="3"/>
        <v>No</v>
      </c>
      <c r="M686" s="2" t="str">
        <f>IF(K686="","",F686*VLOOKUP(E686,WEIGHTS!$A$2:$F$4,2,FALSE)+G686*VLOOKUP(E686,WEIGHTS!$A$2:$F$4,3,FALSE)+H686*VLOOKUP(E686,WEIGHTS!$A$2:$F$4,4,FALSE)+I686*VLOOKUP(E686,WEIGHTS!$A$2:$F$4,5,FALSE)+J686*VLOOKUP(E686,WEIGHTS!$A$2:$F$4,6,FALSE))</f>
        <v/>
      </c>
      <c r="N686" s="2" t="str">
        <f t="shared" si="4"/>
        <v/>
      </c>
    </row>
    <row r="687" ht="15.75" customHeight="1">
      <c r="A687" s="3"/>
      <c r="B687" s="2" t="str">
        <f t="shared" si="1"/>
        <v/>
      </c>
      <c r="E687" s="2"/>
      <c r="F687" s="2"/>
      <c r="G687" s="2"/>
      <c r="H687" s="2"/>
      <c r="I687" s="2"/>
      <c r="J687" s="2"/>
      <c r="K687" s="2" t="str">
        <f t="shared" si="2"/>
        <v/>
      </c>
      <c r="L687" s="2" t="str">
        <f t="shared" si="3"/>
        <v>No</v>
      </c>
      <c r="M687" s="2" t="str">
        <f>IF(K687="","",F687*VLOOKUP(E687,WEIGHTS!$A$2:$F$4,2,FALSE)+G687*VLOOKUP(E687,WEIGHTS!$A$2:$F$4,3,FALSE)+H687*VLOOKUP(E687,WEIGHTS!$A$2:$F$4,4,FALSE)+I687*VLOOKUP(E687,WEIGHTS!$A$2:$F$4,5,FALSE)+J687*VLOOKUP(E687,WEIGHTS!$A$2:$F$4,6,FALSE))</f>
        <v/>
      </c>
      <c r="N687" s="2" t="str">
        <f t="shared" si="4"/>
        <v/>
      </c>
    </row>
    <row r="688" ht="15.75" customHeight="1">
      <c r="A688" s="3"/>
      <c r="B688" s="2" t="str">
        <f t="shared" si="1"/>
        <v/>
      </c>
      <c r="E688" s="2"/>
      <c r="F688" s="2"/>
      <c r="G688" s="2"/>
      <c r="H688" s="2"/>
      <c r="I688" s="2"/>
      <c r="J688" s="2"/>
      <c r="K688" s="2" t="str">
        <f t="shared" si="2"/>
        <v/>
      </c>
      <c r="L688" s="2" t="str">
        <f t="shared" si="3"/>
        <v>No</v>
      </c>
      <c r="M688" s="2" t="str">
        <f>IF(K688="","",F688*VLOOKUP(E688,WEIGHTS!$A$2:$F$4,2,FALSE)+G688*VLOOKUP(E688,WEIGHTS!$A$2:$F$4,3,FALSE)+H688*VLOOKUP(E688,WEIGHTS!$A$2:$F$4,4,FALSE)+I688*VLOOKUP(E688,WEIGHTS!$A$2:$F$4,5,FALSE)+J688*VLOOKUP(E688,WEIGHTS!$A$2:$F$4,6,FALSE))</f>
        <v/>
      </c>
      <c r="N688" s="2" t="str">
        <f t="shared" si="4"/>
        <v/>
      </c>
    </row>
    <row r="689" ht="15.75" customHeight="1">
      <c r="A689" s="3"/>
      <c r="B689" s="2" t="str">
        <f t="shared" si="1"/>
        <v/>
      </c>
      <c r="E689" s="2"/>
      <c r="F689" s="2"/>
      <c r="G689" s="2"/>
      <c r="H689" s="2"/>
      <c r="I689" s="2"/>
      <c r="J689" s="2"/>
      <c r="K689" s="2" t="str">
        <f t="shared" si="2"/>
        <v/>
      </c>
      <c r="L689" s="2" t="str">
        <f t="shared" si="3"/>
        <v>No</v>
      </c>
      <c r="M689" s="2" t="str">
        <f>IF(K689="","",F689*VLOOKUP(E689,WEIGHTS!$A$2:$F$4,2,FALSE)+G689*VLOOKUP(E689,WEIGHTS!$A$2:$F$4,3,FALSE)+H689*VLOOKUP(E689,WEIGHTS!$A$2:$F$4,4,FALSE)+I689*VLOOKUP(E689,WEIGHTS!$A$2:$F$4,5,FALSE)+J689*VLOOKUP(E689,WEIGHTS!$A$2:$F$4,6,FALSE))</f>
        <v/>
      </c>
      <c r="N689" s="2" t="str">
        <f t="shared" si="4"/>
        <v/>
      </c>
    </row>
    <row r="690" ht="15.75" customHeight="1">
      <c r="A690" s="3"/>
      <c r="B690" s="2" t="str">
        <f t="shared" si="1"/>
        <v/>
      </c>
      <c r="E690" s="2"/>
      <c r="F690" s="2"/>
      <c r="G690" s="2"/>
      <c r="H690" s="2"/>
      <c r="I690" s="2"/>
      <c r="J690" s="2"/>
      <c r="K690" s="2" t="str">
        <f t="shared" si="2"/>
        <v/>
      </c>
      <c r="L690" s="2" t="str">
        <f t="shared" si="3"/>
        <v>No</v>
      </c>
      <c r="M690" s="2" t="str">
        <f>IF(K690="","",F690*VLOOKUP(E690,WEIGHTS!$A$2:$F$4,2,FALSE)+G690*VLOOKUP(E690,WEIGHTS!$A$2:$F$4,3,FALSE)+H690*VLOOKUP(E690,WEIGHTS!$A$2:$F$4,4,FALSE)+I690*VLOOKUP(E690,WEIGHTS!$A$2:$F$4,5,FALSE)+J690*VLOOKUP(E690,WEIGHTS!$A$2:$F$4,6,FALSE))</f>
        <v/>
      </c>
      <c r="N690" s="2" t="str">
        <f t="shared" si="4"/>
        <v/>
      </c>
    </row>
    <row r="691" ht="15.75" customHeight="1">
      <c r="A691" s="3"/>
      <c r="B691" s="2" t="str">
        <f t="shared" si="1"/>
        <v/>
      </c>
      <c r="E691" s="2"/>
      <c r="F691" s="2"/>
      <c r="G691" s="2"/>
      <c r="H691" s="2"/>
      <c r="I691" s="2"/>
      <c r="J691" s="2"/>
      <c r="K691" s="2" t="str">
        <f t="shared" si="2"/>
        <v/>
      </c>
      <c r="L691" s="2" t="str">
        <f t="shared" si="3"/>
        <v>No</v>
      </c>
      <c r="M691" s="2" t="str">
        <f>IF(K691="","",F691*VLOOKUP(E691,WEIGHTS!$A$2:$F$4,2,FALSE)+G691*VLOOKUP(E691,WEIGHTS!$A$2:$F$4,3,FALSE)+H691*VLOOKUP(E691,WEIGHTS!$A$2:$F$4,4,FALSE)+I691*VLOOKUP(E691,WEIGHTS!$A$2:$F$4,5,FALSE)+J691*VLOOKUP(E691,WEIGHTS!$A$2:$F$4,6,FALSE))</f>
        <v/>
      </c>
      <c r="N691" s="2" t="str">
        <f t="shared" si="4"/>
        <v/>
      </c>
    </row>
    <row r="692" ht="15.75" customHeight="1">
      <c r="A692" s="3"/>
      <c r="B692" s="2" t="str">
        <f t="shared" si="1"/>
        <v/>
      </c>
      <c r="E692" s="2"/>
      <c r="F692" s="2"/>
      <c r="G692" s="2"/>
      <c r="H692" s="2"/>
      <c r="I692" s="2"/>
      <c r="J692" s="2"/>
      <c r="K692" s="2" t="str">
        <f t="shared" si="2"/>
        <v/>
      </c>
      <c r="L692" s="2" t="str">
        <f t="shared" si="3"/>
        <v>No</v>
      </c>
      <c r="M692" s="2" t="str">
        <f>IF(K692="","",F692*VLOOKUP(E692,WEIGHTS!$A$2:$F$4,2,FALSE)+G692*VLOOKUP(E692,WEIGHTS!$A$2:$F$4,3,FALSE)+H692*VLOOKUP(E692,WEIGHTS!$A$2:$F$4,4,FALSE)+I692*VLOOKUP(E692,WEIGHTS!$A$2:$F$4,5,FALSE)+J692*VLOOKUP(E692,WEIGHTS!$A$2:$F$4,6,FALSE))</f>
        <v/>
      </c>
      <c r="N692" s="2" t="str">
        <f t="shared" si="4"/>
        <v/>
      </c>
    </row>
    <row r="693" ht="15.75" customHeight="1">
      <c r="A693" s="3"/>
      <c r="B693" s="2" t="str">
        <f t="shared" si="1"/>
        <v/>
      </c>
      <c r="E693" s="2"/>
      <c r="F693" s="2"/>
      <c r="G693" s="2"/>
      <c r="H693" s="2"/>
      <c r="I693" s="2"/>
      <c r="J693" s="2"/>
      <c r="K693" s="2" t="str">
        <f t="shared" si="2"/>
        <v/>
      </c>
      <c r="L693" s="2" t="str">
        <f t="shared" si="3"/>
        <v>No</v>
      </c>
      <c r="M693" s="2" t="str">
        <f>IF(K693="","",F693*VLOOKUP(E693,WEIGHTS!$A$2:$F$4,2,FALSE)+G693*VLOOKUP(E693,WEIGHTS!$A$2:$F$4,3,FALSE)+H693*VLOOKUP(E693,WEIGHTS!$A$2:$F$4,4,FALSE)+I693*VLOOKUP(E693,WEIGHTS!$A$2:$F$4,5,FALSE)+J693*VLOOKUP(E693,WEIGHTS!$A$2:$F$4,6,FALSE))</f>
        <v/>
      </c>
      <c r="N693" s="2" t="str">
        <f t="shared" si="4"/>
        <v/>
      </c>
    </row>
    <row r="694" ht="15.75" customHeight="1">
      <c r="A694" s="3"/>
      <c r="B694" s="2" t="str">
        <f t="shared" si="1"/>
        <v/>
      </c>
      <c r="E694" s="2"/>
      <c r="F694" s="2"/>
      <c r="G694" s="2"/>
      <c r="H694" s="2"/>
      <c r="I694" s="2"/>
      <c r="J694" s="2"/>
      <c r="K694" s="2" t="str">
        <f t="shared" si="2"/>
        <v/>
      </c>
      <c r="L694" s="2" t="str">
        <f t="shared" si="3"/>
        <v>No</v>
      </c>
      <c r="M694" s="2" t="str">
        <f>IF(K694="","",F694*VLOOKUP(E694,WEIGHTS!$A$2:$F$4,2,FALSE)+G694*VLOOKUP(E694,WEIGHTS!$A$2:$F$4,3,FALSE)+H694*VLOOKUP(E694,WEIGHTS!$A$2:$F$4,4,FALSE)+I694*VLOOKUP(E694,WEIGHTS!$A$2:$F$4,5,FALSE)+J694*VLOOKUP(E694,WEIGHTS!$A$2:$F$4,6,FALSE))</f>
        <v/>
      </c>
      <c r="N694" s="2" t="str">
        <f t="shared" si="4"/>
        <v/>
      </c>
    </row>
    <row r="695" ht="15.75" customHeight="1">
      <c r="A695" s="3"/>
      <c r="B695" s="2" t="str">
        <f t="shared" si="1"/>
        <v/>
      </c>
      <c r="E695" s="2"/>
      <c r="F695" s="2"/>
      <c r="G695" s="2"/>
      <c r="H695" s="2"/>
      <c r="I695" s="2"/>
      <c r="J695" s="2"/>
      <c r="K695" s="2" t="str">
        <f t="shared" si="2"/>
        <v/>
      </c>
      <c r="L695" s="2" t="str">
        <f t="shared" si="3"/>
        <v>No</v>
      </c>
      <c r="M695" s="2" t="str">
        <f>IF(K695="","",F695*VLOOKUP(E695,WEIGHTS!$A$2:$F$4,2,FALSE)+G695*VLOOKUP(E695,WEIGHTS!$A$2:$F$4,3,FALSE)+H695*VLOOKUP(E695,WEIGHTS!$A$2:$F$4,4,FALSE)+I695*VLOOKUP(E695,WEIGHTS!$A$2:$F$4,5,FALSE)+J695*VLOOKUP(E695,WEIGHTS!$A$2:$F$4,6,FALSE))</f>
        <v/>
      </c>
      <c r="N695" s="2" t="str">
        <f t="shared" si="4"/>
        <v/>
      </c>
    </row>
    <row r="696" ht="15.75" customHeight="1">
      <c r="A696" s="3"/>
      <c r="B696" s="2" t="str">
        <f t="shared" si="1"/>
        <v/>
      </c>
      <c r="E696" s="2"/>
      <c r="F696" s="2"/>
      <c r="G696" s="2"/>
      <c r="H696" s="2"/>
      <c r="I696" s="2"/>
      <c r="J696" s="2"/>
      <c r="K696" s="2" t="str">
        <f t="shared" si="2"/>
        <v/>
      </c>
      <c r="L696" s="2" t="str">
        <f t="shared" si="3"/>
        <v>No</v>
      </c>
      <c r="M696" s="2" t="str">
        <f>IF(K696="","",F696*VLOOKUP(E696,WEIGHTS!$A$2:$F$4,2,FALSE)+G696*VLOOKUP(E696,WEIGHTS!$A$2:$F$4,3,FALSE)+H696*VLOOKUP(E696,WEIGHTS!$A$2:$F$4,4,FALSE)+I696*VLOOKUP(E696,WEIGHTS!$A$2:$F$4,5,FALSE)+J696*VLOOKUP(E696,WEIGHTS!$A$2:$F$4,6,FALSE))</f>
        <v/>
      </c>
      <c r="N696" s="2" t="str">
        <f t="shared" si="4"/>
        <v/>
      </c>
    </row>
    <row r="697" ht="15.75" customHeight="1">
      <c r="A697" s="3"/>
      <c r="B697" s="2" t="str">
        <f t="shared" si="1"/>
        <v/>
      </c>
      <c r="E697" s="2"/>
      <c r="F697" s="2"/>
      <c r="G697" s="2"/>
      <c r="H697" s="2"/>
      <c r="I697" s="2"/>
      <c r="J697" s="2"/>
      <c r="K697" s="2" t="str">
        <f t="shared" si="2"/>
        <v/>
      </c>
      <c r="L697" s="2" t="str">
        <f t="shared" si="3"/>
        <v>No</v>
      </c>
      <c r="M697" s="2" t="str">
        <f>IF(K697="","",F697*VLOOKUP(E697,WEIGHTS!$A$2:$F$4,2,FALSE)+G697*VLOOKUP(E697,WEIGHTS!$A$2:$F$4,3,FALSE)+H697*VLOOKUP(E697,WEIGHTS!$A$2:$F$4,4,FALSE)+I697*VLOOKUP(E697,WEIGHTS!$A$2:$F$4,5,FALSE)+J697*VLOOKUP(E697,WEIGHTS!$A$2:$F$4,6,FALSE))</f>
        <v/>
      </c>
      <c r="N697" s="2" t="str">
        <f t="shared" si="4"/>
        <v/>
      </c>
    </row>
    <row r="698" ht="15.75" customHeight="1">
      <c r="A698" s="3"/>
      <c r="B698" s="2" t="str">
        <f t="shared" si="1"/>
        <v/>
      </c>
      <c r="E698" s="2"/>
      <c r="F698" s="2"/>
      <c r="G698" s="2"/>
      <c r="H698" s="2"/>
      <c r="I698" s="2"/>
      <c r="J698" s="2"/>
      <c r="K698" s="2" t="str">
        <f t="shared" si="2"/>
        <v/>
      </c>
      <c r="L698" s="2" t="str">
        <f t="shared" si="3"/>
        <v>No</v>
      </c>
      <c r="M698" s="2" t="str">
        <f>IF(K698="","",F698*VLOOKUP(E698,WEIGHTS!$A$2:$F$4,2,FALSE)+G698*VLOOKUP(E698,WEIGHTS!$A$2:$F$4,3,FALSE)+H698*VLOOKUP(E698,WEIGHTS!$A$2:$F$4,4,FALSE)+I698*VLOOKUP(E698,WEIGHTS!$A$2:$F$4,5,FALSE)+J698*VLOOKUP(E698,WEIGHTS!$A$2:$F$4,6,FALSE))</f>
        <v/>
      </c>
      <c r="N698" s="2" t="str">
        <f t="shared" si="4"/>
        <v/>
      </c>
    </row>
    <row r="699" ht="15.75" customHeight="1">
      <c r="A699" s="3"/>
      <c r="B699" s="2" t="str">
        <f t="shared" si="1"/>
        <v/>
      </c>
      <c r="E699" s="2"/>
      <c r="F699" s="2"/>
      <c r="G699" s="2"/>
      <c r="H699" s="2"/>
      <c r="I699" s="2"/>
      <c r="J699" s="2"/>
      <c r="K699" s="2" t="str">
        <f t="shared" si="2"/>
        <v/>
      </c>
      <c r="L699" s="2" t="str">
        <f t="shared" si="3"/>
        <v>No</v>
      </c>
      <c r="M699" s="2" t="str">
        <f>IF(K699="","",F699*VLOOKUP(E699,WEIGHTS!$A$2:$F$4,2,FALSE)+G699*VLOOKUP(E699,WEIGHTS!$A$2:$F$4,3,FALSE)+H699*VLOOKUP(E699,WEIGHTS!$A$2:$F$4,4,FALSE)+I699*VLOOKUP(E699,WEIGHTS!$A$2:$F$4,5,FALSE)+J699*VLOOKUP(E699,WEIGHTS!$A$2:$F$4,6,FALSE))</f>
        <v/>
      </c>
      <c r="N699" s="2" t="str">
        <f t="shared" si="4"/>
        <v/>
      </c>
    </row>
    <row r="700" ht="15.75" customHeight="1">
      <c r="A700" s="3"/>
      <c r="B700" s="2" t="str">
        <f t="shared" si="1"/>
        <v/>
      </c>
      <c r="E700" s="2"/>
      <c r="F700" s="2"/>
      <c r="G700" s="2"/>
      <c r="H700" s="2"/>
      <c r="I700" s="2"/>
      <c r="J700" s="2"/>
      <c r="K700" s="2" t="str">
        <f t="shared" si="2"/>
        <v/>
      </c>
      <c r="L700" s="2" t="str">
        <f t="shared" si="3"/>
        <v>No</v>
      </c>
      <c r="M700" s="2" t="str">
        <f>IF(K700="","",F700*VLOOKUP(E700,WEIGHTS!$A$2:$F$4,2,FALSE)+G700*VLOOKUP(E700,WEIGHTS!$A$2:$F$4,3,FALSE)+H700*VLOOKUP(E700,WEIGHTS!$A$2:$F$4,4,FALSE)+I700*VLOOKUP(E700,WEIGHTS!$A$2:$F$4,5,FALSE)+J700*VLOOKUP(E700,WEIGHTS!$A$2:$F$4,6,FALSE))</f>
        <v/>
      </c>
      <c r="N700" s="2" t="str">
        <f t="shared" si="4"/>
        <v/>
      </c>
    </row>
    <row r="701" ht="15.75" customHeight="1">
      <c r="A701" s="3"/>
      <c r="B701" s="2" t="str">
        <f t="shared" si="1"/>
        <v/>
      </c>
      <c r="E701" s="2"/>
      <c r="F701" s="2"/>
      <c r="G701" s="2"/>
      <c r="H701" s="2"/>
      <c r="I701" s="2"/>
      <c r="J701" s="2"/>
      <c r="K701" s="2" t="str">
        <f t="shared" si="2"/>
        <v/>
      </c>
      <c r="L701" s="2" t="str">
        <f t="shared" si="3"/>
        <v>No</v>
      </c>
      <c r="M701" s="2" t="str">
        <f>IF(K701="","",F701*VLOOKUP(E701,WEIGHTS!$A$2:$F$4,2,FALSE)+G701*VLOOKUP(E701,WEIGHTS!$A$2:$F$4,3,FALSE)+H701*VLOOKUP(E701,WEIGHTS!$A$2:$F$4,4,FALSE)+I701*VLOOKUP(E701,WEIGHTS!$A$2:$F$4,5,FALSE)+J701*VLOOKUP(E701,WEIGHTS!$A$2:$F$4,6,FALSE))</f>
        <v/>
      </c>
      <c r="N701" s="2" t="str">
        <f t="shared" si="4"/>
        <v/>
      </c>
    </row>
    <row r="702" ht="15.75" customHeight="1">
      <c r="A702" s="3"/>
      <c r="B702" s="2" t="str">
        <f t="shared" si="1"/>
        <v/>
      </c>
      <c r="E702" s="2"/>
      <c r="F702" s="2"/>
      <c r="G702" s="2"/>
      <c r="H702" s="2"/>
      <c r="I702" s="2"/>
      <c r="J702" s="2"/>
      <c r="K702" s="2" t="str">
        <f t="shared" si="2"/>
        <v/>
      </c>
      <c r="L702" s="2" t="str">
        <f t="shared" si="3"/>
        <v>No</v>
      </c>
      <c r="M702" s="2" t="str">
        <f>IF(K702="","",F702*VLOOKUP(E702,WEIGHTS!$A$2:$F$4,2,FALSE)+G702*VLOOKUP(E702,WEIGHTS!$A$2:$F$4,3,FALSE)+H702*VLOOKUP(E702,WEIGHTS!$A$2:$F$4,4,FALSE)+I702*VLOOKUP(E702,WEIGHTS!$A$2:$F$4,5,FALSE)+J702*VLOOKUP(E702,WEIGHTS!$A$2:$F$4,6,FALSE))</f>
        <v/>
      </c>
      <c r="N702" s="2" t="str">
        <f t="shared" si="4"/>
        <v/>
      </c>
    </row>
    <row r="703" ht="15.75" customHeight="1">
      <c r="A703" s="3"/>
      <c r="B703" s="2" t="str">
        <f t="shared" si="1"/>
        <v/>
      </c>
      <c r="E703" s="2"/>
      <c r="F703" s="2"/>
      <c r="G703" s="2"/>
      <c r="H703" s="2"/>
      <c r="I703" s="2"/>
      <c r="J703" s="2"/>
      <c r="K703" s="2" t="str">
        <f t="shared" si="2"/>
        <v/>
      </c>
      <c r="L703" s="2" t="str">
        <f t="shared" si="3"/>
        <v>No</v>
      </c>
      <c r="M703" s="2" t="str">
        <f>IF(K703="","",F703*VLOOKUP(E703,WEIGHTS!$A$2:$F$4,2,FALSE)+G703*VLOOKUP(E703,WEIGHTS!$A$2:$F$4,3,FALSE)+H703*VLOOKUP(E703,WEIGHTS!$A$2:$F$4,4,FALSE)+I703*VLOOKUP(E703,WEIGHTS!$A$2:$F$4,5,FALSE)+J703*VLOOKUP(E703,WEIGHTS!$A$2:$F$4,6,FALSE))</f>
        <v/>
      </c>
      <c r="N703" s="2" t="str">
        <f t="shared" si="4"/>
        <v/>
      </c>
    </row>
    <row r="704" ht="15.75" customHeight="1">
      <c r="A704" s="3"/>
      <c r="B704" s="2" t="str">
        <f t="shared" si="1"/>
        <v/>
      </c>
      <c r="E704" s="2"/>
      <c r="F704" s="2"/>
      <c r="G704" s="2"/>
      <c r="H704" s="2"/>
      <c r="I704" s="2"/>
      <c r="J704" s="2"/>
      <c r="K704" s="2" t="str">
        <f t="shared" si="2"/>
        <v/>
      </c>
      <c r="L704" s="2" t="str">
        <f t="shared" si="3"/>
        <v>No</v>
      </c>
      <c r="M704" s="2" t="str">
        <f>IF(K704="","",F704*VLOOKUP(E704,WEIGHTS!$A$2:$F$4,2,FALSE)+G704*VLOOKUP(E704,WEIGHTS!$A$2:$F$4,3,FALSE)+H704*VLOOKUP(E704,WEIGHTS!$A$2:$F$4,4,FALSE)+I704*VLOOKUP(E704,WEIGHTS!$A$2:$F$4,5,FALSE)+J704*VLOOKUP(E704,WEIGHTS!$A$2:$F$4,6,FALSE))</f>
        <v/>
      </c>
      <c r="N704" s="2" t="str">
        <f t="shared" si="4"/>
        <v/>
      </c>
    </row>
    <row r="705" ht="15.75" customHeight="1">
      <c r="A705" s="3"/>
      <c r="B705" s="2" t="str">
        <f t="shared" si="1"/>
        <v/>
      </c>
      <c r="E705" s="2"/>
      <c r="F705" s="2"/>
      <c r="G705" s="2"/>
      <c r="H705" s="2"/>
      <c r="I705" s="2"/>
      <c r="J705" s="2"/>
      <c r="K705" s="2" t="str">
        <f t="shared" si="2"/>
        <v/>
      </c>
      <c r="L705" s="2" t="str">
        <f t="shared" si="3"/>
        <v>No</v>
      </c>
      <c r="M705" s="2" t="str">
        <f>IF(K705="","",F705*VLOOKUP(E705,WEIGHTS!$A$2:$F$4,2,FALSE)+G705*VLOOKUP(E705,WEIGHTS!$A$2:$F$4,3,FALSE)+H705*VLOOKUP(E705,WEIGHTS!$A$2:$F$4,4,FALSE)+I705*VLOOKUP(E705,WEIGHTS!$A$2:$F$4,5,FALSE)+J705*VLOOKUP(E705,WEIGHTS!$A$2:$F$4,6,FALSE))</f>
        <v/>
      </c>
      <c r="N705" s="2" t="str">
        <f t="shared" si="4"/>
        <v/>
      </c>
    </row>
    <row r="706" ht="15.75" customHeight="1">
      <c r="A706" s="3"/>
      <c r="B706" s="2" t="str">
        <f t="shared" si="1"/>
        <v/>
      </c>
      <c r="E706" s="2"/>
      <c r="F706" s="2"/>
      <c r="G706" s="2"/>
      <c r="H706" s="2"/>
      <c r="I706" s="2"/>
      <c r="J706" s="2"/>
      <c r="K706" s="2" t="str">
        <f t="shared" si="2"/>
        <v/>
      </c>
      <c r="L706" s="2" t="str">
        <f t="shared" si="3"/>
        <v>No</v>
      </c>
      <c r="M706" s="2" t="str">
        <f>IF(K706="","",F706*VLOOKUP(E706,WEIGHTS!$A$2:$F$4,2,FALSE)+G706*VLOOKUP(E706,WEIGHTS!$A$2:$F$4,3,FALSE)+H706*VLOOKUP(E706,WEIGHTS!$A$2:$F$4,4,FALSE)+I706*VLOOKUP(E706,WEIGHTS!$A$2:$F$4,5,FALSE)+J706*VLOOKUP(E706,WEIGHTS!$A$2:$F$4,6,FALSE))</f>
        <v/>
      </c>
      <c r="N706" s="2" t="str">
        <f t="shared" si="4"/>
        <v/>
      </c>
    </row>
    <row r="707" ht="15.75" customHeight="1">
      <c r="A707" s="3"/>
      <c r="B707" s="2" t="str">
        <f t="shared" si="1"/>
        <v/>
      </c>
      <c r="E707" s="2"/>
      <c r="F707" s="2"/>
      <c r="G707" s="2"/>
      <c r="H707" s="2"/>
      <c r="I707" s="2"/>
      <c r="J707" s="2"/>
      <c r="K707" s="2" t="str">
        <f t="shared" si="2"/>
        <v/>
      </c>
      <c r="L707" s="2" t="str">
        <f t="shared" si="3"/>
        <v>No</v>
      </c>
      <c r="M707" s="2" t="str">
        <f>IF(K707="","",F707*VLOOKUP(E707,WEIGHTS!$A$2:$F$4,2,FALSE)+G707*VLOOKUP(E707,WEIGHTS!$A$2:$F$4,3,FALSE)+H707*VLOOKUP(E707,WEIGHTS!$A$2:$F$4,4,FALSE)+I707*VLOOKUP(E707,WEIGHTS!$A$2:$F$4,5,FALSE)+J707*VLOOKUP(E707,WEIGHTS!$A$2:$F$4,6,FALSE))</f>
        <v/>
      </c>
      <c r="N707" s="2" t="str">
        <f t="shared" si="4"/>
        <v/>
      </c>
    </row>
    <row r="708" ht="15.75" customHeight="1">
      <c r="A708" s="3"/>
      <c r="B708" s="2" t="str">
        <f t="shared" si="1"/>
        <v/>
      </c>
      <c r="E708" s="2"/>
      <c r="F708" s="2"/>
      <c r="G708" s="2"/>
      <c r="H708" s="2"/>
      <c r="I708" s="2"/>
      <c r="J708" s="2"/>
      <c r="K708" s="2" t="str">
        <f t="shared" si="2"/>
        <v/>
      </c>
      <c r="L708" s="2" t="str">
        <f t="shared" si="3"/>
        <v>No</v>
      </c>
      <c r="M708" s="2" t="str">
        <f>IF(K708="","",F708*VLOOKUP(E708,WEIGHTS!$A$2:$F$4,2,FALSE)+G708*VLOOKUP(E708,WEIGHTS!$A$2:$F$4,3,FALSE)+H708*VLOOKUP(E708,WEIGHTS!$A$2:$F$4,4,FALSE)+I708*VLOOKUP(E708,WEIGHTS!$A$2:$F$4,5,FALSE)+J708*VLOOKUP(E708,WEIGHTS!$A$2:$F$4,6,FALSE))</f>
        <v/>
      </c>
      <c r="N708" s="2" t="str">
        <f t="shared" si="4"/>
        <v/>
      </c>
    </row>
    <row r="709" ht="15.75" customHeight="1">
      <c r="A709" s="3"/>
      <c r="B709" s="2" t="str">
        <f t="shared" si="1"/>
        <v/>
      </c>
      <c r="E709" s="2"/>
      <c r="F709" s="2"/>
      <c r="G709" s="2"/>
      <c r="H709" s="2"/>
      <c r="I709" s="2"/>
      <c r="J709" s="2"/>
      <c r="K709" s="2" t="str">
        <f t="shared" si="2"/>
        <v/>
      </c>
      <c r="L709" s="2" t="str">
        <f t="shared" si="3"/>
        <v>No</v>
      </c>
      <c r="M709" s="2" t="str">
        <f>IF(K709="","",F709*VLOOKUP(E709,WEIGHTS!$A$2:$F$4,2,FALSE)+G709*VLOOKUP(E709,WEIGHTS!$A$2:$F$4,3,FALSE)+H709*VLOOKUP(E709,WEIGHTS!$A$2:$F$4,4,FALSE)+I709*VLOOKUP(E709,WEIGHTS!$A$2:$F$4,5,FALSE)+J709*VLOOKUP(E709,WEIGHTS!$A$2:$F$4,6,FALSE))</f>
        <v/>
      </c>
      <c r="N709" s="2" t="str">
        <f t="shared" si="4"/>
        <v/>
      </c>
    </row>
    <row r="710" ht="15.75" customHeight="1">
      <c r="A710" s="3"/>
      <c r="B710" s="2" t="str">
        <f t="shared" si="1"/>
        <v/>
      </c>
      <c r="E710" s="2"/>
      <c r="F710" s="2"/>
      <c r="G710" s="2"/>
      <c r="H710" s="2"/>
      <c r="I710" s="2"/>
      <c r="J710" s="2"/>
      <c r="K710" s="2" t="str">
        <f t="shared" si="2"/>
        <v/>
      </c>
      <c r="L710" s="2" t="str">
        <f t="shared" si="3"/>
        <v>No</v>
      </c>
      <c r="M710" s="2" t="str">
        <f>IF(K710="","",F710*VLOOKUP(E710,WEIGHTS!$A$2:$F$4,2,FALSE)+G710*VLOOKUP(E710,WEIGHTS!$A$2:$F$4,3,FALSE)+H710*VLOOKUP(E710,WEIGHTS!$A$2:$F$4,4,FALSE)+I710*VLOOKUP(E710,WEIGHTS!$A$2:$F$4,5,FALSE)+J710*VLOOKUP(E710,WEIGHTS!$A$2:$F$4,6,FALSE))</f>
        <v/>
      </c>
      <c r="N710" s="2" t="str">
        <f t="shared" si="4"/>
        <v/>
      </c>
    </row>
    <row r="711" ht="15.75" customHeight="1">
      <c r="A711" s="3"/>
      <c r="B711" s="2" t="str">
        <f t="shared" si="1"/>
        <v/>
      </c>
      <c r="E711" s="2"/>
      <c r="F711" s="2"/>
      <c r="G711" s="2"/>
      <c r="H711" s="2"/>
      <c r="I711" s="2"/>
      <c r="J711" s="2"/>
      <c r="K711" s="2" t="str">
        <f t="shared" si="2"/>
        <v/>
      </c>
      <c r="L711" s="2" t="str">
        <f t="shared" si="3"/>
        <v>No</v>
      </c>
      <c r="M711" s="2" t="str">
        <f>IF(K711="","",F711*VLOOKUP(E711,WEIGHTS!$A$2:$F$4,2,FALSE)+G711*VLOOKUP(E711,WEIGHTS!$A$2:$F$4,3,FALSE)+H711*VLOOKUP(E711,WEIGHTS!$A$2:$F$4,4,FALSE)+I711*VLOOKUP(E711,WEIGHTS!$A$2:$F$4,5,FALSE)+J711*VLOOKUP(E711,WEIGHTS!$A$2:$F$4,6,FALSE))</f>
        <v/>
      </c>
      <c r="N711" s="2" t="str">
        <f t="shared" si="4"/>
        <v/>
      </c>
    </row>
    <row r="712" ht="15.75" customHeight="1">
      <c r="A712" s="3"/>
      <c r="B712" s="2" t="str">
        <f t="shared" si="1"/>
        <v/>
      </c>
      <c r="E712" s="2"/>
      <c r="F712" s="2"/>
      <c r="G712" s="2"/>
      <c r="H712" s="2"/>
      <c r="I712" s="2"/>
      <c r="J712" s="2"/>
      <c r="K712" s="2" t="str">
        <f t="shared" si="2"/>
        <v/>
      </c>
      <c r="L712" s="2" t="str">
        <f t="shared" si="3"/>
        <v>No</v>
      </c>
      <c r="M712" s="2" t="str">
        <f>IF(K712="","",F712*VLOOKUP(E712,WEIGHTS!$A$2:$F$4,2,FALSE)+G712*VLOOKUP(E712,WEIGHTS!$A$2:$F$4,3,FALSE)+H712*VLOOKUP(E712,WEIGHTS!$A$2:$F$4,4,FALSE)+I712*VLOOKUP(E712,WEIGHTS!$A$2:$F$4,5,FALSE)+J712*VLOOKUP(E712,WEIGHTS!$A$2:$F$4,6,FALSE))</f>
        <v/>
      </c>
      <c r="N712" s="2" t="str">
        <f t="shared" si="4"/>
        <v/>
      </c>
    </row>
    <row r="713" ht="15.75" customHeight="1">
      <c r="A713" s="3"/>
      <c r="B713" s="2" t="str">
        <f t="shared" si="1"/>
        <v/>
      </c>
      <c r="E713" s="2"/>
      <c r="F713" s="2"/>
      <c r="G713" s="2"/>
      <c r="H713" s="2"/>
      <c r="I713" s="2"/>
      <c r="J713" s="2"/>
      <c r="K713" s="2" t="str">
        <f t="shared" si="2"/>
        <v/>
      </c>
      <c r="L713" s="2" t="str">
        <f t="shared" si="3"/>
        <v>No</v>
      </c>
      <c r="M713" s="2" t="str">
        <f>IF(K713="","",F713*VLOOKUP(E713,WEIGHTS!$A$2:$F$4,2,FALSE)+G713*VLOOKUP(E713,WEIGHTS!$A$2:$F$4,3,FALSE)+H713*VLOOKUP(E713,WEIGHTS!$A$2:$F$4,4,FALSE)+I713*VLOOKUP(E713,WEIGHTS!$A$2:$F$4,5,FALSE)+J713*VLOOKUP(E713,WEIGHTS!$A$2:$F$4,6,FALSE))</f>
        <v/>
      </c>
      <c r="N713" s="2" t="str">
        <f t="shared" si="4"/>
        <v/>
      </c>
    </row>
    <row r="714" ht="15.75" customHeight="1">
      <c r="A714" s="3"/>
      <c r="B714" s="2" t="str">
        <f t="shared" si="1"/>
        <v/>
      </c>
      <c r="E714" s="2"/>
      <c r="F714" s="2"/>
      <c r="G714" s="2"/>
      <c r="H714" s="2"/>
      <c r="I714" s="2"/>
      <c r="J714" s="2"/>
      <c r="K714" s="2" t="str">
        <f t="shared" si="2"/>
        <v/>
      </c>
      <c r="L714" s="2" t="str">
        <f t="shared" si="3"/>
        <v>No</v>
      </c>
      <c r="M714" s="2" t="str">
        <f>IF(K714="","",F714*VLOOKUP(E714,WEIGHTS!$A$2:$F$4,2,FALSE)+G714*VLOOKUP(E714,WEIGHTS!$A$2:$F$4,3,FALSE)+H714*VLOOKUP(E714,WEIGHTS!$A$2:$F$4,4,FALSE)+I714*VLOOKUP(E714,WEIGHTS!$A$2:$F$4,5,FALSE)+J714*VLOOKUP(E714,WEIGHTS!$A$2:$F$4,6,FALSE))</f>
        <v/>
      </c>
      <c r="N714" s="2" t="str">
        <f t="shared" si="4"/>
        <v/>
      </c>
    </row>
    <row r="715" ht="15.75" customHeight="1">
      <c r="A715" s="3"/>
      <c r="B715" s="2" t="str">
        <f t="shared" si="1"/>
        <v/>
      </c>
      <c r="E715" s="2"/>
      <c r="F715" s="2"/>
      <c r="G715" s="2"/>
      <c r="H715" s="2"/>
      <c r="I715" s="2"/>
      <c r="J715" s="2"/>
      <c r="K715" s="2" t="str">
        <f t="shared" si="2"/>
        <v/>
      </c>
      <c r="L715" s="2" t="str">
        <f t="shared" si="3"/>
        <v>No</v>
      </c>
      <c r="M715" s="2" t="str">
        <f>IF(K715="","",F715*VLOOKUP(E715,WEIGHTS!$A$2:$F$4,2,FALSE)+G715*VLOOKUP(E715,WEIGHTS!$A$2:$F$4,3,FALSE)+H715*VLOOKUP(E715,WEIGHTS!$A$2:$F$4,4,FALSE)+I715*VLOOKUP(E715,WEIGHTS!$A$2:$F$4,5,FALSE)+J715*VLOOKUP(E715,WEIGHTS!$A$2:$F$4,6,FALSE))</f>
        <v/>
      </c>
      <c r="N715" s="2" t="str">
        <f t="shared" si="4"/>
        <v/>
      </c>
    </row>
    <row r="716" ht="15.75" customHeight="1">
      <c r="A716" s="3"/>
      <c r="B716" s="2" t="str">
        <f t="shared" si="1"/>
        <v/>
      </c>
      <c r="E716" s="2"/>
      <c r="F716" s="2"/>
      <c r="G716" s="2"/>
      <c r="H716" s="2"/>
      <c r="I716" s="2"/>
      <c r="J716" s="2"/>
      <c r="K716" s="2" t="str">
        <f t="shared" si="2"/>
        <v/>
      </c>
      <c r="L716" s="2" t="str">
        <f t="shared" si="3"/>
        <v>No</v>
      </c>
      <c r="M716" s="2" t="str">
        <f>IF(K716="","",F716*VLOOKUP(E716,WEIGHTS!$A$2:$F$4,2,FALSE)+G716*VLOOKUP(E716,WEIGHTS!$A$2:$F$4,3,FALSE)+H716*VLOOKUP(E716,WEIGHTS!$A$2:$F$4,4,FALSE)+I716*VLOOKUP(E716,WEIGHTS!$A$2:$F$4,5,FALSE)+J716*VLOOKUP(E716,WEIGHTS!$A$2:$F$4,6,FALSE))</f>
        <v/>
      </c>
      <c r="N716" s="2" t="str">
        <f t="shared" si="4"/>
        <v/>
      </c>
    </row>
    <row r="717" ht="15.75" customHeight="1">
      <c r="A717" s="3"/>
      <c r="B717" s="2" t="str">
        <f t="shared" si="1"/>
        <v/>
      </c>
      <c r="E717" s="2"/>
      <c r="F717" s="2"/>
      <c r="G717" s="2"/>
      <c r="H717" s="2"/>
      <c r="I717" s="2"/>
      <c r="J717" s="2"/>
      <c r="K717" s="2" t="str">
        <f t="shared" si="2"/>
        <v/>
      </c>
      <c r="L717" s="2" t="str">
        <f t="shared" si="3"/>
        <v>No</v>
      </c>
      <c r="M717" s="2" t="str">
        <f>IF(K717="","",F717*VLOOKUP(E717,WEIGHTS!$A$2:$F$4,2,FALSE)+G717*VLOOKUP(E717,WEIGHTS!$A$2:$F$4,3,FALSE)+H717*VLOOKUP(E717,WEIGHTS!$A$2:$F$4,4,FALSE)+I717*VLOOKUP(E717,WEIGHTS!$A$2:$F$4,5,FALSE)+J717*VLOOKUP(E717,WEIGHTS!$A$2:$F$4,6,FALSE))</f>
        <v/>
      </c>
      <c r="N717" s="2" t="str">
        <f t="shared" si="4"/>
        <v/>
      </c>
    </row>
    <row r="718" ht="15.75" customHeight="1">
      <c r="A718" s="3"/>
      <c r="B718" s="2" t="str">
        <f t="shared" si="1"/>
        <v/>
      </c>
      <c r="E718" s="2"/>
      <c r="F718" s="2"/>
      <c r="G718" s="2"/>
      <c r="H718" s="2"/>
      <c r="I718" s="2"/>
      <c r="J718" s="2"/>
      <c r="K718" s="2" t="str">
        <f t="shared" si="2"/>
        <v/>
      </c>
      <c r="L718" s="2" t="str">
        <f t="shared" si="3"/>
        <v>No</v>
      </c>
      <c r="M718" s="2" t="str">
        <f>IF(K718="","",F718*VLOOKUP(E718,WEIGHTS!$A$2:$F$4,2,FALSE)+G718*VLOOKUP(E718,WEIGHTS!$A$2:$F$4,3,FALSE)+H718*VLOOKUP(E718,WEIGHTS!$A$2:$F$4,4,FALSE)+I718*VLOOKUP(E718,WEIGHTS!$A$2:$F$4,5,FALSE)+J718*VLOOKUP(E718,WEIGHTS!$A$2:$F$4,6,FALSE))</f>
        <v/>
      </c>
      <c r="N718" s="2" t="str">
        <f t="shared" si="4"/>
        <v/>
      </c>
    </row>
    <row r="719" ht="15.75" customHeight="1">
      <c r="A719" s="3"/>
      <c r="B719" s="2" t="str">
        <f t="shared" si="1"/>
        <v/>
      </c>
      <c r="E719" s="2"/>
      <c r="F719" s="2"/>
      <c r="G719" s="2"/>
      <c r="H719" s="2"/>
      <c r="I719" s="2"/>
      <c r="J719" s="2"/>
      <c r="K719" s="2" t="str">
        <f t="shared" si="2"/>
        <v/>
      </c>
      <c r="L719" s="2" t="str">
        <f t="shared" si="3"/>
        <v>No</v>
      </c>
      <c r="M719" s="2" t="str">
        <f>IF(K719="","",F719*VLOOKUP(E719,WEIGHTS!$A$2:$F$4,2,FALSE)+G719*VLOOKUP(E719,WEIGHTS!$A$2:$F$4,3,FALSE)+H719*VLOOKUP(E719,WEIGHTS!$A$2:$F$4,4,FALSE)+I719*VLOOKUP(E719,WEIGHTS!$A$2:$F$4,5,FALSE)+J719*VLOOKUP(E719,WEIGHTS!$A$2:$F$4,6,FALSE))</f>
        <v/>
      </c>
      <c r="N719" s="2" t="str">
        <f t="shared" si="4"/>
        <v/>
      </c>
    </row>
    <row r="720" ht="15.75" customHeight="1">
      <c r="A720" s="3"/>
      <c r="B720" s="2" t="str">
        <f t="shared" si="1"/>
        <v/>
      </c>
      <c r="E720" s="2"/>
      <c r="F720" s="2"/>
      <c r="G720" s="2"/>
      <c r="H720" s="2"/>
      <c r="I720" s="2"/>
      <c r="J720" s="2"/>
      <c r="K720" s="2" t="str">
        <f t="shared" si="2"/>
        <v/>
      </c>
      <c r="L720" s="2" t="str">
        <f t="shared" si="3"/>
        <v>No</v>
      </c>
      <c r="M720" s="2" t="str">
        <f>IF(K720="","",F720*VLOOKUP(E720,WEIGHTS!$A$2:$F$4,2,FALSE)+G720*VLOOKUP(E720,WEIGHTS!$A$2:$F$4,3,FALSE)+H720*VLOOKUP(E720,WEIGHTS!$A$2:$F$4,4,FALSE)+I720*VLOOKUP(E720,WEIGHTS!$A$2:$F$4,5,FALSE)+J720*VLOOKUP(E720,WEIGHTS!$A$2:$F$4,6,FALSE))</f>
        <v/>
      </c>
      <c r="N720" s="2" t="str">
        <f t="shared" si="4"/>
        <v/>
      </c>
    </row>
    <row r="721" ht="15.75" customHeight="1">
      <c r="A721" s="3"/>
      <c r="B721" s="2" t="str">
        <f t="shared" si="1"/>
        <v/>
      </c>
      <c r="E721" s="2"/>
      <c r="F721" s="2"/>
      <c r="G721" s="2"/>
      <c r="H721" s="2"/>
      <c r="I721" s="2"/>
      <c r="J721" s="2"/>
      <c r="K721" s="2" t="str">
        <f t="shared" si="2"/>
        <v/>
      </c>
      <c r="L721" s="2" t="str">
        <f t="shared" si="3"/>
        <v>No</v>
      </c>
      <c r="M721" s="2" t="str">
        <f>IF(K721="","",F721*VLOOKUP(E721,WEIGHTS!$A$2:$F$4,2,FALSE)+G721*VLOOKUP(E721,WEIGHTS!$A$2:$F$4,3,FALSE)+H721*VLOOKUP(E721,WEIGHTS!$A$2:$F$4,4,FALSE)+I721*VLOOKUP(E721,WEIGHTS!$A$2:$F$4,5,FALSE)+J721*VLOOKUP(E721,WEIGHTS!$A$2:$F$4,6,FALSE))</f>
        <v/>
      </c>
      <c r="N721" s="2" t="str">
        <f t="shared" si="4"/>
        <v/>
      </c>
    </row>
    <row r="722" ht="15.75" customHeight="1">
      <c r="A722" s="3"/>
      <c r="B722" s="2" t="str">
        <f t="shared" si="1"/>
        <v/>
      </c>
      <c r="E722" s="2"/>
      <c r="F722" s="2"/>
      <c r="G722" s="2"/>
      <c r="H722" s="2"/>
      <c r="I722" s="2"/>
      <c r="J722" s="2"/>
      <c r="K722" s="2" t="str">
        <f t="shared" si="2"/>
        <v/>
      </c>
      <c r="L722" s="2" t="str">
        <f t="shared" si="3"/>
        <v>No</v>
      </c>
      <c r="M722" s="2" t="str">
        <f>IF(K722="","",F722*VLOOKUP(E722,WEIGHTS!$A$2:$F$4,2,FALSE)+G722*VLOOKUP(E722,WEIGHTS!$A$2:$F$4,3,FALSE)+H722*VLOOKUP(E722,WEIGHTS!$A$2:$F$4,4,FALSE)+I722*VLOOKUP(E722,WEIGHTS!$A$2:$F$4,5,FALSE)+J722*VLOOKUP(E722,WEIGHTS!$A$2:$F$4,6,FALSE))</f>
        <v/>
      </c>
      <c r="N722" s="2" t="str">
        <f t="shared" si="4"/>
        <v/>
      </c>
    </row>
    <row r="723" ht="15.75" customHeight="1">
      <c r="A723" s="3"/>
      <c r="B723" s="2" t="str">
        <f t="shared" si="1"/>
        <v/>
      </c>
      <c r="E723" s="2"/>
      <c r="F723" s="2"/>
      <c r="G723" s="2"/>
      <c r="H723" s="2"/>
      <c r="I723" s="2"/>
      <c r="J723" s="2"/>
      <c r="K723" s="2" t="str">
        <f t="shared" si="2"/>
        <v/>
      </c>
      <c r="L723" s="2" t="str">
        <f t="shared" si="3"/>
        <v>No</v>
      </c>
      <c r="M723" s="2" t="str">
        <f>IF(K723="","",F723*VLOOKUP(E723,WEIGHTS!$A$2:$F$4,2,FALSE)+G723*VLOOKUP(E723,WEIGHTS!$A$2:$F$4,3,FALSE)+H723*VLOOKUP(E723,WEIGHTS!$A$2:$F$4,4,FALSE)+I723*VLOOKUP(E723,WEIGHTS!$A$2:$F$4,5,FALSE)+J723*VLOOKUP(E723,WEIGHTS!$A$2:$F$4,6,FALSE))</f>
        <v/>
      </c>
      <c r="N723" s="2" t="str">
        <f t="shared" si="4"/>
        <v/>
      </c>
    </row>
    <row r="724" ht="15.75" customHeight="1">
      <c r="A724" s="3"/>
      <c r="B724" s="2" t="str">
        <f t="shared" si="1"/>
        <v/>
      </c>
      <c r="E724" s="2"/>
      <c r="F724" s="2"/>
      <c r="G724" s="2"/>
      <c r="H724" s="2"/>
      <c r="I724" s="2"/>
      <c r="J724" s="2"/>
      <c r="K724" s="2" t="str">
        <f t="shared" si="2"/>
        <v/>
      </c>
      <c r="L724" s="2" t="str">
        <f t="shared" si="3"/>
        <v>No</v>
      </c>
      <c r="M724" s="2" t="str">
        <f>IF(K724="","",F724*VLOOKUP(E724,WEIGHTS!$A$2:$F$4,2,FALSE)+G724*VLOOKUP(E724,WEIGHTS!$A$2:$F$4,3,FALSE)+H724*VLOOKUP(E724,WEIGHTS!$A$2:$F$4,4,FALSE)+I724*VLOOKUP(E724,WEIGHTS!$A$2:$F$4,5,FALSE)+J724*VLOOKUP(E724,WEIGHTS!$A$2:$F$4,6,FALSE))</f>
        <v/>
      </c>
      <c r="N724" s="2" t="str">
        <f t="shared" si="4"/>
        <v/>
      </c>
    </row>
    <row r="725" ht="15.75" customHeight="1">
      <c r="A725" s="3"/>
      <c r="B725" s="2" t="str">
        <f t="shared" si="1"/>
        <v/>
      </c>
      <c r="E725" s="2"/>
      <c r="F725" s="2"/>
      <c r="G725" s="2"/>
      <c r="H725" s="2"/>
      <c r="I725" s="2"/>
      <c r="J725" s="2"/>
      <c r="K725" s="2" t="str">
        <f t="shared" si="2"/>
        <v/>
      </c>
      <c r="L725" s="2" t="str">
        <f t="shared" si="3"/>
        <v>No</v>
      </c>
      <c r="M725" s="2" t="str">
        <f>IF(K725="","",F725*VLOOKUP(E725,WEIGHTS!$A$2:$F$4,2,FALSE)+G725*VLOOKUP(E725,WEIGHTS!$A$2:$F$4,3,FALSE)+H725*VLOOKUP(E725,WEIGHTS!$A$2:$F$4,4,FALSE)+I725*VLOOKUP(E725,WEIGHTS!$A$2:$F$4,5,FALSE)+J725*VLOOKUP(E725,WEIGHTS!$A$2:$F$4,6,FALSE))</f>
        <v/>
      </c>
      <c r="N725" s="2" t="str">
        <f t="shared" si="4"/>
        <v/>
      </c>
    </row>
    <row r="726" ht="15.75" customHeight="1">
      <c r="A726" s="3"/>
      <c r="B726" s="2" t="str">
        <f t="shared" si="1"/>
        <v/>
      </c>
      <c r="E726" s="2"/>
      <c r="F726" s="2"/>
      <c r="G726" s="2"/>
      <c r="H726" s="2"/>
      <c r="I726" s="2"/>
      <c r="J726" s="2"/>
      <c r="K726" s="2" t="str">
        <f t="shared" si="2"/>
        <v/>
      </c>
      <c r="L726" s="2" t="str">
        <f t="shared" si="3"/>
        <v>No</v>
      </c>
      <c r="M726" s="2" t="str">
        <f>IF(K726="","",F726*VLOOKUP(E726,WEIGHTS!$A$2:$F$4,2,FALSE)+G726*VLOOKUP(E726,WEIGHTS!$A$2:$F$4,3,FALSE)+H726*VLOOKUP(E726,WEIGHTS!$A$2:$F$4,4,FALSE)+I726*VLOOKUP(E726,WEIGHTS!$A$2:$F$4,5,FALSE)+J726*VLOOKUP(E726,WEIGHTS!$A$2:$F$4,6,FALSE))</f>
        <v/>
      </c>
      <c r="N726" s="2" t="str">
        <f t="shared" si="4"/>
        <v/>
      </c>
    </row>
    <row r="727" ht="15.75" customHeight="1">
      <c r="A727" s="3"/>
      <c r="B727" s="2" t="str">
        <f t="shared" si="1"/>
        <v/>
      </c>
      <c r="E727" s="2"/>
      <c r="F727" s="2"/>
      <c r="G727" s="2"/>
      <c r="H727" s="2"/>
      <c r="I727" s="2"/>
      <c r="J727" s="2"/>
      <c r="K727" s="2" t="str">
        <f t="shared" si="2"/>
        <v/>
      </c>
      <c r="L727" s="2" t="str">
        <f t="shared" si="3"/>
        <v>No</v>
      </c>
      <c r="M727" s="2" t="str">
        <f>IF(K727="","",F727*VLOOKUP(E727,WEIGHTS!$A$2:$F$4,2,FALSE)+G727*VLOOKUP(E727,WEIGHTS!$A$2:$F$4,3,FALSE)+H727*VLOOKUP(E727,WEIGHTS!$A$2:$F$4,4,FALSE)+I727*VLOOKUP(E727,WEIGHTS!$A$2:$F$4,5,FALSE)+J727*VLOOKUP(E727,WEIGHTS!$A$2:$F$4,6,FALSE))</f>
        <v/>
      </c>
      <c r="N727" s="2" t="str">
        <f t="shared" si="4"/>
        <v/>
      </c>
    </row>
    <row r="728" ht="15.75" customHeight="1">
      <c r="A728" s="3"/>
      <c r="B728" s="2" t="str">
        <f t="shared" si="1"/>
        <v/>
      </c>
      <c r="E728" s="2"/>
      <c r="F728" s="2"/>
      <c r="G728" s="2"/>
      <c r="H728" s="2"/>
      <c r="I728" s="2"/>
      <c r="J728" s="2"/>
      <c r="K728" s="2" t="str">
        <f t="shared" si="2"/>
        <v/>
      </c>
      <c r="L728" s="2" t="str">
        <f t="shared" si="3"/>
        <v>No</v>
      </c>
      <c r="M728" s="2" t="str">
        <f>IF(K728="","",F728*VLOOKUP(E728,WEIGHTS!$A$2:$F$4,2,FALSE)+G728*VLOOKUP(E728,WEIGHTS!$A$2:$F$4,3,FALSE)+H728*VLOOKUP(E728,WEIGHTS!$A$2:$F$4,4,FALSE)+I728*VLOOKUP(E728,WEIGHTS!$A$2:$F$4,5,FALSE)+J728*VLOOKUP(E728,WEIGHTS!$A$2:$F$4,6,FALSE))</f>
        <v/>
      </c>
      <c r="N728" s="2" t="str">
        <f t="shared" si="4"/>
        <v/>
      </c>
    </row>
    <row r="729" ht="15.75" customHeight="1">
      <c r="A729" s="3"/>
      <c r="B729" s="2" t="str">
        <f t="shared" si="1"/>
        <v/>
      </c>
      <c r="E729" s="2"/>
      <c r="F729" s="2"/>
      <c r="G729" s="2"/>
      <c r="H729" s="2"/>
      <c r="I729" s="2"/>
      <c r="J729" s="2"/>
      <c r="K729" s="2" t="str">
        <f t="shared" si="2"/>
        <v/>
      </c>
      <c r="L729" s="2" t="str">
        <f t="shared" si="3"/>
        <v>No</v>
      </c>
      <c r="M729" s="2" t="str">
        <f>IF(K729="","",F729*VLOOKUP(E729,WEIGHTS!$A$2:$F$4,2,FALSE)+G729*VLOOKUP(E729,WEIGHTS!$A$2:$F$4,3,FALSE)+H729*VLOOKUP(E729,WEIGHTS!$A$2:$F$4,4,FALSE)+I729*VLOOKUP(E729,WEIGHTS!$A$2:$F$4,5,FALSE)+J729*VLOOKUP(E729,WEIGHTS!$A$2:$F$4,6,FALSE))</f>
        <v/>
      </c>
      <c r="N729" s="2" t="str">
        <f t="shared" si="4"/>
        <v/>
      </c>
    </row>
    <row r="730" ht="15.75" customHeight="1">
      <c r="A730" s="3"/>
      <c r="B730" s="2" t="str">
        <f t="shared" si="1"/>
        <v/>
      </c>
      <c r="E730" s="2"/>
      <c r="F730" s="2"/>
      <c r="G730" s="2"/>
      <c r="H730" s="2"/>
      <c r="I730" s="2"/>
      <c r="J730" s="2"/>
      <c r="K730" s="2" t="str">
        <f t="shared" si="2"/>
        <v/>
      </c>
      <c r="L730" s="2" t="str">
        <f t="shared" si="3"/>
        <v>No</v>
      </c>
      <c r="M730" s="2" t="str">
        <f>IF(K730="","",F730*VLOOKUP(E730,WEIGHTS!$A$2:$F$4,2,FALSE)+G730*VLOOKUP(E730,WEIGHTS!$A$2:$F$4,3,FALSE)+H730*VLOOKUP(E730,WEIGHTS!$A$2:$F$4,4,FALSE)+I730*VLOOKUP(E730,WEIGHTS!$A$2:$F$4,5,FALSE)+J730*VLOOKUP(E730,WEIGHTS!$A$2:$F$4,6,FALSE))</f>
        <v/>
      </c>
      <c r="N730" s="2" t="str">
        <f t="shared" si="4"/>
        <v/>
      </c>
    </row>
    <row r="731" ht="15.75" customHeight="1">
      <c r="A731" s="3"/>
      <c r="B731" s="2" t="str">
        <f t="shared" si="1"/>
        <v/>
      </c>
      <c r="E731" s="2"/>
      <c r="F731" s="2"/>
      <c r="G731" s="2"/>
      <c r="H731" s="2"/>
      <c r="I731" s="2"/>
      <c r="J731" s="2"/>
      <c r="K731" s="2" t="str">
        <f t="shared" si="2"/>
        <v/>
      </c>
      <c r="L731" s="2" t="str">
        <f t="shared" si="3"/>
        <v>No</v>
      </c>
      <c r="M731" s="2" t="str">
        <f>IF(K731="","",F731*VLOOKUP(E731,WEIGHTS!$A$2:$F$4,2,FALSE)+G731*VLOOKUP(E731,WEIGHTS!$A$2:$F$4,3,FALSE)+H731*VLOOKUP(E731,WEIGHTS!$A$2:$F$4,4,FALSE)+I731*VLOOKUP(E731,WEIGHTS!$A$2:$F$4,5,FALSE)+J731*VLOOKUP(E731,WEIGHTS!$A$2:$F$4,6,FALSE))</f>
        <v/>
      </c>
      <c r="N731" s="2" t="str">
        <f t="shared" si="4"/>
        <v/>
      </c>
    </row>
    <row r="732" ht="15.75" customHeight="1">
      <c r="A732" s="3"/>
      <c r="B732" s="2" t="str">
        <f t="shared" si="1"/>
        <v/>
      </c>
      <c r="E732" s="2"/>
      <c r="F732" s="2"/>
      <c r="G732" s="2"/>
      <c r="H732" s="2"/>
      <c r="I732" s="2"/>
      <c r="J732" s="2"/>
      <c r="K732" s="2" t="str">
        <f t="shared" si="2"/>
        <v/>
      </c>
      <c r="L732" s="2" t="str">
        <f t="shared" si="3"/>
        <v>No</v>
      </c>
      <c r="M732" s="2" t="str">
        <f>IF(K732="","",F732*VLOOKUP(E732,WEIGHTS!$A$2:$F$4,2,FALSE)+G732*VLOOKUP(E732,WEIGHTS!$A$2:$F$4,3,FALSE)+H732*VLOOKUP(E732,WEIGHTS!$A$2:$F$4,4,FALSE)+I732*VLOOKUP(E732,WEIGHTS!$A$2:$F$4,5,FALSE)+J732*VLOOKUP(E732,WEIGHTS!$A$2:$F$4,6,FALSE))</f>
        <v/>
      </c>
      <c r="N732" s="2" t="str">
        <f t="shared" si="4"/>
        <v/>
      </c>
    </row>
    <row r="733" ht="15.75" customHeight="1">
      <c r="A733" s="3"/>
      <c r="B733" s="2" t="str">
        <f t="shared" si="1"/>
        <v/>
      </c>
      <c r="E733" s="2"/>
      <c r="F733" s="2"/>
      <c r="G733" s="2"/>
      <c r="H733" s="2"/>
      <c r="I733" s="2"/>
      <c r="J733" s="2"/>
      <c r="K733" s="2" t="str">
        <f t="shared" si="2"/>
        <v/>
      </c>
      <c r="L733" s="2" t="str">
        <f t="shared" si="3"/>
        <v>No</v>
      </c>
      <c r="M733" s="2" t="str">
        <f>IF(K733="","",F733*VLOOKUP(E733,WEIGHTS!$A$2:$F$4,2,FALSE)+G733*VLOOKUP(E733,WEIGHTS!$A$2:$F$4,3,FALSE)+H733*VLOOKUP(E733,WEIGHTS!$A$2:$F$4,4,FALSE)+I733*VLOOKUP(E733,WEIGHTS!$A$2:$F$4,5,FALSE)+J733*VLOOKUP(E733,WEIGHTS!$A$2:$F$4,6,FALSE))</f>
        <v/>
      </c>
      <c r="N733" s="2" t="str">
        <f t="shared" si="4"/>
        <v/>
      </c>
    </row>
    <row r="734" ht="15.75" customHeight="1">
      <c r="A734" s="3"/>
      <c r="B734" s="2" t="str">
        <f t="shared" si="1"/>
        <v/>
      </c>
      <c r="E734" s="2"/>
      <c r="F734" s="2"/>
      <c r="G734" s="2"/>
      <c r="H734" s="2"/>
      <c r="I734" s="2"/>
      <c r="J734" s="2"/>
      <c r="K734" s="2" t="str">
        <f t="shared" si="2"/>
        <v/>
      </c>
      <c r="L734" s="2" t="str">
        <f t="shared" si="3"/>
        <v>No</v>
      </c>
      <c r="M734" s="2" t="str">
        <f>IF(K734="","",F734*VLOOKUP(E734,WEIGHTS!$A$2:$F$4,2,FALSE)+G734*VLOOKUP(E734,WEIGHTS!$A$2:$F$4,3,FALSE)+H734*VLOOKUP(E734,WEIGHTS!$A$2:$F$4,4,FALSE)+I734*VLOOKUP(E734,WEIGHTS!$A$2:$F$4,5,FALSE)+J734*VLOOKUP(E734,WEIGHTS!$A$2:$F$4,6,FALSE))</f>
        <v/>
      </c>
      <c r="N734" s="2" t="str">
        <f t="shared" si="4"/>
        <v/>
      </c>
    </row>
    <row r="735" ht="15.75" customHeight="1">
      <c r="A735" s="3"/>
      <c r="B735" s="2" t="str">
        <f t="shared" si="1"/>
        <v/>
      </c>
      <c r="E735" s="2"/>
      <c r="F735" s="2"/>
      <c r="G735" s="2"/>
      <c r="H735" s="2"/>
      <c r="I735" s="2"/>
      <c r="J735" s="2"/>
      <c r="K735" s="2" t="str">
        <f t="shared" si="2"/>
        <v/>
      </c>
      <c r="L735" s="2" t="str">
        <f t="shared" si="3"/>
        <v>No</v>
      </c>
      <c r="M735" s="2" t="str">
        <f>IF(K735="","",F735*VLOOKUP(E735,WEIGHTS!$A$2:$F$4,2,FALSE)+G735*VLOOKUP(E735,WEIGHTS!$A$2:$F$4,3,FALSE)+H735*VLOOKUP(E735,WEIGHTS!$A$2:$F$4,4,FALSE)+I735*VLOOKUP(E735,WEIGHTS!$A$2:$F$4,5,FALSE)+J735*VLOOKUP(E735,WEIGHTS!$A$2:$F$4,6,FALSE))</f>
        <v/>
      </c>
      <c r="N735" s="2" t="str">
        <f t="shared" si="4"/>
        <v/>
      </c>
    </row>
    <row r="736" ht="15.75" customHeight="1">
      <c r="A736" s="3"/>
      <c r="B736" s="2" t="str">
        <f t="shared" si="1"/>
        <v/>
      </c>
      <c r="E736" s="2"/>
      <c r="F736" s="2"/>
      <c r="G736" s="2"/>
      <c r="H736" s="2"/>
      <c r="I736" s="2"/>
      <c r="J736" s="2"/>
      <c r="K736" s="2" t="str">
        <f t="shared" si="2"/>
        <v/>
      </c>
      <c r="L736" s="2" t="str">
        <f t="shared" si="3"/>
        <v>No</v>
      </c>
      <c r="M736" s="2" t="str">
        <f>IF(K736="","",F736*VLOOKUP(E736,WEIGHTS!$A$2:$F$4,2,FALSE)+G736*VLOOKUP(E736,WEIGHTS!$A$2:$F$4,3,FALSE)+H736*VLOOKUP(E736,WEIGHTS!$A$2:$F$4,4,FALSE)+I736*VLOOKUP(E736,WEIGHTS!$A$2:$F$4,5,FALSE)+J736*VLOOKUP(E736,WEIGHTS!$A$2:$F$4,6,FALSE))</f>
        <v/>
      </c>
      <c r="N736" s="2" t="str">
        <f t="shared" si="4"/>
        <v/>
      </c>
    </row>
    <row r="737" ht="15.75" customHeight="1">
      <c r="A737" s="3"/>
      <c r="B737" s="2" t="str">
        <f t="shared" si="1"/>
        <v/>
      </c>
      <c r="E737" s="2"/>
      <c r="F737" s="2"/>
      <c r="G737" s="2"/>
      <c r="H737" s="2"/>
      <c r="I737" s="2"/>
      <c r="J737" s="2"/>
      <c r="K737" s="2" t="str">
        <f t="shared" si="2"/>
        <v/>
      </c>
      <c r="L737" s="2" t="str">
        <f t="shared" si="3"/>
        <v>No</v>
      </c>
      <c r="M737" s="2" t="str">
        <f>IF(K737="","",F737*VLOOKUP(E737,WEIGHTS!$A$2:$F$4,2,FALSE)+G737*VLOOKUP(E737,WEIGHTS!$A$2:$F$4,3,FALSE)+H737*VLOOKUP(E737,WEIGHTS!$A$2:$F$4,4,FALSE)+I737*VLOOKUP(E737,WEIGHTS!$A$2:$F$4,5,FALSE)+J737*VLOOKUP(E737,WEIGHTS!$A$2:$F$4,6,FALSE))</f>
        <v/>
      </c>
      <c r="N737" s="2" t="str">
        <f t="shared" si="4"/>
        <v/>
      </c>
    </row>
    <row r="738" ht="15.75" customHeight="1">
      <c r="A738" s="3"/>
      <c r="B738" s="2" t="str">
        <f t="shared" si="1"/>
        <v/>
      </c>
      <c r="E738" s="2"/>
      <c r="F738" s="2"/>
      <c r="G738" s="2"/>
      <c r="H738" s="2"/>
      <c r="I738" s="2"/>
      <c r="J738" s="2"/>
      <c r="K738" s="2" t="str">
        <f t="shared" si="2"/>
        <v/>
      </c>
      <c r="L738" s="2" t="str">
        <f t="shared" si="3"/>
        <v>No</v>
      </c>
      <c r="M738" s="2" t="str">
        <f>IF(K738="","",F738*VLOOKUP(E738,WEIGHTS!$A$2:$F$4,2,FALSE)+G738*VLOOKUP(E738,WEIGHTS!$A$2:$F$4,3,FALSE)+H738*VLOOKUP(E738,WEIGHTS!$A$2:$F$4,4,FALSE)+I738*VLOOKUP(E738,WEIGHTS!$A$2:$F$4,5,FALSE)+J738*VLOOKUP(E738,WEIGHTS!$A$2:$F$4,6,FALSE))</f>
        <v/>
      </c>
      <c r="N738" s="2" t="str">
        <f t="shared" si="4"/>
        <v/>
      </c>
    </row>
    <row r="739" ht="15.75" customHeight="1">
      <c r="A739" s="3"/>
      <c r="B739" s="2" t="str">
        <f t="shared" si="1"/>
        <v/>
      </c>
      <c r="E739" s="2"/>
      <c r="F739" s="2"/>
      <c r="G739" s="2"/>
      <c r="H739" s="2"/>
      <c r="I739" s="2"/>
      <c r="J739" s="2"/>
      <c r="K739" s="2" t="str">
        <f t="shared" si="2"/>
        <v/>
      </c>
      <c r="L739" s="2" t="str">
        <f t="shared" si="3"/>
        <v>No</v>
      </c>
      <c r="M739" s="2" t="str">
        <f>IF(K739="","",F739*VLOOKUP(E739,WEIGHTS!$A$2:$F$4,2,FALSE)+G739*VLOOKUP(E739,WEIGHTS!$A$2:$F$4,3,FALSE)+H739*VLOOKUP(E739,WEIGHTS!$A$2:$F$4,4,FALSE)+I739*VLOOKUP(E739,WEIGHTS!$A$2:$F$4,5,FALSE)+J739*VLOOKUP(E739,WEIGHTS!$A$2:$F$4,6,FALSE))</f>
        <v/>
      </c>
      <c r="N739" s="2" t="str">
        <f t="shared" si="4"/>
        <v/>
      </c>
    </row>
    <row r="740" ht="15.75" customHeight="1">
      <c r="A740" s="3"/>
      <c r="B740" s="2" t="str">
        <f t="shared" si="1"/>
        <v/>
      </c>
      <c r="E740" s="2"/>
      <c r="F740" s="2"/>
      <c r="G740" s="2"/>
      <c r="H740" s="2"/>
      <c r="I740" s="2"/>
      <c r="J740" s="2"/>
      <c r="K740" s="2" t="str">
        <f t="shared" si="2"/>
        <v/>
      </c>
      <c r="L740" s="2" t="str">
        <f t="shared" si="3"/>
        <v>No</v>
      </c>
      <c r="M740" s="2" t="str">
        <f>IF(K740="","",F740*VLOOKUP(E740,WEIGHTS!$A$2:$F$4,2,FALSE)+G740*VLOOKUP(E740,WEIGHTS!$A$2:$F$4,3,FALSE)+H740*VLOOKUP(E740,WEIGHTS!$A$2:$F$4,4,FALSE)+I740*VLOOKUP(E740,WEIGHTS!$A$2:$F$4,5,FALSE)+J740*VLOOKUP(E740,WEIGHTS!$A$2:$F$4,6,FALSE))</f>
        <v/>
      </c>
      <c r="N740" s="2" t="str">
        <f t="shared" si="4"/>
        <v/>
      </c>
    </row>
    <row r="741" ht="15.75" customHeight="1">
      <c r="A741" s="3"/>
      <c r="B741" s="2" t="str">
        <f t="shared" si="1"/>
        <v/>
      </c>
      <c r="E741" s="2"/>
      <c r="F741" s="2"/>
      <c r="G741" s="2"/>
      <c r="H741" s="2"/>
      <c r="I741" s="2"/>
      <c r="J741" s="2"/>
      <c r="K741" s="2" t="str">
        <f t="shared" si="2"/>
        <v/>
      </c>
      <c r="L741" s="2" t="str">
        <f t="shared" si="3"/>
        <v>No</v>
      </c>
      <c r="M741" s="2" t="str">
        <f>IF(K741="","",F741*VLOOKUP(E741,WEIGHTS!$A$2:$F$4,2,FALSE)+G741*VLOOKUP(E741,WEIGHTS!$A$2:$F$4,3,FALSE)+H741*VLOOKUP(E741,WEIGHTS!$A$2:$F$4,4,FALSE)+I741*VLOOKUP(E741,WEIGHTS!$A$2:$F$4,5,FALSE)+J741*VLOOKUP(E741,WEIGHTS!$A$2:$F$4,6,FALSE))</f>
        <v/>
      </c>
      <c r="N741" s="2" t="str">
        <f t="shared" si="4"/>
        <v/>
      </c>
    </row>
    <row r="742" ht="15.75" customHeight="1">
      <c r="A742" s="3"/>
      <c r="B742" s="2" t="str">
        <f t="shared" si="1"/>
        <v/>
      </c>
      <c r="E742" s="2"/>
      <c r="F742" s="2"/>
      <c r="G742" s="2"/>
      <c r="H742" s="2"/>
      <c r="I742" s="2"/>
      <c r="J742" s="2"/>
      <c r="K742" s="2" t="str">
        <f t="shared" si="2"/>
        <v/>
      </c>
      <c r="L742" s="2" t="str">
        <f t="shared" si="3"/>
        <v>No</v>
      </c>
      <c r="M742" s="2" t="str">
        <f>IF(K742="","",F742*VLOOKUP(E742,WEIGHTS!$A$2:$F$4,2,FALSE)+G742*VLOOKUP(E742,WEIGHTS!$A$2:$F$4,3,FALSE)+H742*VLOOKUP(E742,WEIGHTS!$A$2:$F$4,4,FALSE)+I742*VLOOKUP(E742,WEIGHTS!$A$2:$F$4,5,FALSE)+J742*VLOOKUP(E742,WEIGHTS!$A$2:$F$4,6,FALSE))</f>
        <v/>
      </c>
      <c r="N742" s="2" t="str">
        <f t="shared" si="4"/>
        <v/>
      </c>
    </row>
    <row r="743" ht="15.75" customHeight="1">
      <c r="A743" s="3"/>
      <c r="B743" s="2" t="str">
        <f t="shared" si="1"/>
        <v/>
      </c>
      <c r="E743" s="2"/>
      <c r="F743" s="2"/>
      <c r="G743" s="2"/>
      <c r="H743" s="2"/>
      <c r="I743" s="2"/>
      <c r="J743" s="2"/>
      <c r="K743" s="2" t="str">
        <f t="shared" si="2"/>
        <v/>
      </c>
      <c r="L743" s="2" t="str">
        <f t="shared" si="3"/>
        <v>No</v>
      </c>
      <c r="M743" s="2" t="str">
        <f>IF(K743="","",F743*VLOOKUP(E743,WEIGHTS!$A$2:$F$4,2,FALSE)+G743*VLOOKUP(E743,WEIGHTS!$A$2:$F$4,3,FALSE)+H743*VLOOKUP(E743,WEIGHTS!$A$2:$F$4,4,FALSE)+I743*VLOOKUP(E743,WEIGHTS!$A$2:$F$4,5,FALSE)+J743*VLOOKUP(E743,WEIGHTS!$A$2:$F$4,6,FALSE))</f>
        <v/>
      </c>
      <c r="N743" s="2" t="str">
        <f t="shared" si="4"/>
        <v/>
      </c>
    </row>
    <row r="744" ht="15.75" customHeight="1">
      <c r="A744" s="3"/>
      <c r="B744" s="2" t="str">
        <f t="shared" si="1"/>
        <v/>
      </c>
      <c r="E744" s="2"/>
      <c r="F744" s="2"/>
      <c r="G744" s="2"/>
      <c r="H744" s="2"/>
      <c r="I744" s="2"/>
      <c r="J744" s="2"/>
      <c r="K744" s="2" t="str">
        <f t="shared" si="2"/>
        <v/>
      </c>
      <c r="L744" s="2" t="str">
        <f t="shared" si="3"/>
        <v>No</v>
      </c>
      <c r="M744" s="2" t="str">
        <f>IF(K744="","",F744*VLOOKUP(E744,WEIGHTS!$A$2:$F$4,2,FALSE)+G744*VLOOKUP(E744,WEIGHTS!$A$2:$F$4,3,FALSE)+H744*VLOOKUP(E744,WEIGHTS!$A$2:$F$4,4,FALSE)+I744*VLOOKUP(E744,WEIGHTS!$A$2:$F$4,5,FALSE)+J744*VLOOKUP(E744,WEIGHTS!$A$2:$F$4,6,FALSE))</f>
        <v/>
      </c>
      <c r="N744" s="2" t="str">
        <f t="shared" si="4"/>
        <v/>
      </c>
    </row>
    <row r="745" ht="15.75" customHeight="1">
      <c r="A745" s="3"/>
      <c r="B745" s="2" t="str">
        <f t="shared" si="1"/>
        <v/>
      </c>
      <c r="E745" s="2"/>
      <c r="F745" s="2"/>
      <c r="G745" s="2"/>
      <c r="H745" s="2"/>
      <c r="I745" s="2"/>
      <c r="J745" s="2"/>
      <c r="K745" s="2" t="str">
        <f t="shared" si="2"/>
        <v/>
      </c>
      <c r="L745" s="2" t="str">
        <f t="shared" si="3"/>
        <v>No</v>
      </c>
      <c r="M745" s="2" t="str">
        <f>IF(K745="","",F745*VLOOKUP(E745,WEIGHTS!$A$2:$F$4,2,FALSE)+G745*VLOOKUP(E745,WEIGHTS!$A$2:$F$4,3,FALSE)+H745*VLOOKUP(E745,WEIGHTS!$A$2:$F$4,4,FALSE)+I745*VLOOKUP(E745,WEIGHTS!$A$2:$F$4,5,FALSE)+J745*VLOOKUP(E745,WEIGHTS!$A$2:$F$4,6,FALSE))</f>
        <v/>
      </c>
      <c r="N745" s="2" t="str">
        <f t="shared" si="4"/>
        <v/>
      </c>
    </row>
    <row r="746" ht="15.75" customHeight="1">
      <c r="A746" s="3"/>
      <c r="B746" s="2" t="str">
        <f t="shared" si="1"/>
        <v/>
      </c>
      <c r="E746" s="2"/>
      <c r="F746" s="2"/>
      <c r="G746" s="2"/>
      <c r="H746" s="2"/>
      <c r="I746" s="2"/>
      <c r="J746" s="2"/>
      <c r="K746" s="2" t="str">
        <f t="shared" si="2"/>
        <v/>
      </c>
      <c r="L746" s="2" t="str">
        <f t="shared" si="3"/>
        <v>No</v>
      </c>
      <c r="M746" s="2" t="str">
        <f>IF(K746="","",F746*VLOOKUP(E746,WEIGHTS!$A$2:$F$4,2,FALSE)+G746*VLOOKUP(E746,WEIGHTS!$A$2:$F$4,3,FALSE)+H746*VLOOKUP(E746,WEIGHTS!$A$2:$F$4,4,FALSE)+I746*VLOOKUP(E746,WEIGHTS!$A$2:$F$4,5,FALSE)+J746*VLOOKUP(E746,WEIGHTS!$A$2:$F$4,6,FALSE))</f>
        <v/>
      </c>
      <c r="N746" s="2" t="str">
        <f t="shared" si="4"/>
        <v/>
      </c>
    </row>
    <row r="747" ht="15.75" customHeight="1">
      <c r="A747" s="3"/>
      <c r="B747" s="2" t="str">
        <f t="shared" si="1"/>
        <v/>
      </c>
      <c r="E747" s="2"/>
      <c r="F747" s="2"/>
      <c r="G747" s="2"/>
      <c r="H747" s="2"/>
      <c r="I747" s="2"/>
      <c r="J747" s="2"/>
      <c r="K747" s="2" t="str">
        <f t="shared" si="2"/>
        <v/>
      </c>
      <c r="L747" s="2" t="str">
        <f t="shared" si="3"/>
        <v>No</v>
      </c>
      <c r="M747" s="2" t="str">
        <f>IF(K747="","",F747*VLOOKUP(E747,WEIGHTS!$A$2:$F$4,2,FALSE)+G747*VLOOKUP(E747,WEIGHTS!$A$2:$F$4,3,FALSE)+H747*VLOOKUP(E747,WEIGHTS!$A$2:$F$4,4,FALSE)+I747*VLOOKUP(E747,WEIGHTS!$A$2:$F$4,5,FALSE)+J747*VLOOKUP(E747,WEIGHTS!$A$2:$F$4,6,FALSE))</f>
        <v/>
      </c>
      <c r="N747" s="2" t="str">
        <f t="shared" si="4"/>
        <v/>
      </c>
    </row>
    <row r="748" ht="15.75" customHeight="1">
      <c r="A748" s="3"/>
      <c r="B748" s="2" t="str">
        <f t="shared" si="1"/>
        <v/>
      </c>
      <c r="E748" s="2"/>
      <c r="F748" s="2"/>
      <c r="G748" s="2"/>
      <c r="H748" s="2"/>
      <c r="I748" s="2"/>
      <c r="J748" s="2"/>
      <c r="K748" s="2" t="str">
        <f t="shared" si="2"/>
        <v/>
      </c>
      <c r="L748" s="2" t="str">
        <f t="shared" si="3"/>
        <v>No</v>
      </c>
      <c r="M748" s="2" t="str">
        <f>IF(K748="","",F748*VLOOKUP(E748,WEIGHTS!$A$2:$F$4,2,FALSE)+G748*VLOOKUP(E748,WEIGHTS!$A$2:$F$4,3,FALSE)+H748*VLOOKUP(E748,WEIGHTS!$A$2:$F$4,4,FALSE)+I748*VLOOKUP(E748,WEIGHTS!$A$2:$F$4,5,FALSE)+J748*VLOOKUP(E748,WEIGHTS!$A$2:$F$4,6,FALSE))</f>
        <v/>
      </c>
      <c r="N748" s="2" t="str">
        <f t="shared" si="4"/>
        <v/>
      </c>
    </row>
    <row r="749" ht="15.75" customHeight="1">
      <c r="A749" s="3"/>
      <c r="B749" s="2" t="str">
        <f t="shared" si="1"/>
        <v/>
      </c>
      <c r="E749" s="2"/>
      <c r="F749" s="2"/>
      <c r="G749" s="2"/>
      <c r="H749" s="2"/>
      <c r="I749" s="2"/>
      <c r="J749" s="2"/>
      <c r="K749" s="2" t="str">
        <f t="shared" si="2"/>
        <v/>
      </c>
      <c r="L749" s="2" t="str">
        <f t="shared" si="3"/>
        <v>No</v>
      </c>
      <c r="M749" s="2" t="str">
        <f>IF(K749="","",F749*VLOOKUP(E749,WEIGHTS!$A$2:$F$4,2,FALSE)+G749*VLOOKUP(E749,WEIGHTS!$A$2:$F$4,3,FALSE)+H749*VLOOKUP(E749,WEIGHTS!$A$2:$F$4,4,FALSE)+I749*VLOOKUP(E749,WEIGHTS!$A$2:$F$4,5,FALSE)+J749*VLOOKUP(E749,WEIGHTS!$A$2:$F$4,6,FALSE))</f>
        <v/>
      </c>
      <c r="N749" s="2" t="str">
        <f t="shared" si="4"/>
        <v/>
      </c>
    </row>
    <row r="750" ht="15.75" customHeight="1">
      <c r="A750" s="3"/>
      <c r="B750" s="2" t="str">
        <f t="shared" si="1"/>
        <v/>
      </c>
      <c r="E750" s="2"/>
      <c r="F750" s="2"/>
      <c r="G750" s="2"/>
      <c r="H750" s="2"/>
      <c r="I750" s="2"/>
      <c r="J750" s="2"/>
      <c r="K750" s="2" t="str">
        <f t="shared" si="2"/>
        <v/>
      </c>
      <c r="L750" s="2" t="str">
        <f t="shared" si="3"/>
        <v>No</v>
      </c>
      <c r="M750" s="2" t="str">
        <f>IF(K750="","",F750*VLOOKUP(E750,WEIGHTS!$A$2:$F$4,2,FALSE)+G750*VLOOKUP(E750,WEIGHTS!$A$2:$F$4,3,FALSE)+H750*VLOOKUP(E750,WEIGHTS!$A$2:$F$4,4,FALSE)+I750*VLOOKUP(E750,WEIGHTS!$A$2:$F$4,5,FALSE)+J750*VLOOKUP(E750,WEIGHTS!$A$2:$F$4,6,FALSE))</f>
        <v/>
      </c>
      <c r="N750" s="2" t="str">
        <f t="shared" si="4"/>
        <v/>
      </c>
    </row>
    <row r="751" ht="15.75" customHeight="1">
      <c r="A751" s="3"/>
      <c r="B751" s="2" t="str">
        <f t="shared" si="1"/>
        <v/>
      </c>
      <c r="E751" s="2"/>
      <c r="F751" s="2"/>
      <c r="G751" s="2"/>
      <c r="H751" s="2"/>
      <c r="I751" s="2"/>
      <c r="J751" s="2"/>
      <c r="K751" s="2" t="str">
        <f t="shared" si="2"/>
        <v/>
      </c>
      <c r="L751" s="2" t="str">
        <f t="shared" si="3"/>
        <v>No</v>
      </c>
      <c r="M751" s="2" t="str">
        <f>IF(K751="","",F751*VLOOKUP(E751,WEIGHTS!$A$2:$F$4,2,FALSE)+G751*VLOOKUP(E751,WEIGHTS!$A$2:$F$4,3,FALSE)+H751*VLOOKUP(E751,WEIGHTS!$A$2:$F$4,4,FALSE)+I751*VLOOKUP(E751,WEIGHTS!$A$2:$F$4,5,FALSE)+J751*VLOOKUP(E751,WEIGHTS!$A$2:$F$4,6,FALSE))</f>
        <v/>
      </c>
      <c r="N751" s="2" t="str">
        <f t="shared" si="4"/>
        <v/>
      </c>
    </row>
    <row r="752" ht="15.75" customHeight="1">
      <c r="A752" s="3"/>
      <c r="B752" s="2" t="str">
        <f t="shared" si="1"/>
        <v/>
      </c>
      <c r="E752" s="2"/>
      <c r="F752" s="2"/>
      <c r="G752" s="2"/>
      <c r="H752" s="2"/>
      <c r="I752" s="2"/>
      <c r="J752" s="2"/>
      <c r="K752" s="2" t="str">
        <f t="shared" si="2"/>
        <v/>
      </c>
      <c r="L752" s="2" t="str">
        <f t="shared" si="3"/>
        <v>No</v>
      </c>
      <c r="M752" s="2" t="str">
        <f>IF(K752="","",F752*VLOOKUP(E752,WEIGHTS!$A$2:$F$4,2,FALSE)+G752*VLOOKUP(E752,WEIGHTS!$A$2:$F$4,3,FALSE)+H752*VLOOKUP(E752,WEIGHTS!$A$2:$F$4,4,FALSE)+I752*VLOOKUP(E752,WEIGHTS!$A$2:$F$4,5,FALSE)+J752*VLOOKUP(E752,WEIGHTS!$A$2:$F$4,6,FALSE))</f>
        <v/>
      </c>
      <c r="N752" s="2" t="str">
        <f t="shared" si="4"/>
        <v/>
      </c>
    </row>
    <row r="753" ht="15.75" customHeight="1">
      <c r="A753" s="3"/>
      <c r="B753" s="2" t="str">
        <f t="shared" si="1"/>
        <v/>
      </c>
      <c r="E753" s="2"/>
      <c r="F753" s="2"/>
      <c r="G753" s="2"/>
      <c r="H753" s="2"/>
      <c r="I753" s="2"/>
      <c r="J753" s="2"/>
      <c r="K753" s="2" t="str">
        <f t="shared" si="2"/>
        <v/>
      </c>
      <c r="L753" s="2" t="str">
        <f t="shared" si="3"/>
        <v>No</v>
      </c>
      <c r="M753" s="2" t="str">
        <f>IF(K753="","",F753*VLOOKUP(E753,WEIGHTS!$A$2:$F$4,2,FALSE)+G753*VLOOKUP(E753,WEIGHTS!$A$2:$F$4,3,FALSE)+H753*VLOOKUP(E753,WEIGHTS!$A$2:$F$4,4,FALSE)+I753*VLOOKUP(E753,WEIGHTS!$A$2:$F$4,5,FALSE)+J753*VLOOKUP(E753,WEIGHTS!$A$2:$F$4,6,FALSE))</f>
        <v/>
      </c>
      <c r="N753" s="2" t="str">
        <f t="shared" si="4"/>
        <v/>
      </c>
    </row>
    <row r="754" ht="15.75" customHeight="1">
      <c r="A754" s="3"/>
      <c r="B754" s="2" t="str">
        <f t="shared" si="1"/>
        <v/>
      </c>
      <c r="E754" s="2"/>
      <c r="F754" s="2"/>
      <c r="G754" s="2"/>
      <c r="H754" s="2"/>
      <c r="I754" s="2"/>
      <c r="J754" s="2"/>
      <c r="K754" s="2" t="str">
        <f t="shared" si="2"/>
        <v/>
      </c>
      <c r="L754" s="2" t="str">
        <f t="shared" si="3"/>
        <v>No</v>
      </c>
      <c r="M754" s="2" t="str">
        <f>IF(K754="","",F754*VLOOKUP(E754,WEIGHTS!$A$2:$F$4,2,FALSE)+G754*VLOOKUP(E754,WEIGHTS!$A$2:$F$4,3,FALSE)+H754*VLOOKUP(E754,WEIGHTS!$A$2:$F$4,4,FALSE)+I754*VLOOKUP(E754,WEIGHTS!$A$2:$F$4,5,FALSE)+J754*VLOOKUP(E754,WEIGHTS!$A$2:$F$4,6,FALSE))</f>
        <v/>
      </c>
      <c r="N754" s="2" t="str">
        <f t="shared" si="4"/>
        <v/>
      </c>
    </row>
    <row r="755" ht="15.75" customHeight="1">
      <c r="A755" s="3"/>
      <c r="B755" s="2" t="str">
        <f t="shared" si="1"/>
        <v/>
      </c>
      <c r="E755" s="2"/>
      <c r="F755" s="2"/>
      <c r="G755" s="2"/>
      <c r="H755" s="2"/>
      <c r="I755" s="2"/>
      <c r="J755" s="2"/>
      <c r="K755" s="2" t="str">
        <f t="shared" si="2"/>
        <v/>
      </c>
      <c r="L755" s="2" t="str">
        <f t="shared" si="3"/>
        <v>No</v>
      </c>
      <c r="M755" s="2" t="str">
        <f>IF(K755="","",F755*VLOOKUP(E755,WEIGHTS!$A$2:$F$4,2,FALSE)+G755*VLOOKUP(E755,WEIGHTS!$A$2:$F$4,3,FALSE)+H755*VLOOKUP(E755,WEIGHTS!$A$2:$F$4,4,FALSE)+I755*VLOOKUP(E755,WEIGHTS!$A$2:$F$4,5,FALSE)+J755*VLOOKUP(E755,WEIGHTS!$A$2:$F$4,6,FALSE))</f>
        <v/>
      </c>
      <c r="N755" s="2" t="str">
        <f t="shared" si="4"/>
        <v/>
      </c>
    </row>
    <row r="756" ht="15.75" customHeight="1">
      <c r="A756" s="3"/>
      <c r="B756" s="2" t="str">
        <f t="shared" si="1"/>
        <v/>
      </c>
      <c r="E756" s="2"/>
      <c r="F756" s="2"/>
      <c r="G756" s="2"/>
      <c r="H756" s="2"/>
      <c r="I756" s="2"/>
      <c r="J756" s="2"/>
      <c r="K756" s="2" t="str">
        <f t="shared" si="2"/>
        <v/>
      </c>
      <c r="L756" s="2" t="str">
        <f t="shared" si="3"/>
        <v>No</v>
      </c>
      <c r="M756" s="2" t="str">
        <f>IF(K756="","",F756*VLOOKUP(E756,WEIGHTS!$A$2:$F$4,2,FALSE)+G756*VLOOKUP(E756,WEIGHTS!$A$2:$F$4,3,FALSE)+H756*VLOOKUP(E756,WEIGHTS!$A$2:$F$4,4,FALSE)+I756*VLOOKUP(E756,WEIGHTS!$A$2:$F$4,5,FALSE)+J756*VLOOKUP(E756,WEIGHTS!$A$2:$F$4,6,FALSE))</f>
        <v/>
      </c>
      <c r="N756" s="2" t="str">
        <f t="shared" si="4"/>
        <v/>
      </c>
    </row>
    <row r="757" ht="15.75" customHeight="1">
      <c r="A757" s="3"/>
      <c r="B757" s="2" t="str">
        <f t="shared" si="1"/>
        <v/>
      </c>
      <c r="E757" s="2"/>
      <c r="F757" s="2"/>
      <c r="G757" s="2"/>
      <c r="H757" s="2"/>
      <c r="I757" s="2"/>
      <c r="J757" s="2"/>
      <c r="K757" s="2" t="str">
        <f t="shared" si="2"/>
        <v/>
      </c>
      <c r="L757" s="2" t="str">
        <f t="shared" si="3"/>
        <v>No</v>
      </c>
      <c r="M757" s="2" t="str">
        <f>IF(K757="","",F757*VLOOKUP(E757,WEIGHTS!$A$2:$F$4,2,FALSE)+G757*VLOOKUP(E757,WEIGHTS!$A$2:$F$4,3,FALSE)+H757*VLOOKUP(E757,WEIGHTS!$A$2:$F$4,4,FALSE)+I757*VLOOKUP(E757,WEIGHTS!$A$2:$F$4,5,FALSE)+J757*VLOOKUP(E757,WEIGHTS!$A$2:$F$4,6,FALSE))</f>
        <v/>
      </c>
      <c r="N757" s="2" t="str">
        <f t="shared" si="4"/>
        <v/>
      </c>
    </row>
    <row r="758" ht="15.75" customHeight="1">
      <c r="A758" s="3"/>
      <c r="B758" s="2" t="str">
        <f t="shared" si="1"/>
        <v/>
      </c>
      <c r="E758" s="2"/>
      <c r="F758" s="2"/>
      <c r="G758" s="2"/>
      <c r="H758" s="2"/>
      <c r="I758" s="2"/>
      <c r="J758" s="2"/>
      <c r="K758" s="2" t="str">
        <f t="shared" si="2"/>
        <v/>
      </c>
      <c r="L758" s="2" t="str">
        <f t="shared" si="3"/>
        <v>No</v>
      </c>
      <c r="M758" s="2" t="str">
        <f>IF(K758="","",F758*VLOOKUP(E758,WEIGHTS!$A$2:$F$4,2,FALSE)+G758*VLOOKUP(E758,WEIGHTS!$A$2:$F$4,3,FALSE)+H758*VLOOKUP(E758,WEIGHTS!$A$2:$F$4,4,FALSE)+I758*VLOOKUP(E758,WEIGHTS!$A$2:$F$4,5,FALSE)+J758*VLOOKUP(E758,WEIGHTS!$A$2:$F$4,6,FALSE))</f>
        <v/>
      </c>
      <c r="N758" s="2" t="str">
        <f t="shared" si="4"/>
        <v/>
      </c>
    </row>
    <row r="759" ht="15.75" customHeight="1">
      <c r="A759" s="3"/>
      <c r="B759" s="2" t="str">
        <f t="shared" si="1"/>
        <v/>
      </c>
      <c r="E759" s="2"/>
      <c r="F759" s="2"/>
      <c r="G759" s="2"/>
      <c r="H759" s="2"/>
      <c r="I759" s="2"/>
      <c r="J759" s="2"/>
      <c r="K759" s="2" t="str">
        <f t="shared" si="2"/>
        <v/>
      </c>
      <c r="L759" s="2" t="str">
        <f t="shared" si="3"/>
        <v>No</v>
      </c>
      <c r="M759" s="2" t="str">
        <f>IF(K759="","",F759*VLOOKUP(E759,WEIGHTS!$A$2:$F$4,2,FALSE)+G759*VLOOKUP(E759,WEIGHTS!$A$2:$F$4,3,FALSE)+H759*VLOOKUP(E759,WEIGHTS!$A$2:$F$4,4,FALSE)+I759*VLOOKUP(E759,WEIGHTS!$A$2:$F$4,5,FALSE)+J759*VLOOKUP(E759,WEIGHTS!$A$2:$F$4,6,FALSE))</f>
        <v/>
      </c>
      <c r="N759" s="2" t="str">
        <f t="shared" si="4"/>
        <v/>
      </c>
    </row>
    <row r="760" ht="15.75" customHeight="1">
      <c r="A760" s="3"/>
      <c r="B760" s="2" t="str">
        <f t="shared" si="1"/>
        <v/>
      </c>
      <c r="E760" s="2"/>
      <c r="F760" s="2"/>
      <c r="G760" s="2"/>
      <c r="H760" s="2"/>
      <c r="I760" s="2"/>
      <c r="J760" s="2"/>
      <c r="K760" s="2" t="str">
        <f t="shared" si="2"/>
        <v/>
      </c>
      <c r="L760" s="2" t="str">
        <f t="shared" si="3"/>
        <v>No</v>
      </c>
      <c r="M760" s="2" t="str">
        <f>IF(K760="","",F760*VLOOKUP(E760,WEIGHTS!$A$2:$F$4,2,FALSE)+G760*VLOOKUP(E760,WEIGHTS!$A$2:$F$4,3,FALSE)+H760*VLOOKUP(E760,WEIGHTS!$A$2:$F$4,4,FALSE)+I760*VLOOKUP(E760,WEIGHTS!$A$2:$F$4,5,FALSE)+J760*VLOOKUP(E760,WEIGHTS!$A$2:$F$4,6,FALSE))</f>
        <v/>
      </c>
      <c r="N760" s="2" t="str">
        <f t="shared" si="4"/>
        <v/>
      </c>
    </row>
    <row r="761" ht="15.75" customHeight="1">
      <c r="A761" s="3"/>
      <c r="B761" s="2" t="str">
        <f t="shared" si="1"/>
        <v/>
      </c>
      <c r="E761" s="2"/>
      <c r="F761" s="2"/>
      <c r="G761" s="2"/>
      <c r="H761" s="2"/>
      <c r="I761" s="2"/>
      <c r="J761" s="2"/>
      <c r="K761" s="2" t="str">
        <f t="shared" si="2"/>
        <v/>
      </c>
      <c r="L761" s="2" t="str">
        <f t="shared" si="3"/>
        <v>No</v>
      </c>
      <c r="M761" s="2" t="str">
        <f>IF(K761="","",F761*VLOOKUP(E761,WEIGHTS!$A$2:$F$4,2,FALSE)+G761*VLOOKUP(E761,WEIGHTS!$A$2:$F$4,3,FALSE)+H761*VLOOKUP(E761,WEIGHTS!$A$2:$F$4,4,FALSE)+I761*VLOOKUP(E761,WEIGHTS!$A$2:$F$4,5,FALSE)+J761*VLOOKUP(E761,WEIGHTS!$A$2:$F$4,6,FALSE))</f>
        <v/>
      </c>
      <c r="N761" s="2" t="str">
        <f t="shared" si="4"/>
        <v/>
      </c>
    </row>
    <row r="762" ht="15.75" customHeight="1">
      <c r="A762" s="3"/>
      <c r="B762" s="2" t="str">
        <f t="shared" si="1"/>
        <v/>
      </c>
      <c r="E762" s="2"/>
      <c r="F762" s="2"/>
      <c r="G762" s="2"/>
      <c r="H762" s="2"/>
      <c r="I762" s="2"/>
      <c r="J762" s="2"/>
      <c r="K762" s="2" t="str">
        <f t="shared" si="2"/>
        <v/>
      </c>
      <c r="L762" s="2" t="str">
        <f t="shared" si="3"/>
        <v>No</v>
      </c>
      <c r="M762" s="2" t="str">
        <f>IF(K762="","",F762*VLOOKUP(E762,WEIGHTS!$A$2:$F$4,2,FALSE)+G762*VLOOKUP(E762,WEIGHTS!$A$2:$F$4,3,FALSE)+H762*VLOOKUP(E762,WEIGHTS!$A$2:$F$4,4,FALSE)+I762*VLOOKUP(E762,WEIGHTS!$A$2:$F$4,5,FALSE)+J762*VLOOKUP(E762,WEIGHTS!$A$2:$F$4,6,FALSE))</f>
        <v/>
      </c>
      <c r="N762" s="2" t="str">
        <f t="shared" si="4"/>
        <v/>
      </c>
    </row>
    <row r="763" ht="15.75" customHeight="1">
      <c r="A763" s="3"/>
      <c r="B763" s="2" t="str">
        <f t="shared" si="1"/>
        <v/>
      </c>
      <c r="E763" s="2"/>
      <c r="F763" s="2"/>
      <c r="G763" s="2"/>
      <c r="H763" s="2"/>
      <c r="I763" s="2"/>
      <c r="J763" s="2"/>
      <c r="K763" s="2" t="str">
        <f t="shared" si="2"/>
        <v/>
      </c>
      <c r="L763" s="2" t="str">
        <f t="shared" si="3"/>
        <v>No</v>
      </c>
      <c r="M763" s="2" t="str">
        <f>IF(K763="","",F763*VLOOKUP(E763,WEIGHTS!$A$2:$F$4,2,FALSE)+G763*VLOOKUP(E763,WEIGHTS!$A$2:$F$4,3,FALSE)+H763*VLOOKUP(E763,WEIGHTS!$A$2:$F$4,4,FALSE)+I763*VLOOKUP(E763,WEIGHTS!$A$2:$F$4,5,FALSE)+J763*VLOOKUP(E763,WEIGHTS!$A$2:$F$4,6,FALSE))</f>
        <v/>
      </c>
      <c r="N763" s="2" t="str">
        <f t="shared" si="4"/>
        <v/>
      </c>
    </row>
    <row r="764" ht="15.75" customHeight="1">
      <c r="A764" s="3"/>
      <c r="B764" s="2" t="str">
        <f t="shared" si="1"/>
        <v/>
      </c>
      <c r="E764" s="2"/>
      <c r="F764" s="2"/>
      <c r="G764" s="2"/>
      <c r="H764" s="2"/>
      <c r="I764" s="2"/>
      <c r="J764" s="2"/>
      <c r="K764" s="2" t="str">
        <f t="shared" si="2"/>
        <v/>
      </c>
      <c r="L764" s="2" t="str">
        <f t="shared" si="3"/>
        <v>No</v>
      </c>
      <c r="M764" s="2" t="str">
        <f>IF(K764="","",F764*VLOOKUP(E764,WEIGHTS!$A$2:$F$4,2,FALSE)+G764*VLOOKUP(E764,WEIGHTS!$A$2:$F$4,3,FALSE)+H764*VLOOKUP(E764,WEIGHTS!$A$2:$F$4,4,FALSE)+I764*VLOOKUP(E764,WEIGHTS!$A$2:$F$4,5,FALSE)+J764*VLOOKUP(E764,WEIGHTS!$A$2:$F$4,6,FALSE))</f>
        <v/>
      </c>
      <c r="N764" s="2" t="str">
        <f t="shared" si="4"/>
        <v/>
      </c>
    </row>
    <row r="765" ht="15.75" customHeight="1">
      <c r="A765" s="3"/>
      <c r="B765" s="2" t="str">
        <f t="shared" si="1"/>
        <v/>
      </c>
      <c r="E765" s="2"/>
      <c r="F765" s="2"/>
      <c r="G765" s="2"/>
      <c r="H765" s="2"/>
      <c r="I765" s="2"/>
      <c r="J765" s="2"/>
      <c r="K765" s="2" t="str">
        <f t="shared" si="2"/>
        <v/>
      </c>
      <c r="L765" s="2" t="str">
        <f t="shared" si="3"/>
        <v>No</v>
      </c>
      <c r="M765" s="2" t="str">
        <f>IF(K765="","",F765*VLOOKUP(E765,WEIGHTS!$A$2:$F$4,2,FALSE)+G765*VLOOKUP(E765,WEIGHTS!$A$2:$F$4,3,FALSE)+H765*VLOOKUP(E765,WEIGHTS!$A$2:$F$4,4,FALSE)+I765*VLOOKUP(E765,WEIGHTS!$A$2:$F$4,5,FALSE)+J765*VLOOKUP(E765,WEIGHTS!$A$2:$F$4,6,FALSE))</f>
        <v/>
      </c>
      <c r="N765" s="2" t="str">
        <f t="shared" si="4"/>
        <v/>
      </c>
    </row>
    <row r="766" ht="15.75" customHeight="1">
      <c r="A766" s="3"/>
      <c r="B766" s="2" t="str">
        <f t="shared" si="1"/>
        <v/>
      </c>
      <c r="E766" s="2"/>
      <c r="F766" s="2"/>
      <c r="G766" s="2"/>
      <c r="H766" s="2"/>
      <c r="I766" s="2"/>
      <c r="J766" s="2"/>
      <c r="K766" s="2" t="str">
        <f t="shared" si="2"/>
        <v/>
      </c>
      <c r="L766" s="2" t="str">
        <f t="shared" si="3"/>
        <v>No</v>
      </c>
      <c r="M766" s="2" t="str">
        <f>IF(K766="","",F766*VLOOKUP(E766,WEIGHTS!$A$2:$F$4,2,FALSE)+G766*VLOOKUP(E766,WEIGHTS!$A$2:$F$4,3,FALSE)+H766*VLOOKUP(E766,WEIGHTS!$A$2:$F$4,4,FALSE)+I766*VLOOKUP(E766,WEIGHTS!$A$2:$F$4,5,FALSE)+J766*VLOOKUP(E766,WEIGHTS!$A$2:$F$4,6,FALSE))</f>
        <v/>
      </c>
      <c r="N766" s="2" t="str">
        <f t="shared" si="4"/>
        <v/>
      </c>
    </row>
    <row r="767" ht="15.75" customHeight="1">
      <c r="A767" s="3"/>
      <c r="B767" s="2" t="str">
        <f t="shared" si="1"/>
        <v/>
      </c>
      <c r="E767" s="2"/>
      <c r="F767" s="2"/>
      <c r="G767" s="2"/>
      <c r="H767" s="2"/>
      <c r="I767" s="2"/>
      <c r="J767" s="2"/>
      <c r="K767" s="2" t="str">
        <f t="shared" si="2"/>
        <v/>
      </c>
      <c r="L767" s="2" t="str">
        <f t="shared" si="3"/>
        <v>No</v>
      </c>
      <c r="M767" s="2" t="str">
        <f>IF(K767="","",F767*VLOOKUP(E767,WEIGHTS!$A$2:$F$4,2,FALSE)+G767*VLOOKUP(E767,WEIGHTS!$A$2:$F$4,3,FALSE)+H767*VLOOKUP(E767,WEIGHTS!$A$2:$F$4,4,FALSE)+I767*VLOOKUP(E767,WEIGHTS!$A$2:$F$4,5,FALSE)+J767*VLOOKUP(E767,WEIGHTS!$A$2:$F$4,6,FALSE))</f>
        <v/>
      </c>
      <c r="N767" s="2" t="str">
        <f t="shared" si="4"/>
        <v/>
      </c>
    </row>
    <row r="768" ht="15.75" customHeight="1">
      <c r="A768" s="3"/>
      <c r="B768" s="2" t="str">
        <f t="shared" si="1"/>
        <v/>
      </c>
      <c r="E768" s="2"/>
      <c r="F768" s="2"/>
      <c r="G768" s="2"/>
      <c r="H768" s="2"/>
      <c r="I768" s="2"/>
      <c r="J768" s="2"/>
      <c r="K768" s="2" t="str">
        <f t="shared" si="2"/>
        <v/>
      </c>
      <c r="L768" s="2" t="str">
        <f t="shared" si="3"/>
        <v>No</v>
      </c>
      <c r="M768" s="2" t="str">
        <f>IF(K768="","",F768*VLOOKUP(E768,WEIGHTS!$A$2:$F$4,2,FALSE)+G768*VLOOKUP(E768,WEIGHTS!$A$2:$F$4,3,FALSE)+H768*VLOOKUP(E768,WEIGHTS!$A$2:$F$4,4,FALSE)+I768*VLOOKUP(E768,WEIGHTS!$A$2:$F$4,5,FALSE)+J768*VLOOKUP(E768,WEIGHTS!$A$2:$F$4,6,FALSE))</f>
        <v/>
      </c>
      <c r="N768" s="2" t="str">
        <f t="shared" si="4"/>
        <v/>
      </c>
    </row>
    <row r="769" ht="15.75" customHeight="1">
      <c r="A769" s="3"/>
      <c r="B769" s="2" t="str">
        <f t="shared" si="1"/>
        <v/>
      </c>
      <c r="E769" s="2"/>
      <c r="F769" s="2"/>
      <c r="G769" s="2"/>
      <c r="H769" s="2"/>
      <c r="I769" s="2"/>
      <c r="J769" s="2"/>
      <c r="K769" s="2" t="str">
        <f t="shared" si="2"/>
        <v/>
      </c>
      <c r="L769" s="2" t="str">
        <f t="shared" si="3"/>
        <v>No</v>
      </c>
      <c r="M769" s="2" t="str">
        <f>IF(K769="","",F769*VLOOKUP(E769,WEIGHTS!$A$2:$F$4,2,FALSE)+G769*VLOOKUP(E769,WEIGHTS!$A$2:$F$4,3,FALSE)+H769*VLOOKUP(E769,WEIGHTS!$A$2:$F$4,4,FALSE)+I769*VLOOKUP(E769,WEIGHTS!$A$2:$F$4,5,FALSE)+J769*VLOOKUP(E769,WEIGHTS!$A$2:$F$4,6,FALSE))</f>
        <v/>
      </c>
      <c r="N769" s="2" t="str">
        <f t="shared" si="4"/>
        <v/>
      </c>
    </row>
    <row r="770" ht="15.75" customHeight="1">
      <c r="A770" s="3"/>
      <c r="B770" s="2" t="str">
        <f t="shared" si="1"/>
        <v/>
      </c>
      <c r="E770" s="2"/>
      <c r="F770" s="2"/>
      <c r="G770" s="2"/>
      <c r="H770" s="2"/>
      <c r="I770" s="2"/>
      <c r="J770" s="2"/>
      <c r="K770" s="2" t="str">
        <f t="shared" si="2"/>
        <v/>
      </c>
      <c r="L770" s="2" t="str">
        <f t="shared" si="3"/>
        <v>No</v>
      </c>
      <c r="M770" s="2" t="str">
        <f>IF(K770="","",F770*VLOOKUP(E770,WEIGHTS!$A$2:$F$4,2,FALSE)+G770*VLOOKUP(E770,WEIGHTS!$A$2:$F$4,3,FALSE)+H770*VLOOKUP(E770,WEIGHTS!$A$2:$F$4,4,FALSE)+I770*VLOOKUP(E770,WEIGHTS!$A$2:$F$4,5,FALSE)+J770*VLOOKUP(E770,WEIGHTS!$A$2:$F$4,6,FALSE))</f>
        <v/>
      </c>
      <c r="N770" s="2" t="str">
        <f t="shared" si="4"/>
        <v/>
      </c>
    </row>
    <row r="771" ht="15.75" customHeight="1">
      <c r="A771" s="3"/>
      <c r="B771" s="2" t="str">
        <f t="shared" si="1"/>
        <v/>
      </c>
      <c r="E771" s="2"/>
      <c r="F771" s="2"/>
      <c r="G771" s="2"/>
      <c r="H771" s="2"/>
      <c r="I771" s="2"/>
      <c r="J771" s="2"/>
      <c r="K771" s="2" t="str">
        <f t="shared" si="2"/>
        <v/>
      </c>
      <c r="L771" s="2" t="str">
        <f t="shared" si="3"/>
        <v>No</v>
      </c>
      <c r="M771" s="2" t="str">
        <f>IF(K771="","",F771*VLOOKUP(E771,WEIGHTS!$A$2:$F$4,2,FALSE)+G771*VLOOKUP(E771,WEIGHTS!$A$2:$F$4,3,FALSE)+H771*VLOOKUP(E771,WEIGHTS!$A$2:$F$4,4,FALSE)+I771*VLOOKUP(E771,WEIGHTS!$A$2:$F$4,5,FALSE)+J771*VLOOKUP(E771,WEIGHTS!$A$2:$F$4,6,FALSE))</f>
        <v/>
      </c>
      <c r="N771" s="2" t="str">
        <f t="shared" si="4"/>
        <v/>
      </c>
    </row>
    <row r="772" ht="15.75" customHeight="1">
      <c r="A772" s="3"/>
      <c r="B772" s="2" t="str">
        <f t="shared" si="1"/>
        <v/>
      </c>
      <c r="E772" s="2"/>
      <c r="F772" s="2"/>
      <c r="G772" s="2"/>
      <c r="H772" s="2"/>
      <c r="I772" s="2"/>
      <c r="J772" s="2"/>
      <c r="K772" s="2" t="str">
        <f t="shared" si="2"/>
        <v/>
      </c>
      <c r="L772" s="2" t="str">
        <f t="shared" si="3"/>
        <v>No</v>
      </c>
      <c r="M772" s="2" t="str">
        <f>IF(K772="","",F772*VLOOKUP(E772,WEIGHTS!$A$2:$F$4,2,FALSE)+G772*VLOOKUP(E772,WEIGHTS!$A$2:$F$4,3,FALSE)+H772*VLOOKUP(E772,WEIGHTS!$A$2:$F$4,4,FALSE)+I772*VLOOKUP(E772,WEIGHTS!$A$2:$F$4,5,FALSE)+J772*VLOOKUP(E772,WEIGHTS!$A$2:$F$4,6,FALSE))</f>
        <v/>
      </c>
      <c r="N772" s="2" t="str">
        <f t="shared" si="4"/>
        <v/>
      </c>
    </row>
    <row r="773" ht="15.75" customHeight="1">
      <c r="A773" s="3"/>
      <c r="B773" s="2" t="str">
        <f t="shared" si="1"/>
        <v/>
      </c>
      <c r="E773" s="2"/>
      <c r="F773" s="2"/>
      <c r="G773" s="2"/>
      <c r="H773" s="2"/>
      <c r="I773" s="2"/>
      <c r="J773" s="2"/>
      <c r="K773" s="2" t="str">
        <f t="shared" si="2"/>
        <v/>
      </c>
      <c r="L773" s="2" t="str">
        <f t="shared" si="3"/>
        <v>No</v>
      </c>
      <c r="M773" s="2" t="str">
        <f>IF(K773="","",F773*VLOOKUP(E773,WEIGHTS!$A$2:$F$4,2,FALSE)+G773*VLOOKUP(E773,WEIGHTS!$A$2:$F$4,3,FALSE)+H773*VLOOKUP(E773,WEIGHTS!$A$2:$F$4,4,FALSE)+I773*VLOOKUP(E773,WEIGHTS!$A$2:$F$4,5,FALSE)+J773*VLOOKUP(E773,WEIGHTS!$A$2:$F$4,6,FALSE))</f>
        <v/>
      </c>
      <c r="N773" s="2" t="str">
        <f t="shared" si="4"/>
        <v/>
      </c>
    </row>
    <row r="774" ht="15.75" customHeight="1">
      <c r="A774" s="3"/>
      <c r="B774" s="2" t="str">
        <f t="shared" si="1"/>
        <v/>
      </c>
      <c r="E774" s="2"/>
      <c r="F774" s="2"/>
      <c r="G774" s="2"/>
      <c r="H774" s="2"/>
      <c r="I774" s="2"/>
      <c r="J774" s="2"/>
      <c r="K774" s="2" t="str">
        <f t="shared" si="2"/>
        <v/>
      </c>
      <c r="L774" s="2" t="str">
        <f t="shared" si="3"/>
        <v>No</v>
      </c>
      <c r="M774" s="2" t="str">
        <f>IF(K774="","",F774*VLOOKUP(E774,WEIGHTS!$A$2:$F$4,2,FALSE)+G774*VLOOKUP(E774,WEIGHTS!$A$2:$F$4,3,FALSE)+H774*VLOOKUP(E774,WEIGHTS!$A$2:$F$4,4,FALSE)+I774*VLOOKUP(E774,WEIGHTS!$A$2:$F$4,5,FALSE)+J774*VLOOKUP(E774,WEIGHTS!$A$2:$F$4,6,FALSE))</f>
        <v/>
      </c>
      <c r="N774" s="2" t="str">
        <f t="shared" si="4"/>
        <v/>
      </c>
    </row>
    <row r="775" ht="15.75" customHeight="1">
      <c r="A775" s="3"/>
      <c r="B775" s="2" t="str">
        <f t="shared" si="1"/>
        <v/>
      </c>
      <c r="E775" s="2"/>
      <c r="F775" s="2"/>
      <c r="G775" s="2"/>
      <c r="H775" s="2"/>
      <c r="I775" s="2"/>
      <c r="J775" s="2"/>
      <c r="K775" s="2" t="str">
        <f t="shared" si="2"/>
        <v/>
      </c>
      <c r="L775" s="2" t="str">
        <f t="shared" si="3"/>
        <v>No</v>
      </c>
      <c r="M775" s="2" t="str">
        <f>IF(K775="","",F775*VLOOKUP(E775,WEIGHTS!$A$2:$F$4,2,FALSE)+G775*VLOOKUP(E775,WEIGHTS!$A$2:$F$4,3,FALSE)+H775*VLOOKUP(E775,WEIGHTS!$A$2:$F$4,4,FALSE)+I775*VLOOKUP(E775,WEIGHTS!$A$2:$F$4,5,FALSE)+J775*VLOOKUP(E775,WEIGHTS!$A$2:$F$4,6,FALSE))</f>
        <v/>
      </c>
      <c r="N775" s="2" t="str">
        <f t="shared" si="4"/>
        <v/>
      </c>
    </row>
    <row r="776" ht="15.75" customHeight="1">
      <c r="A776" s="3"/>
      <c r="B776" s="2" t="str">
        <f t="shared" si="1"/>
        <v/>
      </c>
      <c r="E776" s="2"/>
      <c r="F776" s="2"/>
      <c r="G776" s="2"/>
      <c r="H776" s="2"/>
      <c r="I776" s="2"/>
      <c r="J776" s="2"/>
      <c r="K776" s="2" t="str">
        <f t="shared" si="2"/>
        <v/>
      </c>
      <c r="L776" s="2" t="str">
        <f t="shared" si="3"/>
        <v>No</v>
      </c>
      <c r="M776" s="2" t="str">
        <f>IF(K776="","",F776*VLOOKUP(E776,WEIGHTS!$A$2:$F$4,2,FALSE)+G776*VLOOKUP(E776,WEIGHTS!$A$2:$F$4,3,FALSE)+H776*VLOOKUP(E776,WEIGHTS!$A$2:$F$4,4,FALSE)+I776*VLOOKUP(E776,WEIGHTS!$A$2:$F$4,5,FALSE)+J776*VLOOKUP(E776,WEIGHTS!$A$2:$F$4,6,FALSE))</f>
        <v/>
      </c>
      <c r="N776" s="2" t="str">
        <f t="shared" si="4"/>
        <v/>
      </c>
    </row>
    <row r="777" ht="15.75" customHeight="1">
      <c r="A777" s="3"/>
      <c r="B777" s="2" t="str">
        <f t="shared" si="1"/>
        <v/>
      </c>
      <c r="E777" s="2"/>
      <c r="F777" s="2"/>
      <c r="G777" s="2"/>
      <c r="H777" s="2"/>
      <c r="I777" s="2"/>
      <c r="J777" s="2"/>
      <c r="K777" s="2" t="str">
        <f t="shared" si="2"/>
        <v/>
      </c>
      <c r="L777" s="2" t="str">
        <f t="shared" si="3"/>
        <v>No</v>
      </c>
      <c r="M777" s="2" t="str">
        <f>IF(K777="","",F777*VLOOKUP(E777,WEIGHTS!$A$2:$F$4,2,FALSE)+G777*VLOOKUP(E777,WEIGHTS!$A$2:$F$4,3,FALSE)+H777*VLOOKUP(E777,WEIGHTS!$A$2:$F$4,4,FALSE)+I777*VLOOKUP(E777,WEIGHTS!$A$2:$F$4,5,FALSE)+J777*VLOOKUP(E777,WEIGHTS!$A$2:$F$4,6,FALSE))</f>
        <v/>
      </c>
      <c r="N777" s="2" t="str">
        <f t="shared" si="4"/>
        <v/>
      </c>
    </row>
    <row r="778" ht="15.75" customHeight="1">
      <c r="A778" s="3"/>
      <c r="B778" s="2" t="str">
        <f t="shared" si="1"/>
        <v/>
      </c>
      <c r="E778" s="2"/>
      <c r="F778" s="2"/>
      <c r="G778" s="2"/>
      <c r="H778" s="2"/>
      <c r="I778" s="2"/>
      <c r="J778" s="2"/>
      <c r="K778" s="2" t="str">
        <f t="shared" si="2"/>
        <v/>
      </c>
      <c r="L778" s="2" t="str">
        <f t="shared" si="3"/>
        <v>No</v>
      </c>
      <c r="M778" s="2" t="str">
        <f>IF(K778="","",F778*VLOOKUP(E778,WEIGHTS!$A$2:$F$4,2,FALSE)+G778*VLOOKUP(E778,WEIGHTS!$A$2:$F$4,3,FALSE)+H778*VLOOKUP(E778,WEIGHTS!$A$2:$F$4,4,FALSE)+I778*VLOOKUP(E778,WEIGHTS!$A$2:$F$4,5,FALSE)+J778*VLOOKUP(E778,WEIGHTS!$A$2:$F$4,6,FALSE))</f>
        <v/>
      </c>
      <c r="N778" s="2" t="str">
        <f t="shared" si="4"/>
        <v/>
      </c>
    </row>
    <row r="779" ht="15.75" customHeight="1">
      <c r="A779" s="3"/>
      <c r="B779" s="2" t="str">
        <f t="shared" si="1"/>
        <v/>
      </c>
      <c r="E779" s="2"/>
      <c r="F779" s="2"/>
      <c r="G779" s="2"/>
      <c r="H779" s="2"/>
      <c r="I779" s="2"/>
      <c r="J779" s="2"/>
      <c r="K779" s="2" t="str">
        <f t="shared" si="2"/>
        <v/>
      </c>
      <c r="L779" s="2" t="str">
        <f t="shared" si="3"/>
        <v>No</v>
      </c>
      <c r="M779" s="2" t="str">
        <f>IF(K779="","",F779*VLOOKUP(E779,WEIGHTS!$A$2:$F$4,2,FALSE)+G779*VLOOKUP(E779,WEIGHTS!$A$2:$F$4,3,FALSE)+H779*VLOOKUP(E779,WEIGHTS!$A$2:$F$4,4,FALSE)+I779*VLOOKUP(E779,WEIGHTS!$A$2:$F$4,5,FALSE)+J779*VLOOKUP(E779,WEIGHTS!$A$2:$F$4,6,FALSE))</f>
        <v/>
      </c>
      <c r="N779" s="2" t="str">
        <f t="shared" si="4"/>
        <v/>
      </c>
    </row>
    <row r="780" ht="15.75" customHeight="1">
      <c r="A780" s="3"/>
      <c r="B780" s="2" t="str">
        <f t="shared" si="1"/>
        <v/>
      </c>
      <c r="E780" s="2"/>
      <c r="F780" s="2"/>
      <c r="G780" s="2"/>
      <c r="H780" s="2"/>
      <c r="I780" s="2"/>
      <c r="J780" s="2"/>
      <c r="K780" s="2" t="str">
        <f t="shared" si="2"/>
        <v/>
      </c>
      <c r="L780" s="2" t="str">
        <f t="shared" si="3"/>
        <v>No</v>
      </c>
      <c r="M780" s="2" t="str">
        <f>IF(K780="","",F780*VLOOKUP(E780,WEIGHTS!$A$2:$F$4,2,FALSE)+G780*VLOOKUP(E780,WEIGHTS!$A$2:$F$4,3,FALSE)+H780*VLOOKUP(E780,WEIGHTS!$A$2:$F$4,4,FALSE)+I780*VLOOKUP(E780,WEIGHTS!$A$2:$F$4,5,FALSE)+J780*VLOOKUP(E780,WEIGHTS!$A$2:$F$4,6,FALSE))</f>
        <v/>
      </c>
      <c r="N780" s="2" t="str">
        <f t="shared" si="4"/>
        <v/>
      </c>
    </row>
    <row r="781" ht="15.75" customHeight="1">
      <c r="A781" s="3"/>
      <c r="B781" s="2" t="str">
        <f t="shared" si="1"/>
        <v/>
      </c>
      <c r="E781" s="2"/>
      <c r="F781" s="2"/>
      <c r="G781" s="2"/>
      <c r="H781" s="2"/>
      <c r="I781" s="2"/>
      <c r="J781" s="2"/>
      <c r="K781" s="2" t="str">
        <f t="shared" si="2"/>
        <v/>
      </c>
      <c r="L781" s="2" t="str">
        <f t="shared" si="3"/>
        <v>No</v>
      </c>
      <c r="M781" s="2" t="str">
        <f>IF(K781="","",F781*VLOOKUP(E781,WEIGHTS!$A$2:$F$4,2,FALSE)+G781*VLOOKUP(E781,WEIGHTS!$A$2:$F$4,3,FALSE)+H781*VLOOKUP(E781,WEIGHTS!$A$2:$F$4,4,FALSE)+I781*VLOOKUP(E781,WEIGHTS!$A$2:$F$4,5,FALSE)+J781*VLOOKUP(E781,WEIGHTS!$A$2:$F$4,6,FALSE))</f>
        <v/>
      </c>
      <c r="N781" s="2" t="str">
        <f t="shared" si="4"/>
        <v/>
      </c>
    </row>
    <row r="782" ht="15.75" customHeight="1">
      <c r="A782" s="3"/>
      <c r="B782" s="2" t="str">
        <f t="shared" si="1"/>
        <v/>
      </c>
      <c r="E782" s="2"/>
      <c r="F782" s="2"/>
      <c r="G782" s="2"/>
      <c r="H782" s="2"/>
      <c r="I782" s="2"/>
      <c r="J782" s="2"/>
      <c r="K782" s="2" t="str">
        <f t="shared" si="2"/>
        <v/>
      </c>
      <c r="L782" s="2" t="str">
        <f t="shared" si="3"/>
        <v>No</v>
      </c>
      <c r="M782" s="2" t="str">
        <f>IF(K782="","",F782*VLOOKUP(E782,WEIGHTS!$A$2:$F$4,2,FALSE)+G782*VLOOKUP(E782,WEIGHTS!$A$2:$F$4,3,FALSE)+H782*VLOOKUP(E782,WEIGHTS!$A$2:$F$4,4,FALSE)+I782*VLOOKUP(E782,WEIGHTS!$A$2:$F$4,5,FALSE)+J782*VLOOKUP(E782,WEIGHTS!$A$2:$F$4,6,FALSE))</f>
        <v/>
      </c>
      <c r="N782" s="2" t="str">
        <f t="shared" si="4"/>
        <v/>
      </c>
    </row>
    <row r="783" ht="15.75" customHeight="1">
      <c r="A783" s="3"/>
      <c r="B783" s="2" t="str">
        <f t="shared" si="1"/>
        <v/>
      </c>
      <c r="E783" s="2"/>
      <c r="F783" s="2"/>
      <c r="G783" s="2"/>
      <c r="H783" s="2"/>
      <c r="I783" s="2"/>
      <c r="J783" s="2"/>
      <c r="K783" s="2" t="str">
        <f t="shared" si="2"/>
        <v/>
      </c>
      <c r="L783" s="2" t="str">
        <f t="shared" si="3"/>
        <v>No</v>
      </c>
      <c r="M783" s="2" t="str">
        <f>IF(K783="","",F783*VLOOKUP(E783,WEIGHTS!$A$2:$F$4,2,FALSE)+G783*VLOOKUP(E783,WEIGHTS!$A$2:$F$4,3,FALSE)+H783*VLOOKUP(E783,WEIGHTS!$A$2:$F$4,4,FALSE)+I783*VLOOKUP(E783,WEIGHTS!$A$2:$F$4,5,FALSE)+J783*VLOOKUP(E783,WEIGHTS!$A$2:$F$4,6,FALSE))</f>
        <v/>
      </c>
      <c r="N783" s="2" t="str">
        <f t="shared" si="4"/>
        <v/>
      </c>
    </row>
    <row r="784" ht="15.75" customHeight="1">
      <c r="A784" s="3"/>
      <c r="B784" s="2" t="str">
        <f t="shared" si="1"/>
        <v/>
      </c>
      <c r="E784" s="2"/>
      <c r="F784" s="2"/>
      <c r="G784" s="2"/>
      <c r="H784" s="2"/>
      <c r="I784" s="2"/>
      <c r="J784" s="2"/>
      <c r="K784" s="2" t="str">
        <f t="shared" si="2"/>
        <v/>
      </c>
      <c r="L784" s="2" t="str">
        <f t="shared" si="3"/>
        <v>No</v>
      </c>
      <c r="M784" s="2" t="str">
        <f>IF(K784="","",F784*VLOOKUP(E784,WEIGHTS!$A$2:$F$4,2,FALSE)+G784*VLOOKUP(E784,WEIGHTS!$A$2:$F$4,3,FALSE)+H784*VLOOKUP(E784,WEIGHTS!$A$2:$F$4,4,FALSE)+I784*VLOOKUP(E784,WEIGHTS!$A$2:$F$4,5,FALSE)+J784*VLOOKUP(E784,WEIGHTS!$A$2:$F$4,6,FALSE))</f>
        <v/>
      </c>
      <c r="N784" s="2" t="str">
        <f t="shared" si="4"/>
        <v/>
      </c>
    </row>
    <row r="785" ht="15.75" customHeight="1">
      <c r="A785" s="3"/>
      <c r="B785" s="2" t="str">
        <f t="shared" si="1"/>
        <v/>
      </c>
      <c r="E785" s="2"/>
      <c r="F785" s="2"/>
      <c r="G785" s="2"/>
      <c r="H785" s="2"/>
      <c r="I785" s="2"/>
      <c r="J785" s="2"/>
      <c r="K785" s="2" t="str">
        <f t="shared" si="2"/>
        <v/>
      </c>
      <c r="L785" s="2" t="str">
        <f t="shared" si="3"/>
        <v>No</v>
      </c>
      <c r="M785" s="2" t="str">
        <f>IF(K785="","",F785*VLOOKUP(E785,WEIGHTS!$A$2:$F$4,2,FALSE)+G785*VLOOKUP(E785,WEIGHTS!$A$2:$F$4,3,FALSE)+H785*VLOOKUP(E785,WEIGHTS!$A$2:$F$4,4,FALSE)+I785*VLOOKUP(E785,WEIGHTS!$A$2:$F$4,5,FALSE)+J785*VLOOKUP(E785,WEIGHTS!$A$2:$F$4,6,FALSE))</f>
        <v/>
      </c>
      <c r="N785" s="2" t="str">
        <f t="shared" si="4"/>
        <v/>
      </c>
    </row>
    <row r="786" ht="15.75" customHeight="1">
      <c r="A786" s="3"/>
      <c r="B786" s="2" t="str">
        <f t="shared" si="1"/>
        <v/>
      </c>
      <c r="E786" s="2"/>
      <c r="F786" s="2"/>
      <c r="G786" s="2"/>
      <c r="H786" s="2"/>
      <c r="I786" s="2"/>
      <c r="J786" s="2"/>
      <c r="K786" s="2" t="str">
        <f t="shared" si="2"/>
        <v/>
      </c>
      <c r="L786" s="2" t="str">
        <f t="shared" si="3"/>
        <v>No</v>
      </c>
      <c r="M786" s="2" t="str">
        <f>IF(K786="","",F786*VLOOKUP(E786,WEIGHTS!$A$2:$F$4,2,FALSE)+G786*VLOOKUP(E786,WEIGHTS!$A$2:$F$4,3,FALSE)+H786*VLOOKUP(E786,WEIGHTS!$A$2:$F$4,4,FALSE)+I786*VLOOKUP(E786,WEIGHTS!$A$2:$F$4,5,FALSE)+J786*VLOOKUP(E786,WEIGHTS!$A$2:$F$4,6,FALSE))</f>
        <v/>
      </c>
      <c r="N786" s="2" t="str">
        <f t="shared" si="4"/>
        <v/>
      </c>
    </row>
    <row r="787" ht="15.75" customHeight="1">
      <c r="A787" s="3"/>
      <c r="B787" s="2" t="str">
        <f t="shared" si="1"/>
        <v/>
      </c>
      <c r="E787" s="2"/>
      <c r="F787" s="2"/>
      <c r="G787" s="2"/>
      <c r="H787" s="2"/>
      <c r="I787" s="2"/>
      <c r="J787" s="2"/>
      <c r="K787" s="2" t="str">
        <f t="shared" si="2"/>
        <v/>
      </c>
      <c r="L787" s="2" t="str">
        <f t="shared" si="3"/>
        <v>No</v>
      </c>
      <c r="M787" s="2" t="str">
        <f>IF(K787="","",F787*VLOOKUP(E787,WEIGHTS!$A$2:$F$4,2,FALSE)+G787*VLOOKUP(E787,WEIGHTS!$A$2:$F$4,3,FALSE)+H787*VLOOKUP(E787,WEIGHTS!$A$2:$F$4,4,FALSE)+I787*VLOOKUP(E787,WEIGHTS!$A$2:$F$4,5,FALSE)+J787*VLOOKUP(E787,WEIGHTS!$A$2:$F$4,6,FALSE))</f>
        <v/>
      </c>
      <c r="N787" s="2" t="str">
        <f t="shared" si="4"/>
        <v/>
      </c>
    </row>
    <row r="788" ht="15.75" customHeight="1">
      <c r="A788" s="3"/>
      <c r="B788" s="2" t="str">
        <f t="shared" si="1"/>
        <v/>
      </c>
      <c r="E788" s="2"/>
      <c r="F788" s="2"/>
      <c r="G788" s="2"/>
      <c r="H788" s="2"/>
      <c r="I788" s="2"/>
      <c r="J788" s="2"/>
      <c r="K788" s="2" t="str">
        <f t="shared" si="2"/>
        <v/>
      </c>
      <c r="L788" s="2" t="str">
        <f t="shared" si="3"/>
        <v>No</v>
      </c>
      <c r="M788" s="2" t="str">
        <f>IF(K788="","",F788*VLOOKUP(E788,WEIGHTS!$A$2:$F$4,2,FALSE)+G788*VLOOKUP(E788,WEIGHTS!$A$2:$F$4,3,FALSE)+H788*VLOOKUP(E788,WEIGHTS!$A$2:$F$4,4,FALSE)+I788*VLOOKUP(E788,WEIGHTS!$A$2:$F$4,5,FALSE)+J788*VLOOKUP(E788,WEIGHTS!$A$2:$F$4,6,FALSE))</f>
        <v/>
      </c>
      <c r="N788" s="2" t="str">
        <f t="shared" si="4"/>
        <v/>
      </c>
    </row>
    <row r="789" ht="15.75" customHeight="1">
      <c r="A789" s="3"/>
      <c r="B789" s="2" t="str">
        <f t="shared" si="1"/>
        <v/>
      </c>
      <c r="E789" s="2"/>
      <c r="F789" s="2"/>
      <c r="G789" s="2"/>
      <c r="H789" s="2"/>
      <c r="I789" s="2"/>
      <c r="J789" s="2"/>
      <c r="K789" s="2" t="str">
        <f t="shared" si="2"/>
        <v/>
      </c>
      <c r="L789" s="2" t="str">
        <f t="shared" si="3"/>
        <v>No</v>
      </c>
      <c r="M789" s="2" t="str">
        <f>IF(K789="","",F789*VLOOKUP(E789,WEIGHTS!$A$2:$F$4,2,FALSE)+G789*VLOOKUP(E789,WEIGHTS!$A$2:$F$4,3,FALSE)+H789*VLOOKUP(E789,WEIGHTS!$A$2:$F$4,4,FALSE)+I789*VLOOKUP(E789,WEIGHTS!$A$2:$F$4,5,FALSE)+J789*VLOOKUP(E789,WEIGHTS!$A$2:$F$4,6,FALSE))</f>
        <v/>
      </c>
      <c r="N789" s="2" t="str">
        <f t="shared" si="4"/>
        <v/>
      </c>
    </row>
    <row r="790" ht="15.75" customHeight="1">
      <c r="A790" s="3"/>
      <c r="B790" s="2" t="str">
        <f t="shared" si="1"/>
        <v/>
      </c>
      <c r="E790" s="2"/>
      <c r="F790" s="2"/>
      <c r="G790" s="2"/>
      <c r="H790" s="2"/>
      <c r="I790" s="2"/>
      <c r="J790" s="2"/>
      <c r="K790" s="2" t="str">
        <f t="shared" si="2"/>
        <v/>
      </c>
      <c r="L790" s="2" t="str">
        <f t="shared" si="3"/>
        <v>No</v>
      </c>
      <c r="M790" s="2" t="str">
        <f>IF(K790="","",F790*VLOOKUP(E790,WEIGHTS!$A$2:$F$4,2,FALSE)+G790*VLOOKUP(E790,WEIGHTS!$A$2:$F$4,3,FALSE)+H790*VLOOKUP(E790,WEIGHTS!$A$2:$F$4,4,FALSE)+I790*VLOOKUP(E790,WEIGHTS!$A$2:$F$4,5,FALSE)+J790*VLOOKUP(E790,WEIGHTS!$A$2:$F$4,6,FALSE))</f>
        <v/>
      </c>
      <c r="N790" s="2" t="str">
        <f t="shared" si="4"/>
        <v/>
      </c>
    </row>
    <row r="791" ht="15.75" customHeight="1">
      <c r="A791" s="3"/>
      <c r="B791" s="2" t="str">
        <f t="shared" si="1"/>
        <v/>
      </c>
      <c r="E791" s="2"/>
      <c r="F791" s="2"/>
      <c r="G791" s="2"/>
      <c r="H791" s="2"/>
      <c r="I791" s="2"/>
      <c r="J791" s="2"/>
      <c r="K791" s="2" t="str">
        <f t="shared" si="2"/>
        <v/>
      </c>
      <c r="L791" s="2" t="str">
        <f t="shared" si="3"/>
        <v>No</v>
      </c>
      <c r="M791" s="2" t="str">
        <f>IF(K791="","",F791*VLOOKUP(E791,WEIGHTS!$A$2:$F$4,2,FALSE)+G791*VLOOKUP(E791,WEIGHTS!$A$2:$F$4,3,FALSE)+H791*VLOOKUP(E791,WEIGHTS!$A$2:$F$4,4,FALSE)+I791*VLOOKUP(E791,WEIGHTS!$A$2:$F$4,5,FALSE)+J791*VLOOKUP(E791,WEIGHTS!$A$2:$F$4,6,FALSE))</f>
        <v/>
      </c>
      <c r="N791" s="2" t="str">
        <f t="shared" si="4"/>
        <v/>
      </c>
    </row>
    <row r="792" ht="15.75" customHeight="1">
      <c r="A792" s="3"/>
      <c r="B792" s="2" t="str">
        <f t="shared" si="1"/>
        <v/>
      </c>
      <c r="E792" s="2"/>
      <c r="F792" s="2"/>
      <c r="G792" s="2"/>
      <c r="H792" s="2"/>
      <c r="I792" s="2"/>
      <c r="J792" s="2"/>
      <c r="K792" s="2" t="str">
        <f t="shared" si="2"/>
        <v/>
      </c>
      <c r="L792" s="2" t="str">
        <f t="shared" si="3"/>
        <v>No</v>
      </c>
      <c r="M792" s="2" t="str">
        <f>IF(K792="","",F792*VLOOKUP(E792,WEIGHTS!$A$2:$F$4,2,FALSE)+G792*VLOOKUP(E792,WEIGHTS!$A$2:$F$4,3,FALSE)+H792*VLOOKUP(E792,WEIGHTS!$A$2:$F$4,4,FALSE)+I792*VLOOKUP(E792,WEIGHTS!$A$2:$F$4,5,FALSE)+J792*VLOOKUP(E792,WEIGHTS!$A$2:$F$4,6,FALSE))</f>
        <v/>
      </c>
      <c r="N792" s="2" t="str">
        <f t="shared" si="4"/>
        <v/>
      </c>
    </row>
    <row r="793" ht="15.75" customHeight="1">
      <c r="A793" s="3"/>
      <c r="B793" s="2" t="str">
        <f t="shared" si="1"/>
        <v/>
      </c>
      <c r="E793" s="2"/>
      <c r="F793" s="2"/>
      <c r="G793" s="2"/>
      <c r="H793" s="2"/>
      <c r="I793" s="2"/>
      <c r="J793" s="2"/>
      <c r="K793" s="2" t="str">
        <f t="shared" si="2"/>
        <v/>
      </c>
      <c r="L793" s="2" t="str">
        <f t="shared" si="3"/>
        <v>No</v>
      </c>
      <c r="M793" s="2" t="str">
        <f>IF(K793="","",F793*VLOOKUP(E793,WEIGHTS!$A$2:$F$4,2,FALSE)+G793*VLOOKUP(E793,WEIGHTS!$A$2:$F$4,3,FALSE)+H793*VLOOKUP(E793,WEIGHTS!$A$2:$F$4,4,FALSE)+I793*VLOOKUP(E793,WEIGHTS!$A$2:$F$4,5,FALSE)+J793*VLOOKUP(E793,WEIGHTS!$A$2:$F$4,6,FALSE))</f>
        <v/>
      </c>
      <c r="N793" s="2" t="str">
        <f t="shared" si="4"/>
        <v/>
      </c>
    </row>
    <row r="794" ht="15.75" customHeight="1">
      <c r="A794" s="3"/>
      <c r="B794" s="2" t="str">
        <f t="shared" si="1"/>
        <v/>
      </c>
      <c r="E794" s="2"/>
      <c r="F794" s="2"/>
      <c r="G794" s="2"/>
      <c r="H794" s="2"/>
      <c r="I794" s="2"/>
      <c r="J794" s="2"/>
      <c r="K794" s="2" t="str">
        <f t="shared" si="2"/>
        <v/>
      </c>
      <c r="L794" s="2" t="str">
        <f t="shared" si="3"/>
        <v>No</v>
      </c>
      <c r="M794" s="2" t="str">
        <f>IF(K794="","",F794*VLOOKUP(E794,WEIGHTS!$A$2:$F$4,2,FALSE)+G794*VLOOKUP(E794,WEIGHTS!$A$2:$F$4,3,FALSE)+H794*VLOOKUP(E794,WEIGHTS!$A$2:$F$4,4,FALSE)+I794*VLOOKUP(E794,WEIGHTS!$A$2:$F$4,5,FALSE)+J794*VLOOKUP(E794,WEIGHTS!$A$2:$F$4,6,FALSE))</f>
        <v/>
      </c>
      <c r="N794" s="2" t="str">
        <f t="shared" si="4"/>
        <v/>
      </c>
    </row>
    <row r="795" ht="15.75" customHeight="1">
      <c r="A795" s="3"/>
      <c r="B795" s="2" t="str">
        <f t="shared" si="1"/>
        <v/>
      </c>
      <c r="E795" s="2"/>
      <c r="F795" s="2"/>
      <c r="G795" s="2"/>
      <c r="H795" s="2"/>
      <c r="I795" s="2"/>
      <c r="J795" s="2"/>
      <c r="K795" s="2" t="str">
        <f t="shared" si="2"/>
        <v/>
      </c>
      <c r="L795" s="2" t="str">
        <f t="shared" si="3"/>
        <v>No</v>
      </c>
      <c r="M795" s="2" t="str">
        <f>IF(K795="","",F795*VLOOKUP(E795,WEIGHTS!$A$2:$F$4,2,FALSE)+G795*VLOOKUP(E795,WEIGHTS!$A$2:$F$4,3,FALSE)+H795*VLOOKUP(E795,WEIGHTS!$A$2:$F$4,4,FALSE)+I795*VLOOKUP(E795,WEIGHTS!$A$2:$F$4,5,FALSE)+J795*VLOOKUP(E795,WEIGHTS!$A$2:$F$4,6,FALSE))</f>
        <v/>
      </c>
      <c r="N795" s="2" t="str">
        <f t="shared" si="4"/>
        <v/>
      </c>
    </row>
    <row r="796" ht="15.75" customHeight="1">
      <c r="A796" s="3"/>
      <c r="B796" s="2" t="str">
        <f t="shared" si="1"/>
        <v/>
      </c>
      <c r="E796" s="2"/>
      <c r="F796" s="2"/>
      <c r="G796" s="2"/>
      <c r="H796" s="2"/>
      <c r="I796" s="2"/>
      <c r="J796" s="2"/>
      <c r="K796" s="2" t="str">
        <f t="shared" si="2"/>
        <v/>
      </c>
      <c r="L796" s="2" t="str">
        <f t="shared" si="3"/>
        <v>No</v>
      </c>
      <c r="M796" s="2" t="str">
        <f>IF(K796="","",F796*VLOOKUP(E796,WEIGHTS!$A$2:$F$4,2,FALSE)+G796*VLOOKUP(E796,WEIGHTS!$A$2:$F$4,3,FALSE)+H796*VLOOKUP(E796,WEIGHTS!$A$2:$F$4,4,FALSE)+I796*VLOOKUP(E796,WEIGHTS!$A$2:$F$4,5,FALSE)+J796*VLOOKUP(E796,WEIGHTS!$A$2:$F$4,6,FALSE))</f>
        <v/>
      </c>
      <c r="N796" s="2" t="str">
        <f t="shared" si="4"/>
        <v/>
      </c>
    </row>
    <row r="797" ht="15.75" customHeight="1">
      <c r="A797" s="3"/>
      <c r="B797" s="2" t="str">
        <f t="shared" si="1"/>
        <v/>
      </c>
      <c r="E797" s="2"/>
      <c r="F797" s="2"/>
      <c r="G797" s="2"/>
      <c r="H797" s="2"/>
      <c r="I797" s="2"/>
      <c r="J797" s="2"/>
      <c r="K797" s="2" t="str">
        <f t="shared" si="2"/>
        <v/>
      </c>
      <c r="L797" s="2" t="str">
        <f t="shared" si="3"/>
        <v>No</v>
      </c>
      <c r="M797" s="2" t="str">
        <f>IF(K797="","",F797*VLOOKUP(E797,WEIGHTS!$A$2:$F$4,2,FALSE)+G797*VLOOKUP(E797,WEIGHTS!$A$2:$F$4,3,FALSE)+H797*VLOOKUP(E797,WEIGHTS!$A$2:$F$4,4,FALSE)+I797*VLOOKUP(E797,WEIGHTS!$A$2:$F$4,5,FALSE)+J797*VLOOKUP(E797,WEIGHTS!$A$2:$F$4,6,FALSE))</f>
        <v/>
      </c>
      <c r="N797" s="2" t="str">
        <f t="shared" si="4"/>
        <v/>
      </c>
    </row>
    <row r="798" ht="15.75" customHeight="1">
      <c r="A798" s="3"/>
      <c r="B798" s="2" t="str">
        <f t="shared" si="1"/>
        <v/>
      </c>
      <c r="E798" s="2"/>
      <c r="F798" s="2"/>
      <c r="G798" s="2"/>
      <c r="H798" s="2"/>
      <c r="I798" s="2"/>
      <c r="J798" s="2"/>
      <c r="K798" s="2" t="str">
        <f t="shared" si="2"/>
        <v/>
      </c>
      <c r="L798" s="2" t="str">
        <f t="shared" si="3"/>
        <v>No</v>
      </c>
      <c r="M798" s="2" t="str">
        <f>IF(K798="","",F798*VLOOKUP(E798,WEIGHTS!$A$2:$F$4,2,FALSE)+G798*VLOOKUP(E798,WEIGHTS!$A$2:$F$4,3,FALSE)+H798*VLOOKUP(E798,WEIGHTS!$A$2:$F$4,4,FALSE)+I798*VLOOKUP(E798,WEIGHTS!$A$2:$F$4,5,FALSE)+J798*VLOOKUP(E798,WEIGHTS!$A$2:$F$4,6,FALSE))</f>
        <v/>
      </c>
      <c r="N798" s="2" t="str">
        <f t="shared" si="4"/>
        <v/>
      </c>
    </row>
    <row r="799" ht="15.75" customHeight="1">
      <c r="A799" s="3"/>
      <c r="B799" s="2" t="str">
        <f t="shared" si="1"/>
        <v/>
      </c>
      <c r="E799" s="2"/>
      <c r="F799" s="2"/>
      <c r="G799" s="2"/>
      <c r="H799" s="2"/>
      <c r="I799" s="2"/>
      <c r="J799" s="2"/>
      <c r="K799" s="2" t="str">
        <f t="shared" si="2"/>
        <v/>
      </c>
      <c r="L799" s="2" t="str">
        <f t="shared" si="3"/>
        <v>No</v>
      </c>
      <c r="M799" s="2" t="str">
        <f>IF(K799="","",F799*VLOOKUP(E799,WEIGHTS!$A$2:$F$4,2,FALSE)+G799*VLOOKUP(E799,WEIGHTS!$A$2:$F$4,3,FALSE)+H799*VLOOKUP(E799,WEIGHTS!$A$2:$F$4,4,FALSE)+I799*VLOOKUP(E799,WEIGHTS!$A$2:$F$4,5,FALSE)+J799*VLOOKUP(E799,WEIGHTS!$A$2:$F$4,6,FALSE))</f>
        <v/>
      </c>
      <c r="N799" s="2" t="str">
        <f t="shared" si="4"/>
        <v/>
      </c>
    </row>
    <row r="800" ht="15.75" customHeight="1">
      <c r="A800" s="3"/>
      <c r="B800" s="2" t="str">
        <f t="shared" si="1"/>
        <v/>
      </c>
      <c r="E800" s="2"/>
      <c r="F800" s="2"/>
      <c r="G800" s="2"/>
      <c r="H800" s="2"/>
      <c r="I800" s="2"/>
      <c r="J800" s="2"/>
      <c r="K800" s="2" t="str">
        <f t="shared" si="2"/>
        <v/>
      </c>
      <c r="L800" s="2" t="str">
        <f t="shared" si="3"/>
        <v>No</v>
      </c>
      <c r="M800" s="2" t="str">
        <f>IF(K800="","",F800*VLOOKUP(E800,WEIGHTS!$A$2:$F$4,2,FALSE)+G800*VLOOKUP(E800,WEIGHTS!$A$2:$F$4,3,FALSE)+H800*VLOOKUP(E800,WEIGHTS!$A$2:$F$4,4,FALSE)+I800*VLOOKUP(E800,WEIGHTS!$A$2:$F$4,5,FALSE)+J800*VLOOKUP(E800,WEIGHTS!$A$2:$F$4,6,FALSE))</f>
        <v/>
      </c>
      <c r="N800" s="2" t="str">
        <f t="shared" si="4"/>
        <v/>
      </c>
    </row>
    <row r="801" ht="15.75" customHeight="1">
      <c r="A801" s="3"/>
      <c r="B801" s="2" t="str">
        <f t="shared" si="1"/>
        <v/>
      </c>
      <c r="E801" s="2"/>
      <c r="F801" s="2"/>
      <c r="G801" s="2"/>
      <c r="H801" s="2"/>
      <c r="I801" s="2"/>
      <c r="J801" s="2"/>
      <c r="K801" s="2" t="str">
        <f t="shared" si="2"/>
        <v/>
      </c>
      <c r="L801" s="2" t="str">
        <f t="shared" si="3"/>
        <v>No</v>
      </c>
      <c r="M801" s="2" t="str">
        <f>IF(K801="","",F801*VLOOKUP(E801,WEIGHTS!$A$2:$F$4,2,FALSE)+G801*VLOOKUP(E801,WEIGHTS!$A$2:$F$4,3,FALSE)+H801*VLOOKUP(E801,WEIGHTS!$A$2:$F$4,4,FALSE)+I801*VLOOKUP(E801,WEIGHTS!$A$2:$F$4,5,FALSE)+J801*VLOOKUP(E801,WEIGHTS!$A$2:$F$4,6,FALSE))</f>
        <v/>
      </c>
      <c r="N801" s="2" t="str">
        <f t="shared" si="4"/>
        <v/>
      </c>
    </row>
    <row r="802" ht="15.75" customHeight="1">
      <c r="A802" s="3"/>
      <c r="B802" s="2" t="str">
        <f t="shared" si="1"/>
        <v/>
      </c>
      <c r="E802" s="2"/>
      <c r="F802" s="2"/>
      <c r="G802" s="2"/>
      <c r="H802" s="2"/>
      <c r="I802" s="2"/>
      <c r="J802" s="2"/>
      <c r="K802" s="2" t="str">
        <f t="shared" si="2"/>
        <v/>
      </c>
      <c r="L802" s="2" t="str">
        <f t="shared" si="3"/>
        <v>No</v>
      </c>
      <c r="M802" s="2" t="str">
        <f>IF(K802="","",F802*VLOOKUP(E802,WEIGHTS!$A$2:$F$4,2,FALSE)+G802*VLOOKUP(E802,WEIGHTS!$A$2:$F$4,3,FALSE)+H802*VLOOKUP(E802,WEIGHTS!$A$2:$F$4,4,FALSE)+I802*VLOOKUP(E802,WEIGHTS!$A$2:$F$4,5,FALSE)+J802*VLOOKUP(E802,WEIGHTS!$A$2:$F$4,6,FALSE))</f>
        <v/>
      </c>
      <c r="N802" s="2" t="str">
        <f t="shared" si="4"/>
        <v/>
      </c>
    </row>
    <row r="803" ht="15.75" customHeight="1">
      <c r="A803" s="3"/>
      <c r="B803" s="2" t="str">
        <f t="shared" si="1"/>
        <v/>
      </c>
      <c r="E803" s="2"/>
      <c r="F803" s="2"/>
      <c r="G803" s="2"/>
      <c r="H803" s="2"/>
      <c r="I803" s="2"/>
      <c r="J803" s="2"/>
      <c r="K803" s="2" t="str">
        <f t="shared" si="2"/>
        <v/>
      </c>
      <c r="L803" s="2" t="str">
        <f t="shared" si="3"/>
        <v>No</v>
      </c>
      <c r="M803" s="2" t="str">
        <f>IF(K803="","",F803*VLOOKUP(E803,WEIGHTS!$A$2:$F$4,2,FALSE)+G803*VLOOKUP(E803,WEIGHTS!$A$2:$F$4,3,FALSE)+H803*VLOOKUP(E803,WEIGHTS!$A$2:$F$4,4,FALSE)+I803*VLOOKUP(E803,WEIGHTS!$A$2:$F$4,5,FALSE)+J803*VLOOKUP(E803,WEIGHTS!$A$2:$F$4,6,FALSE))</f>
        <v/>
      </c>
      <c r="N803" s="2" t="str">
        <f t="shared" si="4"/>
        <v/>
      </c>
    </row>
    <row r="804" ht="15.75" customHeight="1">
      <c r="A804" s="3"/>
      <c r="B804" s="2" t="str">
        <f t="shared" si="1"/>
        <v/>
      </c>
      <c r="E804" s="2"/>
      <c r="F804" s="2"/>
      <c r="G804" s="2"/>
      <c r="H804" s="2"/>
      <c r="I804" s="2"/>
      <c r="J804" s="2"/>
      <c r="K804" s="2" t="str">
        <f t="shared" si="2"/>
        <v/>
      </c>
      <c r="L804" s="2" t="str">
        <f t="shared" si="3"/>
        <v>No</v>
      </c>
      <c r="M804" s="2" t="str">
        <f>IF(K804="","",F804*VLOOKUP(E804,WEIGHTS!$A$2:$F$4,2,FALSE)+G804*VLOOKUP(E804,WEIGHTS!$A$2:$F$4,3,FALSE)+H804*VLOOKUP(E804,WEIGHTS!$A$2:$F$4,4,FALSE)+I804*VLOOKUP(E804,WEIGHTS!$A$2:$F$4,5,FALSE)+J804*VLOOKUP(E804,WEIGHTS!$A$2:$F$4,6,FALSE))</f>
        <v/>
      </c>
      <c r="N804" s="2" t="str">
        <f t="shared" si="4"/>
        <v/>
      </c>
    </row>
    <row r="805" ht="15.75" customHeight="1">
      <c r="A805" s="3"/>
      <c r="B805" s="2" t="str">
        <f t="shared" si="1"/>
        <v/>
      </c>
      <c r="E805" s="2"/>
      <c r="F805" s="2"/>
      <c r="G805" s="2"/>
      <c r="H805" s="2"/>
      <c r="I805" s="2"/>
      <c r="J805" s="2"/>
      <c r="K805" s="2" t="str">
        <f t="shared" si="2"/>
        <v/>
      </c>
      <c r="L805" s="2" t="str">
        <f t="shared" si="3"/>
        <v>No</v>
      </c>
      <c r="M805" s="2" t="str">
        <f>IF(K805="","",F805*VLOOKUP(E805,WEIGHTS!$A$2:$F$4,2,FALSE)+G805*VLOOKUP(E805,WEIGHTS!$A$2:$F$4,3,FALSE)+H805*VLOOKUP(E805,WEIGHTS!$A$2:$F$4,4,FALSE)+I805*VLOOKUP(E805,WEIGHTS!$A$2:$F$4,5,FALSE)+J805*VLOOKUP(E805,WEIGHTS!$A$2:$F$4,6,FALSE))</f>
        <v/>
      </c>
      <c r="N805" s="2" t="str">
        <f t="shared" si="4"/>
        <v/>
      </c>
    </row>
    <row r="806" ht="15.75" customHeight="1">
      <c r="A806" s="3"/>
      <c r="B806" s="2" t="str">
        <f t="shared" si="1"/>
        <v/>
      </c>
      <c r="E806" s="2"/>
      <c r="F806" s="2"/>
      <c r="G806" s="2"/>
      <c r="H806" s="2"/>
      <c r="I806" s="2"/>
      <c r="J806" s="2"/>
      <c r="K806" s="2" t="str">
        <f t="shared" si="2"/>
        <v/>
      </c>
      <c r="L806" s="2" t="str">
        <f t="shared" si="3"/>
        <v>No</v>
      </c>
      <c r="M806" s="2" t="str">
        <f>IF(K806="","",F806*VLOOKUP(E806,WEIGHTS!$A$2:$F$4,2,FALSE)+G806*VLOOKUP(E806,WEIGHTS!$A$2:$F$4,3,FALSE)+H806*VLOOKUP(E806,WEIGHTS!$A$2:$F$4,4,FALSE)+I806*VLOOKUP(E806,WEIGHTS!$A$2:$F$4,5,FALSE)+J806*VLOOKUP(E806,WEIGHTS!$A$2:$F$4,6,FALSE))</f>
        <v/>
      </c>
      <c r="N806" s="2" t="str">
        <f t="shared" si="4"/>
        <v/>
      </c>
    </row>
    <row r="807" ht="15.75" customHeight="1">
      <c r="A807" s="3"/>
      <c r="B807" s="2" t="str">
        <f t="shared" si="1"/>
        <v/>
      </c>
      <c r="E807" s="2"/>
      <c r="F807" s="2"/>
      <c r="G807" s="2"/>
      <c r="H807" s="2"/>
      <c r="I807" s="2"/>
      <c r="J807" s="2"/>
      <c r="K807" s="2" t="str">
        <f t="shared" si="2"/>
        <v/>
      </c>
      <c r="L807" s="2" t="str">
        <f t="shared" si="3"/>
        <v>No</v>
      </c>
      <c r="M807" s="2" t="str">
        <f>IF(K807="","",F807*VLOOKUP(E807,WEIGHTS!$A$2:$F$4,2,FALSE)+G807*VLOOKUP(E807,WEIGHTS!$A$2:$F$4,3,FALSE)+H807*VLOOKUP(E807,WEIGHTS!$A$2:$F$4,4,FALSE)+I807*VLOOKUP(E807,WEIGHTS!$A$2:$F$4,5,FALSE)+J807*VLOOKUP(E807,WEIGHTS!$A$2:$F$4,6,FALSE))</f>
        <v/>
      </c>
      <c r="N807" s="2" t="str">
        <f t="shared" si="4"/>
        <v/>
      </c>
    </row>
    <row r="808" ht="15.75" customHeight="1">
      <c r="A808" s="3"/>
      <c r="B808" s="2" t="str">
        <f t="shared" si="1"/>
        <v/>
      </c>
      <c r="E808" s="2"/>
      <c r="F808" s="2"/>
      <c r="G808" s="2"/>
      <c r="H808" s="2"/>
      <c r="I808" s="2"/>
      <c r="J808" s="2"/>
      <c r="K808" s="2" t="str">
        <f t="shared" si="2"/>
        <v/>
      </c>
      <c r="L808" s="2" t="str">
        <f t="shared" si="3"/>
        <v>No</v>
      </c>
      <c r="M808" s="2" t="str">
        <f>IF(K808="","",F808*VLOOKUP(E808,WEIGHTS!$A$2:$F$4,2,FALSE)+G808*VLOOKUP(E808,WEIGHTS!$A$2:$F$4,3,FALSE)+H808*VLOOKUP(E808,WEIGHTS!$A$2:$F$4,4,FALSE)+I808*VLOOKUP(E808,WEIGHTS!$A$2:$F$4,5,FALSE)+J808*VLOOKUP(E808,WEIGHTS!$A$2:$F$4,6,FALSE))</f>
        <v/>
      </c>
      <c r="N808" s="2" t="str">
        <f t="shared" si="4"/>
        <v/>
      </c>
    </row>
    <row r="809" ht="15.75" customHeight="1">
      <c r="A809" s="3"/>
      <c r="B809" s="2" t="str">
        <f t="shared" si="1"/>
        <v/>
      </c>
      <c r="E809" s="2"/>
      <c r="F809" s="2"/>
      <c r="G809" s="2"/>
      <c r="H809" s="2"/>
      <c r="I809" s="2"/>
      <c r="J809" s="2"/>
      <c r="K809" s="2" t="str">
        <f t="shared" si="2"/>
        <v/>
      </c>
      <c r="L809" s="2" t="str">
        <f t="shared" si="3"/>
        <v>No</v>
      </c>
      <c r="M809" s="2" t="str">
        <f>IF(K809="","",F809*VLOOKUP(E809,WEIGHTS!$A$2:$F$4,2,FALSE)+G809*VLOOKUP(E809,WEIGHTS!$A$2:$F$4,3,FALSE)+H809*VLOOKUP(E809,WEIGHTS!$A$2:$F$4,4,FALSE)+I809*VLOOKUP(E809,WEIGHTS!$A$2:$F$4,5,FALSE)+J809*VLOOKUP(E809,WEIGHTS!$A$2:$F$4,6,FALSE))</f>
        <v/>
      </c>
      <c r="N809" s="2" t="str">
        <f t="shared" si="4"/>
        <v/>
      </c>
    </row>
    <row r="810" ht="15.75" customHeight="1">
      <c r="A810" s="3"/>
      <c r="B810" s="2" t="str">
        <f t="shared" si="1"/>
        <v/>
      </c>
      <c r="E810" s="2"/>
      <c r="F810" s="2"/>
      <c r="G810" s="2"/>
      <c r="H810" s="2"/>
      <c r="I810" s="2"/>
      <c r="J810" s="2"/>
      <c r="K810" s="2" t="str">
        <f t="shared" si="2"/>
        <v/>
      </c>
      <c r="L810" s="2" t="str">
        <f t="shared" si="3"/>
        <v>No</v>
      </c>
      <c r="M810" s="2" t="str">
        <f>IF(K810="","",F810*VLOOKUP(E810,WEIGHTS!$A$2:$F$4,2,FALSE)+G810*VLOOKUP(E810,WEIGHTS!$A$2:$F$4,3,FALSE)+H810*VLOOKUP(E810,WEIGHTS!$A$2:$F$4,4,FALSE)+I810*VLOOKUP(E810,WEIGHTS!$A$2:$F$4,5,FALSE)+J810*VLOOKUP(E810,WEIGHTS!$A$2:$F$4,6,FALSE))</f>
        <v/>
      </c>
      <c r="N810" s="2" t="str">
        <f t="shared" si="4"/>
        <v/>
      </c>
    </row>
    <row r="811" ht="15.75" customHeight="1">
      <c r="A811" s="3"/>
      <c r="B811" s="2" t="str">
        <f t="shared" si="1"/>
        <v/>
      </c>
      <c r="E811" s="2"/>
      <c r="F811" s="2"/>
      <c r="G811" s="2"/>
      <c r="H811" s="2"/>
      <c r="I811" s="2"/>
      <c r="J811" s="2"/>
      <c r="K811" s="2" t="str">
        <f t="shared" si="2"/>
        <v/>
      </c>
      <c r="L811" s="2" t="str">
        <f t="shared" si="3"/>
        <v>No</v>
      </c>
      <c r="M811" s="2" t="str">
        <f>IF(K811="","",F811*VLOOKUP(E811,WEIGHTS!$A$2:$F$4,2,FALSE)+G811*VLOOKUP(E811,WEIGHTS!$A$2:$F$4,3,FALSE)+H811*VLOOKUP(E811,WEIGHTS!$A$2:$F$4,4,FALSE)+I811*VLOOKUP(E811,WEIGHTS!$A$2:$F$4,5,FALSE)+J811*VLOOKUP(E811,WEIGHTS!$A$2:$F$4,6,FALSE))</f>
        <v/>
      </c>
      <c r="N811" s="2" t="str">
        <f t="shared" si="4"/>
        <v/>
      </c>
    </row>
    <row r="812" ht="15.75" customHeight="1">
      <c r="A812" s="3"/>
      <c r="B812" s="2" t="str">
        <f t="shared" si="1"/>
        <v/>
      </c>
      <c r="E812" s="2"/>
      <c r="F812" s="2"/>
      <c r="G812" s="2"/>
      <c r="H812" s="2"/>
      <c r="I812" s="2"/>
      <c r="J812" s="2"/>
      <c r="K812" s="2" t="str">
        <f t="shared" si="2"/>
        <v/>
      </c>
      <c r="L812" s="2" t="str">
        <f t="shared" si="3"/>
        <v>No</v>
      </c>
      <c r="M812" s="2" t="str">
        <f>IF(K812="","",F812*VLOOKUP(E812,WEIGHTS!$A$2:$F$4,2,FALSE)+G812*VLOOKUP(E812,WEIGHTS!$A$2:$F$4,3,FALSE)+H812*VLOOKUP(E812,WEIGHTS!$A$2:$F$4,4,FALSE)+I812*VLOOKUP(E812,WEIGHTS!$A$2:$F$4,5,FALSE)+J812*VLOOKUP(E812,WEIGHTS!$A$2:$F$4,6,FALSE))</f>
        <v/>
      </c>
      <c r="N812" s="2" t="str">
        <f t="shared" si="4"/>
        <v/>
      </c>
    </row>
    <row r="813" ht="15.75" customHeight="1">
      <c r="A813" s="3"/>
      <c r="B813" s="2" t="str">
        <f t="shared" si="1"/>
        <v/>
      </c>
      <c r="E813" s="2"/>
      <c r="F813" s="2"/>
      <c r="G813" s="2"/>
      <c r="H813" s="2"/>
      <c r="I813" s="2"/>
      <c r="J813" s="2"/>
      <c r="K813" s="2" t="str">
        <f t="shared" si="2"/>
        <v/>
      </c>
      <c r="L813" s="2" t="str">
        <f t="shared" si="3"/>
        <v>No</v>
      </c>
      <c r="M813" s="2" t="str">
        <f>IF(K813="","",F813*VLOOKUP(E813,WEIGHTS!$A$2:$F$4,2,FALSE)+G813*VLOOKUP(E813,WEIGHTS!$A$2:$F$4,3,FALSE)+H813*VLOOKUP(E813,WEIGHTS!$A$2:$F$4,4,FALSE)+I813*VLOOKUP(E813,WEIGHTS!$A$2:$F$4,5,FALSE)+J813*VLOOKUP(E813,WEIGHTS!$A$2:$F$4,6,FALSE))</f>
        <v/>
      </c>
      <c r="N813" s="2" t="str">
        <f t="shared" si="4"/>
        <v/>
      </c>
    </row>
    <row r="814" ht="15.75" customHeight="1">
      <c r="A814" s="3"/>
      <c r="B814" s="2" t="str">
        <f t="shared" si="1"/>
        <v/>
      </c>
      <c r="E814" s="2"/>
      <c r="F814" s="2"/>
      <c r="G814" s="2"/>
      <c r="H814" s="2"/>
      <c r="I814" s="2"/>
      <c r="J814" s="2"/>
      <c r="K814" s="2" t="str">
        <f t="shared" si="2"/>
        <v/>
      </c>
      <c r="L814" s="2" t="str">
        <f t="shared" si="3"/>
        <v>No</v>
      </c>
      <c r="M814" s="2" t="str">
        <f>IF(K814="","",F814*VLOOKUP(E814,WEIGHTS!$A$2:$F$4,2,FALSE)+G814*VLOOKUP(E814,WEIGHTS!$A$2:$F$4,3,FALSE)+H814*VLOOKUP(E814,WEIGHTS!$A$2:$F$4,4,FALSE)+I814*VLOOKUP(E814,WEIGHTS!$A$2:$F$4,5,FALSE)+J814*VLOOKUP(E814,WEIGHTS!$A$2:$F$4,6,FALSE))</f>
        <v/>
      </c>
      <c r="N814" s="2" t="str">
        <f t="shared" si="4"/>
        <v/>
      </c>
    </row>
    <row r="815" ht="15.75" customHeight="1">
      <c r="A815" s="3"/>
      <c r="B815" s="2" t="str">
        <f t="shared" si="1"/>
        <v/>
      </c>
      <c r="E815" s="2"/>
      <c r="F815" s="2"/>
      <c r="G815" s="2"/>
      <c r="H815" s="2"/>
      <c r="I815" s="2"/>
      <c r="J815" s="2"/>
      <c r="K815" s="2" t="str">
        <f t="shared" si="2"/>
        <v/>
      </c>
      <c r="L815" s="2" t="str">
        <f t="shared" si="3"/>
        <v>No</v>
      </c>
      <c r="M815" s="2" t="str">
        <f>IF(K815="","",F815*VLOOKUP(E815,WEIGHTS!$A$2:$F$4,2,FALSE)+G815*VLOOKUP(E815,WEIGHTS!$A$2:$F$4,3,FALSE)+H815*VLOOKUP(E815,WEIGHTS!$A$2:$F$4,4,FALSE)+I815*VLOOKUP(E815,WEIGHTS!$A$2:$F$4,5,FALSE)+J815*VLOOKUP(E815,WEIGHTS!$A$2:$F$4,6,FALSE))</f>
        <v/>
      </c>
      <c r="N815" s="2" t="str">
        <f t="shared" si="4"/>
        <v/>
      </c>
    </row>
    <row r="816" ht="15.75" customHeight="1">
      <c r="A816" s="3"/>
      <c r="B816" s="2" t="str">
        <f t="shared" si="1"/>
        <v/>
      </c>
      <c r="E816" s="2"/>
      <c r="F816" s="2"/>
      <c r="G816" s="2"/>
      <c r="H816" s="2"/>
      <c r="I816" s="2"/>
      <c r="J816" s="2"/>
      <c r="K816" s="2" t="str">
        <f t="shared" si="2"/>
        <v/>
      </c>
      <c r="L816" s="2" t="str">
        <f t="shared" si="3"/>
        <v>No</v>
      </c>
      <c r="M816" s="2" t="str">
        <f>IF(K816="","",F816*VLOOKUP(E816,WEIGHTS!$A$2:$F$4,2,FALSE)+G816*VLOOKUP(E816,WEIGHTS!$A$2:$F$4,3,FALSE)+H816*VLOOKUP(E816,WEIGHTS!$A$2:$F$4,4,FALSE)+I816*VLOOKUP(E816,WEIGHTS!$A$2:$F$4,5,FALSE)+J816*VLOOKUP(E816,WEIGHTS!$A$2:$F$4,6,FALSE))</f>
        <v/>
      </c>
      <c r="N816" s="2" t="str">
        <f t="shared" si="4"/>
        <v/>
      </c>
    </row>
    <row r="817" ht="15.75" customHeight="1">
      <c r="A817" s="3"/>
      <c r="B817" s="2" t="str">
        <f t="shared" si="1"/>
        <v/>
      </c>
      <c r="E817" s="2"/>
      <c r="F817" s="2"/>
      <c r="G817" s="2"/>
      <c r="H817" s="2"/>
      <c r="I817" s="2"/>
      <c r="J817" s="2"/>
      <c r="K817" s="2" t="str">
        <f t="shared" si="2"/>
        <v/>
      </c>
      <c r="L817" s="2" t="str">
        <f t="shared" si="3"/>
        <v>No</v>
      </c>
      <c r="M817" s="2" t="str">
        <f>IF(K817="","",F817*VLOOKUP(E817,WEIGHTS!$A$2:$F$4,2,FALSE)+G817*VLOOKUP(E817,WEIGHTS!$A$2:$F$4,3,FALSE)+H817*VLOOKUP(E817,WEIGHTS!$A$2:$F$4,4,FALSE)+I817*VLOOKUP(E817,WEIGHTS!$A$2:$F$4,5,FALSE)+J817*VLOOKUP(E817,WEIGHTS!$A$2:$F$4,6,FALSE))</f>
        <v/>
      </c>
      <c r="N817" s="2" t="str">
        <f t="shared" si="4"/>
        <v/>
      </c>
    </row>
    <row r="818" ht="15.75" customHeight="1">
      <c r="A818" s="3"/>
      <c r="B818" s="2" t="str">
        <f t="shared" si="1"/>
        <v/>
      </c>
      <c r="E818" s="2"/>
      <c r="F818" s="2"/>
      <c r="G818" s="2"/>
      <c r="H818" s="2"/>
      <c r="I818" s="2"/>
      <c r="J818" s="2"/>
      <c r="K818" s="2" t="str">
        <f t="shared" si="2"/>
        <v/>
      </c>
      <c r="L818" s="2" t="str">
        <f t="shared" si="3"/>
        <v>No</v>
      </c>
      <c r="M818" s="2" t="str">
        <f>IF(K818="","",F818*VLOOKUP(E818,WEIGHTS!$A$2:$F$4,2,FALSE)+G818*VLOOKUP(E818,WEIGHTS!$A$2:$F$4,3,FALSE)+H818*VLOOKUP(E818,WEIGHTS!$A$2:$F$4,4,FALSE)+I818*VLOOKUP(E818,WEIGHTS!$A$2:$F$4,5,FALSE)+J818*VLOOKUP(E818,WEIGHTS!$A$2:$F$4,6,FALSE))</f>
        <v/>
      </c>
      <c r="N818" s="2" t="str">
        <f t="shared" si="4"/>
        <v/>
      </c>
    </row>
    <row r="819" ht="15.75" customHeight="1">
      <c r="A819" s="3"/>
      <c r="B819" s="2" t="str">
        <f t="shared" si="1"/>
        <v/>
      </c>
      <c r="E819" s="2"/>
      <c r="F819" s="2"/>
      <c r="G819" s="2"/>
      <c r="H819" s="2"/>
      <c r="I819" s="2"/>
      <c r="J819" s="2"/>
      <c r="K819" s="2" t="str">
        <f t="shared" si="2"/>
        <v/>
      </c>
      <c r="L819" s="2" t="str">
        <f t="shared" si="3"/>
        <v>No</v>
      </c>
      <c r="M819" s="2" t="str">
        <f>IF(K819="","",F819*VLOOKUP(E819,WEIGHTS!$A$2:$F$4,2,FALSE)+G819*VLOOKUP(E819,WEIGHTS!$A$2:$F$4,3,FALSE)+H819*VLOOKUP(E819,WEIGHTS!$A$2:$F$4,4,FALSE)+I819*VLOOKUP(E819,WEIGHTS!$A$2:$F$4,5,FALSE)+J819*VLOOKUP(E819,WEIGHTS!$A$2:$F$4,6,FALSE))</f>
        <v/>
      </c>
      <c r="N819" s="2" t="str">
        <f t="shared" si="4"/>
        <v/>
      </c>
    </row>
    <row r="820" ht="15.75" customHeight="1">
      <c r="A820" s="3"/>
      <c r="B820" s="2" t="str">
        <f t="shared" si="1"/>
        <v/>
      </c>
      <c r="E820" s="2"/>
      <c r="F820" s="2"/>
      <c r="G820" s="2"/>
      <c r="H820" s="2"/>
      <c r="I820" s="2"/>
      <c r="J820" s="2"/>
      <c r="K820" s="2" t="str">
        <f t="shared" si="2"/>
        <v/>
      </c>
      <c r="L820" s="2" t="str">
        <f t="shared" si="3"/>
        <v>No</v>
      </c>
      <c r="M820" s="2" t="str">
        <f>IF(K820="","",F820*VLOOKUP(E820,WEIGHTS!$A$2:$F$4,2,FALSE)+G820*VLOOKUP(E820,WEIGHTS!$A$2:$F$4,3,FALSE)+H820*VLOOKUP(E820,WEIGHTS!$A$2:$F$4,4,FALSE)+I820*VLOOKUP(E820,WEIGHTS!$A$2:$F$4,5,FALSE)+J820*VLOOKUP(E820,WEIGHTS!$A$2:$F$4,6,FALSE))</f>
        <v/>
      </c>
      <c r="N820" s="2" t="str">
        <f t="shared" si="4"/>
        <v/>
      </c>
    </row>
    <row r="821" ht="15.75" customHeight="1">
      <c r="A821" s="3"/>
      <c r="B821" s="2" t="str">
        <f t="shared" si="1"/>
        <v/>
      </c>
      <c r="E821" s="2"/>
      <c r="F821" s="2"/>
      <c r="G821" s="2"/>
      <c r="H821" s="2"/>
      <c r="I821" s="2"/>
      <c r="J821" s="2"/>
      <c r="K821" s="2" t="str">
        <f t="shared" si="2"/>
        <v/>
      </c>
      <c r="L821" s="2" t="str">
        <f t="shared" si="3"/>
        <v>No</v>
      </c>
      <c r="M821" s="2" t="str">
        <f>IF(K821="","",F821*VLOOKUP(E821,WEIGHTS!$A$2:$F$4,2,FALSE)+G821*VLOOKUP(E821,WEIGHTS!$A$2:$F$4,3,FALSE)+H821*VLOOKUP(E821,WEIGHTS!$A$2:$F$4,4,FALSE)+I821*VLOOKUP(E821,WEIGHTS!$A$2:$F$4,5,FALSE)+J821*VLOOKUP(E821,WEIGHTS!$A$2:$F$4,6,FALSE))</f>
        <v/>
      </c>
      <c r="N821" s="2" t="str">
        <f t="shared" si="4"/>
        <v/>
      </c>
    </row>
    <row r="822" ht="15.75" customHeight="1">
      <c r="A822" s="3"/>
      <c r="B822" s="2" t="str">
        <f t="shared" si="1"/>
        <v/>
      </c>
      <c r="E822" s="2"/>
      <c r="F822" s="2"/>
      <c r="G822" s="2"/>
      <c r="H822" s="2"/>
      <c r="I822" s="2"/>
      <c r="J822" s="2"/>
      <c r="K822" s="2" t="str">
        <f t="shared" si="2"/>
        <v/>
      </c>
      <c r="L822" s="2" t="str">
        <f t="shared" si="3"/>
        <v>No</v>
      </c>
      <c r="M822" s="2" t="str">
        <f>IF(K822="","",F822*VLOOKUP(E822,WEIGHTS!$A$2:$F$4,2,FALSE)+G822*VLOOKUP(E822,WEIGHTS!$A$2:$F$4,3,FALSE)+H822*VLOOKUP(E822,WEIGHTS!$A$2:$F$4,4,FALSE)+I822*VLOOKUP(E822,WEIGHTS!$A$2:$F$4,5,FALSE)+J822*VLOOKUP(E822,WEIGHTS!$A$2:$F$4,6,FALSE))</f>
        <v/>
      </c>
      <c r="N822" s="2" t="str">
        <f t="shared" si="4"/>
        <v/>
      </c>
    </row>
    <row r="823" ht="15.75" customHeight="1">
      <c r="A823" s="3"/>
      <c r="B823" s="2" t="str">
        <f t="shared" si="1"/>
        <v/>
      </c>
      <c r="E823" s="2"/>
      <c r="F823" s="2"/>
      <c r="G823" s="2"/>
      <c r="H823" s="2"/>
      <c r="I823" s="2"/>
      <c r="J823" s="2"/>
      <c r="K823" s="2" t="str">
        <f t="shared" si="2"/>
        <v/>
      </c>
      <c r="L823" s="2" t="str">
        <f t="shared" si="3"/>
        <v>No</v>
      </c>
      <c r="M823" s="2" t="str">
        <f>IF(K823="","",F823*VLOOKUP(E823,WEIGHTS!$A$2:$F$4,2,FALSE)+G823*VLOOKUP(E823,WEIGHTS!$A$2:$F$4,3,FALSE)+H823*VLOOKUP(E823,WEIGHTS!$A$2:$F$4,4,FALSE)+I823*VLOOKUP(E823,WEIGHTS!$A$2:$F$4,5,FALSE)+J823*VLOOKUP(E823,WEIGHTS!$A$2:$F$4,6,FALSE))</f>
        <v/>
      </c>
      <c r="N823" s="2" t="str">
        <f t="shared" si="4"/>
        <v/>
      </c>
    </row>
    <row r="824" ht="15.75" customHeight="1">
      <c r="A824" s="3"/>
      <c r="B824" s="2" t="str">
        <f t="shared" si="1"/>
        <v/>
      </c>
      <c r="E824" s="2"/>
      <c r="F824" s="2"/>
      <c r="G824" s="2"/>
      <c r="H824" s="2"/>
      <c r="I824" s="2"/>
      <c r="J824" s="2"/>
      <c r="K824" s="2" t="str">
        <f t="shared" si="2"/>
        <v/>
      </c>
      <c r="L824" s="2" t="str">
        <f t="shared" si="3"/>
        <v>No</v>
      </c>
      <c r="M824" s="2" t="str">
        <f>IF(K824="","",F824*VLOOKUP(E824,WEIGHTS!$A$2:$F$4,2,FALSE)+G824*VLOOKUP(E824,WEIGHTS!$A$2:$F$4,3,FALSE)+H824*VLOOKUP(E824,WEIGHTS!$A$2:$F$4,4,FALSE)+I824*VLOOKUP(E824,WEIGHTS!$A$2:$F$4,5,FALSE)+J824*VLOOKUP(E824,WEIGHTS!$A$2:$F$4,6,FALSE))</f>
        <v/>
      </c>
      <c r="N824" s="2" t="str">
        <f t="shared" si="4"/>
        <v/>
      </c>
    </row>
    <row r="825" ht="15.75" customHeight="1">
      <c r="A825" s="3"/>
      <c r="B825" s="2" t="str">
        <f t="shared" si="1"/>
        <v/>
      </c>
      <c r="E825" s="2"/>
      <c r="F825" s="2"/>
      <c r="G825" s="2"/>
      <c r="H825" s="2"/>
      <c r="I825" s="2"/>
      <c r="J825" s="2"/>
      <c r="K825" s="2" t="str">
        <f t="shared" si="2"/>
        <v/>
      </c>
      <c r="L825" s="2" t="str">
        <f t="shared" si="3"/>
        <v>No</v>
      </c>
      <c r="M825" s="2" t="str">
        <f>IF(K825="","",F825*VLOOKUP(E825,WEIGHTS!$A$2:$F$4,2,FALSE)+G825*VLOOKUP(E825,WEIGHTS!$A$2:$F$4,3,FALSE)+H825*VLOOKUP(E825,WEIGHTS!$A$2:$F$4,4,FALSE)+I825*VLOOKUP(E825,WEIGHTS!$A$2:$F$4,5,FALSE)+J825*VLOOKUP(E825,WEIGHTS!$A$2:$F$4,6,FALSE))</f>
        <v/>
      </c>
      <c r="N825" s="2" t="str">
        <f t="shared" si="4"/>
        <v/>
      </c>
    </row>
    <row r="826" ht="15.75" customHeight="1">
      <c r="A826" s="3"/>
      <c r="B826" s="2" t="str">
        <f t="shared" si="1"/>
        <v/>
      </c>
      <c r="E826" s="2"/>
      <c r="F826" s="2"/>
      <c r="G826" s="2"/>
      <c r="H826" s="2"/>
      <c r="I826" s="2"/>
      <c r="J826" s="2"/>
      <c r="K826" s="2" t="str">
        <f t="shared" si="2"/>
        <v/>
      </c>
      <c r="L826" s="2" t="str">
        <f t="shared" si="3"/>
        <v>No</v>
      </c>
      <c r="M826" s="2" t="str">
        <f>IF(K826="","",F826*VLOOKUP(E826,WEIGHTS!$A$2:$F$4,2,FALSE)+G826*VLOOKUP(E826,WEIGHTS!$A$2:$F$4,3,FALSE)+H826*VLOOKUP(E826,WEIGHTS!$A$2:$F$4,4,FALSE)+I826*VLOOKUP(E826,WEIGHTS!$A$2:$F$4,5,FALSE)+J826*VLOOKUP(E826,WEIGHTS!$A$2:$F$4,6,FALSE))</f>
        <v/>
      </c>
      <c r="N826" s="2" t="str">
        <f t="shared" si="4"/>
        <v/>
      </c>
    </row>
    <row r="827" ht="15.75" customHeight="1">
      <c r="A827" s="3"/>
      <c r="B827" s="2" t="str">
        <f t="shared" si="1"/>
        <v/>
      </c>
      <c r="E827" s="2"/>
      <c r="F827" s="2"/>
      <c r="G827" s="2"/>
      <c r="H827" s="2"/>
      <c r="I827" s="2"/>
      <c r="J827" s="2"/>
      <c r="K827" s="2" t="str">
        <f t="shared" si="2"/>
        <v/>
      </c>
      <c r="L827" s="2" t="str">
        <f t="shared" si="3"/>
        <v>No</v>
      </c>
      <c r="M827" s="2" t="str">
        <f>IF(K827="","",F827*VLOOKUP(E827,WEIGHTS!$A$2:$F$4,2,FALSE)+G827*VLOOKUP(E827,WEIGHTS!$A$2:$F$4,3,FALSE)+H827*VLOOKUP(E827,WEIGHTS!$A$2:$F$4,4,FALSE)+I827*VLOOKUP(E827,WEIGHTS!$A$2:$F$4,5,FALSE)+J827*VLOOKUP(E827,WEIGHTS!$A$2:$F$4,6,FALSE))</f>
        <v/>
      </c>
      <c r="N827" s="2" t="str">
        <f t="shared" si="4"/>
        <v/>
      </c>
    </row>
    <row r="828" ht="15.75" customHeight="1">
      <c r="A828" s="3"/>
      <c r="B828" s="2" t="str">
        <f t="shared" si="1"/>
        <v/>
      </c>
      <c r="E828" s="2"/>
      <c r="F828" s="2"/>
      <c r="G828" s="2"/>
      <c r="H828" s="2"/>
      <c r="I828" s="2"/>
      <c r="J828" s="2"/>
      <c r="K828" s="2" t="str">
        <f t="shared" si="2"/>
        <v/>
      </c>
      <c r="L828" s="2" t="str">
        <f t="shared" si="3"/>
        <v>No</v>
      </c>
      <c r="M828" s="2" t="str">
        <f>IF(K828="","",F828*VLOOKUP(E828,WEIGHTS!$A$2:$F$4,2,FALSE)+G828*VLOOKUP(E828,WEIGHTS!$A$2:$F$4,3,FALSE)+H828*VLOOKUP(E828,WEIGHTS!$A$2:$F$4,4,FALSE)+I828*VLOOKUP(E828,WEIGHTS!$A$2:$F$4,5,FALSE)+J828*VLOOKUP(E828,WEIGHTS!$A$2:$F$4,6,FALSE))</f>
        <v/>
      </c>
      <c r="N828" s="2" t="str">
        <f t="shared" si="4"/>
        <v/>
      </c>
    </row>
    <row r="829" ht="15.75" customHeight="1">
      <c r="A829" s="3"/>
      <c r="B829" s="2" t="str">
        <f t="shared" si="1"/>
        <v/>
      </c>
      <c r="E829" s="2"/>
      <c r="F829" s="2"/>
      <c r="G829" s="2"/>
      <c r="H829" s="2"/>
      <c r="I829" s="2"/>
      <c r="J829" s="2"/>
      <c r="K829" s="2" t="str">
        <f t="shared" si="2"/>
        <v/>
      </c>
      <c r="L829" s="2" t="str">
        <f t="shared" si="3"/>
        <v>No</v>
      </c>
      <c r="M829" s="2" t="str">
        <f>IF(K829="","",F829*VLOOKUP(E829,WEIGHTS!$A$2:$F$4,2,FALSE)+G829*VLOOKUP(E829,WEIGHTS!$A$2:$F$4,3,FALSE)+H829*VLOOKUP(E829,WEIGHTS!$A$2:$F$4,4,FALSE)+I829*VLOOKUP(E829,WEIGHTS!$A$2:$F$4,5,FALSE)+J829*VLOOKUP(E829,WEIGHTS!$A$2:$F$4,6,FALSE))</f>
        <v/>
      </c>
      <c r="N829" s="2" t="str">
        <f t="shared" si="4"/>
        <v/>
      </c>
    </row>
    <row r="830" ht="15.75" customHeight="1">
      <c r="A830" s="3"/>
      <c r="B830" s="2" t="str">
        <f t="shared" si="1"/>
        <v/>
      </c>
      <c r="E830" s="2"/>
      <c r="F830" s="2"/>
      <c r="G830" s="2"/>
      <c r="H830" s="2"/>
      <c r="I830" s="2"/>
      <c r="J830" s="2"/>
      <c r="K830" s="2" t="str">
        <f t="shared" si="2"/>
        <v/>
      </c>
      <c r="L830" s="2" t="str">
        <f t="shared" si="3"/>
        <v>No</v>
      </c>
      <c r="M830" s="2" t="str">
        <f>IF(K830="","",F830*VLOOKUP(E830,WEIGHTS!$A$2:$F$4,2,FALSE)+G830*VLOOKUP(E830,WEIGHTS!$A$2:$F$4,3,FALSE)+H830*VLOOKUP(E830,WEIGHTS!$A$2:$F$4,4,FALSE)+I830*VLOOKUP(E830,WEIGHTS!$A$2:$F$4,5,FALSE)+J830*VLOOKUP(E830,WEIGHTS!$A$2:$F$4,6,FALSE))</f>
        <v/>
      </c>
      <c r="N830" s="2" t="str">
        <f t="shared" si="4"/>
        <v/>
      </c>
    </row>
    <row r="831" ht="15.75" customHeight="1">
      <c r="A831" s="3"/>
      <c r="B831" s="2" t="str">
        <f t="shared" si="1"/>
        <v/>
      </c>
      <c r="E831" s="2"/>
      <c r="F831" s="2"/>
      <c r="G831" s="2"/>
      <c r="H831" s="2"/>
      <c r="I831" s="2"/>
      <c r="J831" s="2"/>
      <c r="K831" s="2" t="str">
        <f t="shared" si="2"/>
        <v/>
      </c>
      <c r="L831" s="2" t="str">
        <f t="shared" si="3"/>
        <v>No</v>
      </c>
      <c r="M831" s="2" t="str">
        <f>IF(K831="","",F831*VLOOKUP(E831,WEIGHTS!$A$2:$F$4,2,FALSE)+G831*VLOOKUP(E831,WEIGHTS!$A$2:$F$4,3,FALSE)+H831*VLOOKUP(E831,WEIGHTS!$A$2:$F$4,4,FALSE)+I831*VLOOKUP(E831,WEIGHTS!$A$2:$F$4,5,FALSE)+J831*VLOOKUP(E831,WEIGHTS!$A$2:$F$4,6,FALSE))</f>
        <v/>
      </c>
      <c r="N831" s="2" t="str">
        <f t="shared" si="4"/>
        <v/>
      </c>
    </row>
    <row r="832" ht="15.75" customHeight="1">
      <c r="A832" s="3"/>
      <c r="B832" s="2" t="str">
        <f t="shared" si="1"/>
        <v/>
      </c>
      <c r="E832" s="2"/>
      <c r="F832" s="2"/>
      <c r="G832" s="2"/>
      <c r="H832" s="2"/>
      <c r="I832" s="2"/>
      <c r="J832" s="2"/>
      <c r="K832" s="2" t="str">
        <f t="shared" si="2"/>
        <v/>
      </c>
      <c r="L832" s="2" t="str">
        <f t="shared" si="3"/>
        <v>No</v>
      </c>
      <c r="M832" s="2" t="str">
        <f>IF(K832="","",F832*VLOOKUP(E832,WEIGHTS!$A$2:$F$4,2,FALSE)+G832*VLOOKUP(E832,WEIGHTS!$A$2:$F$4,3,FALSE)+H832*VLOOKUP(E832,WEIGHTS!$A$2:$F$4,4,FALSE)+I832*VLOOKUP(E832,WEIGHTS!$A$2:$F$4,5,FALSE)+J832*VLOOKUP(E832,WEIGHTS!$A$2:$F$4,6,FALSE))</f>
        <v/>
      </c>
      <c r="N832" s="2" t="str">
        <f t="shared" si="4"/>
        <v/>
      </c>
    </row>
    <row r="833" ht="15.75" customHeight="1">
      <c r="A833" s="3"/>
      <c r="B833" s="2" t="str">
        <f t="shared" si="1"/>
        <v/>
      </c>
      <c r="E833" s="2"/>
      <c r="F833" s="2"/>
      <c r="G833" s="2"/>
      <c r="H833" s="2"/>
      <c r="I833" s="2"/>
      <c r="J833" s="2"/>
      <c r="K833" s="2" t="str">
        <f t="shared" si="2"/>
        <v/>
      </c>
      <c r="L833" s="2" t="str">
        <f t="shared" si="3"/>
        <v>No</v>
      </c>
      <c r="M833" s="2" t="str">
        <f>IF(K833="","",F833*VLOOKUP(E833,WEIGHTS!$A$2:$F$4,2,FALSE)+G833*VLOOKUP(E833,WEIGHTS!$A$2:$F$4,3,FALSE)+H833*VLOOKUP(E833,WEIGHTS!$A$2:$F$4,4,FALSE)+I833*VLOOKUP(E833,WEIGHTS!$A$2:$F$4,5,FALSE)+J833*VLOOKUP(E833,WEIGHTS!$A$2:$F$4,6,FALSE))</f>
        <v/>
      </c>
      <c r="N833" s="2" t="str">
        <f t="shared" si="4"/>
        <v/>
      </c>
    </row>
    <row r="834" ht="15.75" customHeight="1">
      <c r="A834" s="3"/>
      <c r="B834" s="2" t="str">
        <f t="shared" si="1"/>
        <v/>
      </c>
      <c r="E834" s="2"/>
      <c r="F834" s="2"/>
      <c r="G834" s="2"/>
      <c r="H834" s="2"/>
      <c r="I834" s="2"/>
      <c r="J834" s="2"/>
      <c r="K834" s="2" t="str">
        <f t="shared" si="2"/>
        <v/>
      </c>
      <c r="L834" s="2" t="str">
        <f t="shared" si="3"/>
        <v>No</v>
      </c>
      <c r="M834" s="2" t="str">
        <f>IF(K834="","",F834*VLOOKUP(E834,WEIGHTS!$A$2:$F$4,2,FALSE)+G834*VLOOKUP(E834,WEIGHTS!$A$2:$F$4,3,FALSE)+H834*VLOOKUP(E834,WEIGHTS!$A$2:$F$4,4,FALSE)+I834*VLOOKUP(E834,WEIGHTS!$A$2:$F$4,5,FALSE)+J834*VLOOKUP(E834,WEIGHTS!$A$2:$F$4,6,FALSE))</f>
        <v/>
      </c>
      <c r="N834" s="2" t="str">
        <f t="shared" si="4"/>
        <v/>
      </c>
    </row>
    <row r="835" ht="15.75" customHeight="1">
      <c r="A835" s="3"/>
      <c r="B835" s="2" t="str">
        <f t="shared" si="1"/>
        <v/>
      </c>
      <c r="E835" s="2"/>
      <c r="F835" s="2"/>
      <c r="G835" s="2"/>
      <c r="H835" s="2"/>
      <c r="I835" s="2"/>
      <c r="J835" s="2"/>
      <c r="K835" s="2" t="str">
        <f t="shared" si="2"/>
        <v/>
      </c>
      <c r="L835" s="2" t="str">
        <f t="shared" si="3"/>
        <v>No</v>
      </c>
      <c r="M835" s="2" t="str">
        <f>IF(K835="","",F835*VLOOKUP(E835,WEIGHTS!$A$2:$F$4,2,FALSE)+G835*VLOOKUP(E835,WEIGHTS!$A$2:$F$4,3,FALSE)+H835*VLOOKUP(E835,WEIGHTS!$A$2:$F$4,4,FALSE)+I835*VLOOKUP(E835,WEIGHTS!$A$2:$F$4,5,FALSE)+J835*VLOOKUP(E835,WEIGHTS!$A$2:$F$4,6,FALSE))</f>
        <v/>
      </c>
      <c r="N835" s="2" t="str">
        <f t="shared" si="4"/>
        <v/>
      </c>
    </row>
    <row r="836" ht="15.75" customHeight="1">
      <c r="A836" s="3"/>
      <c r="B836" s="2" t="str">
        <f t="shared" si="1"/>
        <v/>
      </c>
      <c r="E836" s="2"/>
      <c r="F836" s="2"/>
      <c r="G836" s="2"/>
      <c r="H836" s="2"/>
      <c r="I836" s="2"/>
      <c r="J836" s="2"/>
      <c r="K836" s="2" t="str">
        <f t="shared" si="2"/>
        <v/>
      </c>
      <c r="L836" s="2" t="str">
        <f t="shared" si="3"/>
        <v>No</v>
      </c>
      <c r="M836" s="2" t="str">
        <f>IF(K836="","",F836*VLOOKUP(E836,WEIGHTS!$A$2:$F$4,2,FALSE)+G836*VLOOKUP(E836,WEIGHTS!$A$2:$F$4,3,FALSE)+H836*VLOOKUP(E836,WEIGHTS!$A$2:$F$4,4,FALSE)+I836*VLOOKUP(E836,WEIGHTS!$A$2:$F$4,5,FALSE)+J836*VLOOKUP(E836,WEIGHTS!$A$2:$F$4,6,FALSE))</f>
        <v/>
      </c>
      <c r="N836" s="2" t="str">
        <f t="shared" si="4"/>
        <v/>
      </c>
    </row>
    <row r="837" ht="15.75" customHeight="1">
      <c r="A837" s="3"/>
      <c r="B837" s="2" t="str">
        <f t="shared" si="1"/>
        <v/>
      </c>
      <c r="E837" s="2"/>
      <c r="F837" s="2"/>
      <c r="G837" s="2"/>
      <c r="H837" s="2"/>
      <c r="I837" s="2"/>
      <c r="J837" s="2"/>
      <c r="K837" s="2" t="str">
        <f t="shared" si="2"/>
        <v/>
      </c>
      <c r="L837" s="2" t="str">
        <f t="shared" si="3"/>
        <v>No</v>
      </c>
      <c r="M837" s="2" t="str">
        <f>IF(K837="","",F837*VLOOKUP(E837,WEIGHTS!$A$2:$F$4,2,FALSE)+G837*VLOOKUP(E837,WEIGHTS!$A$2:$F$4,3,FALSE)+H837*VLOOKUP(E837,WEIGHTS!$A$2:$F$4,4,FALSE)+I837*VLOOKUP(E837,WEIGHTS!$A$2:$F$4,5,FALSE)+J837*VLOOKUP(E837,WEIGHTS!$A$2:$F$4,6,FALSE))</f>
        <v/>
      </c>
      <c r="N837" s="2" t="str">
        <f t="shared" si="4"/>
        <v/>
      </c>
    </row>
    <row r="838" ht="15.75" customHeight="1">
      <c r="A838" s="3"/>
      <c r="B838" s="2" t="str">
        <f t="shared" si="1"/>
        <v/>
      </c>
      <c r="E838" s="2"/>
      <c r="F838" s="2"/>
      <c r="G838" s="2"/>
      <c r="H838" s="2"/>
      <c r="I838" s="2"/>
      <c r="J838" s="2"/>
      <c r="K838" s="2" t="str">
        <f t="shared" si="2"/>
        <v/>
      </c>
      <c r="L838" s="2" t="str">
        <f t="shared" si="3"/>
        <v>No</v>
      </c>
      <c r="M838" s="2" t="str">
        <f>IF(K838="","",F838*VLOOKUP(E838,WEIGHTS!$A$2:$F$4,2,FALSE)+G838*VLOOKUP(E838,WEIGHTS!$A$2:$F$4,3,FALSE)+H838*VLOOKUP(E838,WEIGHTS!$A$2:$F$4,4,FALSE)+I838*VLOOKUP(E838,WEIGHTS!$A$2:$F$4,5,FALSE)+J838*VLOOKUP(E838,WEIGHTS!$A$2:$F$4,6,FALSE))</f>
        <v/>
      </c>
      <c r="N838" s="2" t="str">
        <f t="shared" si="4"/>
        <v/>
      </c>
    </row>
    <row r="839" ht="15.75" customHeight="1">
      <c r="A839" s="3"/>
      <c r="B839" s="2" t="str">
        <f t="shared" si="1"/>
        <v/>
      </c>
      <c r="E839" s="2"/>
      <c r="F839" s="2"/>
      <c r="G839" s="2"/>
      <c r="H839" s="2"/>
      <c r="I839" s="2"/>
      <c r="J839" s="2"/>
      <c r="K839" s="2" t="str">
        <f t="shared" si="2"/>
        <v/>
      </c>
      <c r="L839" s="2" t="str">
        <f t="shared" si="3"/>
        <v>No</v>
      </c>
      <c r="M839" s="2" t="str">
        <f>IF(K839="","",F839*VLOOKUP(E839,WEIGHTS!$A$2:$F$4,2,FALSE)+G839*VLOOKUP(E839,WEIGHTS!$A$2:$F$4,3,FALSE)+H839*VLOOKUP(E839,WEIGHTS!$A$2:$F$4,4,FALSE)+I839*VLOOKUP(E839,WEIGHTS!$A$2:$F$4,5,FALSE)+J839*VLOOKUP(E839,WEIGHTS!$A$2:$F$4,6,FALSE))</f>
        <v/>
      </c>
      <c r="N839" s="2" t="str">
        <f t="shared" si="4"/>
        <v/>
      </c>
    </row>
    <row r="840" ht="15.75" customHeight="1">
      <c r="A840" s="3"/>
      <c r="B840" s="2" t="str">
        <f t="shared" si="1"/>
        <v/>
      </c>
      <c r="E840" s="2"/>
      <c r="F840" s="2"/>
      <c r="G840" s="2"/>
      <c r="H840" s="2"/>
      <c r="I840" s="2"/>
      <c r="J840" s="2"/>
      <c r="K840" s="2" t="str">
        <f t="shared" si="2"/>
        <v/>
      </c>
      <c r="L840" s="2" t="str">
        <f t="shared" si="3"/>
        <v>No</v>
      </c>
      <c r="M840" s="2" t="str">
        <f>IF(K840="","",F840*VLOOKUP(E840,WEIGHTS!$A$2:$F$4,2,FALSE)+G840*VLOOKUP(E840,WEIGHTS!$A$2:$F$4,3,FALSE)+H840*VLOOKUP(E840,WEIGHTS!$A$2:$F$4,4,FALSE)+I840*VLOOKUP(E840,WEIGHTS!$A$2:$F$4,5,FALSE)+J840*VLOOKUP(E840,WEIGHTS!$A$2:$F$4,6,FALSE))</f>
        <v/>
      </c>
      <c r="N840" s="2" t="str">
        <f t="shared" si="4"/>
        <v/>
      </c>
    </row>
    <row r="841" ht="15.75" customHeight="1">
      <c r="A841" s="3"/>
      <c r="B841" s="2" t="str">
        <f t="shared" si="1"/>
        <v/>
      </c>
      <c r="E841" s="2"/>
      <c r="F841" s="2"/>
      <c r="G841" s="2"/>
      <c r="H841" s="2"/>
      <c r="I841" s="2"/>
      <c r="J841" s="2"/>
      <c r="K841" s="2" t="str">
        <f t="shared" si="2"/>
        <v/>
      </c>
      <c r="L841" s="2" t="str">
        <f t="shared" si="3"/>
        <v>No</v>
      </c>
      <c r="M841" s="2" t="str">
        <f>IF(K841="","",F841*VLOOKUP(E841,WEIGHTS!$A$2:$F$4,2,FALSE)+G841*VLOOKUP(E841,WEIGHTS!$A$2:$F$4,3,FALSE)+H841*VLOOKUP(E841,WEIGHTS!$A$2:$F$4,4,FALSE)+I841*VLOOKUP(E841,WEIGHTS!$A$2:$F$4,5,FALSE)+J841*VLOOKUP(E841,WEIGHTS!$A$2:$F$4,6,FALSE))</f>
        <v/>
      </c>
      <c r="N841" s="2" t="str">
        <f t="shared" si="4"/>
        <v/>
      </c>
    </row>
    <row r="842" ht="15.75" customHeight="1">
      <c r="A842" s="3"/>
      <c r="B842" s="2" t="str">
        <f t="shared" si="1"/>
        <v/>
      </c>
      <c r="E842" s="2"/>
      <c r="F842" s="2"/>
      <c r="G842" s="2"/>
      <c r="H842" s="2"/>
      <c r="I842" s="2"/>
      <c r="J842" s="2"/>
      <c r="K842" s="2" t="str">
        <f t="shared" si="2"/>
        <v/>
      </c>
      <c r="L842" s="2" t="str">
        <f t="shared" si="3"/>
        <v>No</v>
      </c>
      <c r="M842" s="2" t="str">
        <f>IF(K842="","",F842*VLOOKUP(E842,WEIGHTS!$A$2:$F$4,2,FALSE)+G842*VLOOKUP(E842,WEIGHTS!$A$2:$F$4,3,FALSE)+H842*VLOOKUP(E842,WEIGHTS!$A$2:$F$4,4,FALSE)+I842*VLOOKUP(E842,WEIGHTS!$A$2:$F$4,5,FALSE)+J842*VLOOKUP(E842,WEIGHTS!$A$2:$F$4,6,FALSE))</f>
        <v/>
      </c>
      <c r="N842" s="2" t="str">
        <f t="shared" si="4"/>
        <v/>
      </c>
    </row>
    <row r="843" ht="15.75" customHeight="1">
      <c r="A843" s="3"/>
      <c r="B843" s="2" t="str">
        <f t="shared" si="1"/>
        <v/>
      </c>
      <c r="E843" s="2"/>
      <c r="F843" s="2"/>
      <c r="G843" s="2"/>
      <c r="H843" s="2"/>
      <c r="I843" s="2"/>
      <c r="J843" s="2"/>
      <c r="K843" s="2" t="str">
        <f t="shared" si="2"/>
        <v/>
      </c>
      <c r="L843" s="2" t="str">
        <f t="shared" si="3"/>
        <v>No</v>
      </c>
      <c r="M843" s="2" t="str">
        <f>IF(K843="","",F843*VLOOKUP(E843,WEIGHTS!$A$2:$F$4,2,FALSE)+G843*VLOOKUP(E843,WEIGHTS!$A$2:$F$4,3,FALSE)+H843*VLOOKUP(E843,WEIGHTS!$A$2:$F$4,4,FALSE)+I843*VLOOKUP(E843,WEIGHTS!$A$2:$F$4,5,FALSE)+J843*VLOOKUP(E843,WEIGHTS!$A$2:$F$4,6,FALSE))</f>
        <v/>
      </c>
      <c r="N843" s="2" t="str">
        <f t="shared" si="4"/>
        <v/>
      </c>
    </row>
    <row r="844" ht="15.75" customHeight="1">
      <c r="A844" s="3"/>
      <c r="B844" s="2" t="str">
        <f t="shared" si="1"/>
        <v/>
      </c>
      <c r="E844" s="2"/>
      <c r="F844" s="2"/>
      <c r="G844" s="2"/>
      <c r="H844" s="2"/>
      <c r="I844" s="2"/>
      <c r="J844" s="2"/>
      <c r="K844" s="2" t="str">
        <f t="shared" si="2"/>
        <v/>
      </c>
      <c r="L844" s="2" t="str">
        <f t="shared" si="3"/>
        <v>No</v>
      </c>
      <c r="M844" s="2" t="str">
        <f>IF(K844="","",F844*VLOOKUP(E844,WEIGHTS!$A$2:$F$4,2,FALSE)+G844*VLOOKUP(E844,WEIGHTS!$A$2:$F$4,3,FALSE)+H844*VLOOKUP(E844,WEIGHTS!$A$2:$F$4,4,FALSE)+I844*VLOOKUP(E844,WEIGHTS!$A$2:$F$4,5,FALSE)+J844*VLOOKUP(E844,WEIGHTS!$A$2:$F$4,6,FALSE))</f>
        <v/>
      </c>
      <c r="N844" s="2" t="str">
        <f t="shared" si="4"/>
        <v/>
      </c>
    </row>
    <row r="845" ht="15.75" customHeight="1">
      <c r="A845" s="3"/>
      <c r="B845" s="2" t="str">
        <f t="shared" si="1"/>
        <v/>
      </c>
      <c r="E845" s="2"/>
      <c r="F845" s="2"/>
      <c r="G845" s="2"/>
      <c r="H845" s="2"/>
      <c r="I845" s="2"/>
      <c r="J845" s="2"/>
      <c r="K845" s="2" t="str">
        <f t="shared" si="2"/>
        <v/>
      </c>
      <c r="L845" s="2" t="str">
        <f t="shared" si="3"/>
        <v>No</v>
      </c>
      <c r="M845" s="2" t="str">
        <f>IF(K845="","",F845*VLOOKUP(E845,WEIGHTS!$A$2:$F$4,2,FALSE)+G845*VLOOKUP(E845,WEIGHTS!$A$2:$F$4,3,FALSE)+H845*VLOOKUP(E845,WEIGHTS!$A$2:$F$4,4,FALSE)+I845*VLOOKUP(E845,WEIGHTS!$A$2:$F$4,5,FALSE)+J845*VLOOKUP(E845,WEIGHTS!$A$2:$F$4,6,FALSE))</f>
        <v/>
      </c>
      <c r="N845" s="2" t="str">
        <f t="shared" si="4"/>
        <v/>
      </c>
    </row>
    <row r="846" ht="15.75" customHeight="1">
      <c r="A846" s="3"/>
      <c r="B846" s="2" t="str">
        <f t="shared" si="1"/>
        <v/>
      </c>
      <c r="E846" s="2"/>
      <c r="F846" s="2"/>
      <c r="G846" s="2"/>
      <c r="H846" s="2"/>
      <c r="I846" s="2"/>
      <c r="J846" s="2"/>
      <c r="K846" s="2" t="str">
        <f t="shared" si="2"/>
        <v/>
      </c>
      <c r="L846" s="2" t="str">
        <f t="shared" si="3"/>
        <v>No</v>
      </c>
      <c r="M846" s="2" t="str">
        <f>IF(K846="","",F846*VLOOKUP(E846,WEIGHTS!$A$2:$F$4,2,FALSE)+G846*VLOOKUP(E846,WEIGHTS!$A$2:$F$4,3,FALSE)+H846*VLOOKUP(E846,WEIGHTS!$A$2:$F$4,4,FALSE)+I846*VLOOKUP(E846,WEIGHTS!$A$2:$F$4,5,FALSE)+J846*VLOOKUP(E846,WEIGHTS!$A$2:$F$4,6,FALSE))</f>
        <v/>
      </c>
      <c r="N846" s="2" t="str">
        <f t="shared" si="4"/>
        <v/>
      </c>
    </row>
    <row r="847" ht="15.75" customHeight="1">
      <c r="A847" s="3"/>
      <c r="B847" s="2" t="str">
        <f t="shared" si="1"/>
        <v/>
      </c>
      <c r="E847" s="2"/>
      <c r="F847" s="2"/>
      <c r="G847" s="2"/>
      <c r="H847" s="2"/>
      <c r="I847" s="2"/>
      <c r="J847" s="2"/>
      <c r="K847" s="2" t="str">
        <f t="shared" si="2"/>
        <v/>
      </c>
      <c r="L847" s="2" t="str">
        <f t="shared" si="3"/>
        <v>No</v>
      </c>
      <c r="M847" s="2" t="str">
        <f>IF(K847="","",F847*VLOOKUP(E847,WEIGHTS!$A$2:$F$4,2,FALSE)+G847*VLOOKUP(E847,WEIGHTS!$A$2:$F$4,3,FALSE)+H847*VLOOKUP(E847,WEIGHTS!$A$2:$F$4,4,FALSE)+I847*VLOOKUP(E847,WEIGHTS!$A$2:$F$4,5,FALSE)+J847*VLOOKUP(E847,WEIGHTS!$A$2:$F$4,6,FALSE))</f>
        <v/>
      </c>
      <c r="N847" s="2" t="str">
        <f t="shared" si="4"/>
        <v/>
      </c>
    </row>
    <row r="848" ht="15.75" customHeight="1">
      <c r="A848" s="3"/>
      <c r="B848" s="2" t="str">
        <f t="shared" si="1"/>
        <v/>
      </c>
      <c r="E848" s="2"/>
      <c r="F848" s="2"/>
      <c r="G848" s="2"/>
      <c r="H848" s="2"/>
      <c r="I848" s="2"/>
      <c r="J848" s="2"/>
      <c r="K848" s="2" t="str">
        <f t="shared" si="2"/>
        <v/>
      </c>
      <c r="L848" s="2" t="str">
        <f t="shared" si="3"/>
        <v>No</v>
      </c>
      <c r="M848" s="2" t="str">
        <f>IF(K848="","",F848*VLOOKUP(E848,WEIGHTS!$A$2:$F$4,2,FALSE)+G848*VLOOKUP(E848,WEIGHTS!$A$2:$F$4,3,FALSE)+H848*VLOOKUP(E848,WEIGHTS!$A$2:$F$4,4,FALSE)+I848*VLOOKUP(E848,WEIGHTS!$A$2:$F$4,5,FALSE)+J848*VLOOKUP(E848,WEIGHTS!$A$2:$F$4,6,FALSE))</f>
        <v/>
      </c>
      <c r="N848" s="2" t="str">
        <f t="shared" si="4"/>
        <v/>
      </c>
    </row>
    <row r="849" ht="15.75" customHeight="1">
      <c r="A849" s="3"/>
      <c r="B849" s="2" t="str">
        <f t="shared" si="1"/>
        <v/>
      </c>
      <c r="E849" s="2"/>
      <c r="F849" s="2"/>
      <c r="G849" s="2"/>
      <c r="H849" s="2"/>
      <c r="I849" s="2"/>
      <c r="J849" s="2"/>
      <c r="K849" s="2" t="str">
        <f t="shared" si="2"/>
        <v/>
      </c>
      <c r="L849" s="2" t="str">
        <f t="shared" si="3"/>
        <v>No</v>
      </c>
      <c r="M849" s="2" t="str">
        <f>IF(K849="","",F849*VLOOKUP(E849,WEIGHTS!$A$2:$F$4,2,FALSE)+G849*VLOOKUP(E849,WEIGHTS!$A$2:$F$4,3,FALSE)+H849*VLOOKUP(E849,WEIGHTS!$A$2:$F$4,4,FALSE)+I849*VLOOKUP(E849,WEIGHTS!$A$2:$F$4,5,FALSE)+J849*VLOOKUP(E849,WEIGHTS!$A$2:$F$4,6,FALSE))</f>
        <v/>
      </c>
      <c r="N849" s="2" t="str">
        <f t="shared" si="4"/>
        <v/>
      </c>
    </row>
    <row r="850" ht="15.75" customHeight="1">
      <c r="A850" s="3"/>
      <c r="B850" s="2" t="str">
        <f t="shared" si="1"/>
        <v/>
      </c>
      <c r="E850" s="2"/>
      <c r="F850" s="2"/>
      <c r="G850" s="2"/>
      <c r="H850" s="2"/>
      <c r="I850" s="2"/>
      <c r="J850" s="2"/>
      <c r="K850" s="2" t="str">
        <f t="shared" si="2"/>
        <v/>
      </c>
      <c r="L850" s="2" t="str">
        <f t="shared" si="3"/>
        <v>No</v>
      </c>
      <c r="M850" s="2" t="str">
        <f>IF(K850="","",F850*VLOOKUP(E850,WEIGHTS!$A$2:$F$4,2,FALSE)+G850*VLOOKUP(E850,WEIGHTS!$A$2:$F$4,3,FALSE)+H850*VLOOKUP(E850,WEIGHTS!$A$2:$F$4,4,FALSE)+I850*VLOOKUP(E850,WEIGHTS!$A$2:$F$4,5,FALSE)+J850*VLOOKUP(E850,WEIGHTS!$A$2:$F$4,6,FALSE))</f>
        <v/>
      </c>
      <c r="N850" s="2" t="str">
        <f t="shared" si="4"/>
        <v/>
      </c>
    </row>
    <row r="851" ht="15.75" customHeight="1">
      <c r="A851" s="3"/>
      <c r="B851" s="2" t="str">
        <f t="shared" si="1"/>
        <v/>
      </c>
      <c r="E851" s="2"/>
      <c r="F851" s="2"/>
      <c r="G851" s="2"/>
      <c r="H851" s="2"/>
      <c r="I851" s="2"/>
      <c r="J851" s="2"/>
      <c r="K851" s="2" t="str">
        <f t="shared" si="2"/>
        <v/>
      </c>
      <c r="L851" s="2" t="str">
        <f t="shared" si="3"/>
        <v>No</v>
      </c>
      <c r="M851" s="2" t="str">
        <f>IF(K851="","",F851*VLOOKUP(E851,WEIGHTS!$A$2:$F$4,2,FALSE)+G851*VLOOKUP(E851,WEIGHTS!$A$2:$F$4,3,FALSE)+H851*VLOOKUP(E851,WEIGHTS!$A$2:$F$4,4,FALSE)+I851*VLOOKUP(E851,WEIGHTS!$A$2:$F$4,5,FALSE)+J851*VLOOKUP(E851,WEIGHTS!$A$2:$F$4,6,FALSE))</f>
        <v/>
      </c>
      <c r="N851" s="2" t="str">
        <f t="shared" si="4"/>
        <v/>
      </c>
    </row>
    <row r="852" ht="15.75" customHeight="1">
      <c r="A852" s="3"/>
      <c r="B852" s="2" t="str">
        <f t="shared" si="1"/>
        <v/>
      </c>
      <c r="E852" s="2"/>
      <c r="F852" s="2"/>
      <c r="G852" s="2"/>
      <c r="H852" s="2"/>
      <c r="I852" s="2"/>
      <c r="J852" s="2"/>
      <c r="K852" s="2" t="str">
        <f t="shared" si="2"/>
        <v/>
      </c>
      <c r="L852" s="2" t="str">
        <f t="shared" si="3"/>
        <v>No</v>
      </c>
      <c r="M852" s="2" t="str">
        <f>IF(K852="","",F852*VLOOKUP(E852,WEIGHTS!$A$2:$F$4,2,FALSE)+G852*VLOOKUP(E852,WEIGHTS!$A$2:$F$4,3,FALSE)+H852*VLOOKUP(E852,WEIGHTS!$A$2:$F$4,4,FALSE)+I852*VLOOKUP(E852,WEIGHTS!$A$2:$F$4,5,FALSE)+J852*VLOOKUP(E852,WEIGHTS!$A$2:$F$4,6,FALSE))</f>
        <v/>
      </c>
      <c r="N852" s="2" t="str">
        <f t="shared" si="4"/>
        <v/>
      </c>
    </row>
    <row r="853" ht="15.75" customHeight="1">
      <c r="A853" s="3"/>
      <c r="B853" s="2" t="str">
        <f t="shared" si="1"/>
        <v/>
      </c>
      <c r="E853" s="2"/>
      <c r="F853" s="2"/>
      <c r="G853" s="2"/>
      <c r="H853" s="2"/>
      <c r="I853" s="2"/>
      <c r="J853" s="2"/>
      <c r="K853" s="2" t="str">
        <f t="shared" si="2"/>
        <v/>
      </c>
      <c r="L853" s="2" t="str">
        <f t="shared" si="3"/>
        <v>No</v>
      </c>
      <c r="M853" s="2" t="str">
        <f>IF(K853="","",F853*VLOOKUP(E853,WEIGHTS!$A$2:$F$4,2,FALSE)+G853*VLOOKUP(E853,WEIGHTS!$A$2:$F$4,3,FALSE)+H853*VLOOKUP(E853,WEIGHTS!$A$2:$F$4,4,FALSE)+I853*VLOOKUP(E853,WEIGHTS!$A$2:$F$4,5,FALSE)+J853*VLOOKUP(E853,WEIGHTS!$A$2:$F$4,6,FALSE))</f>
        <v/>
      </c>
      <c r="N853" s="2" t="str">
        <f t="shared" si="4"/>
        <v/>
      </c>
    </row>
    <row r="854" ht="15.75" customHeight="1">
      <c r="A854" s="3"/>
      <c r="B854" s="2" t="str">
        <f t="shared" si="1"/>
        <v/>
      </c>
      <c r="E854" s="2"/>
      <c r="F854" s="2"/>
      <c r="G854" s="2"/>
      <c r="H854" s="2"/>
      <c r="I854" s="2"/>
      <c r="J854" s="2"/>
      <c r="K854" s="2" t="str">
        <f t="shared" si="2"/>
        <v/>
      </c>
      <c r="L854" s="2" t="str">
        <f t="shared" si="3"/>
        <v>No</v>
      </c>
      <c r="M854" s="2" t="str">
        <f>IF(K854="","",F854*VLOOKUP(E854,WEIGHTS!$A$2:$F$4,2,FALSE)+G854*VLOOKUP(E854,WEIGHTS!$A$2:$F$4,3,FALSE)+H854*VLOOKUP(E854,WEIGHTS!$A$2:$F$4,4,FALSE)+I854*VLOOKUP(E854,WEIGHTS!$A$2:$F$4,5,FALSE)+J854*VLOOKUP(E854,WEIGHTS!$A$2:$F$4,6,FALSE))</f>
        <v/>
      </c>
      <c r="N854" s="2" t="str">
        <f t="shared" si="4"/>
        <v/>
      </c>
    </row>
    <row r="855" ht="15.75" customHeight="1">
      <c r="A855" s="3"/>
      <c r="B855" s="2" t="str">
        <f t="shared" si="1"/>
        <v/>
      </c>
      <c r="E855" s="2"/>
      <c r="F855" s="2"/>
      <c r="G855" s="2"/>
      <c r="H855" s="2"/>
      <c r="I855" s="2"/>
      <c r="J855" s="2"/>
      <c r="K855" s="2" t="str">
        <f t="shared" si="2"/>
        <v/>
      </c>
      <c r="L855" s="2" t="str">
        <f t="shared" si="3"/>
        <v>No</v>
      </c>
      <c r="M855" s="2" t="str">
        <f>IF(K855="","",F855*VLOOKUP(E855,WEIGHTS!$A$2:$F$4,2,FALSE)+G855*VLOOKUP(E855,WEIGHTS!$A$2:$F$4,3,FALSE)+H855*VLOOKUP(E855,WEIGHTS!$A$2:$F$4,4,FALSE)+I855*VLOOKUP(E855,WEIGHTS!$A$2:$F$4,5,FALSE)+J855*VLOOKUP(E855,WEIGHTS!$A$2:$F$4,6,FALSE))</f>
        <v/>
      </c>
      <c r="N855" s="2" t="str">
        <f t="shared" si="4"/>
        <v/>
      </c>
    </row>
    <row r="856" ht="15.75" customHeight="1">
      <c r="A856" s="3"/>
      <c r="B856" s="2" t="str">
        <f t="shared" si="1"/>
        <v/>
      </c>
      <c r="E856" s="2"/>
      <c r="F856" s="2"/>
      <c r="G856" s="2"/>
      <c r="H856" s="2"/>
      <c r="I856" s="2"/>
      <c r="J856" s="2"/>
      <c r="K856" s="2" t="str">
        <f t="shared" si="2"/>
        <v/>
      </c>
      <c r="L856" s="2" t="str">
        <f t="shared" si="3"/>
        <v>No</v>
      </c>
      <c r="M856" s="2" t="str">
        <f>IF(K856="","",F856*VLOOKUP(E856,WEIGHTS!$A$2:$F$4,2,FALSE)+G856*VLOOKUP(E856,WEIGHTS!$A$2:$F$4,3,FALSE)+H856*VLOOKUP(E856,WEIGHTS!$A$2:$F$4,4,FALSE)+I856*VLOOKUP(E856,WEIGHTS!$A$2:$F$4,5,FALSE)+J856*VLOOKUP(E856,WEIGHTS!$A$2:$F$4,6,FALSE))</f>
        <v/>
      </c>
      <c r="N856" s="2" t="str">
        <f t="shared" si="4"/>
        <v/>
      </c>
    </row>
    <row r="857" ht="15.75" customHeight="1">
      <c r="A857" s="3"/>
      <c r="B857" s="2" t="str">
        <f t="shared" si="1"/>
        <v/>
      </c>
      <c r="E857" s="2"/>
      <c r="F857" s="2"/>
      <c r="G857" s="2"/>
      <c r="H857" s="2"/>
      <c r="I857" s="2"/>
      <c r="J857" s="2"/>
      <c r="K857" s="2" t="str">
        <f t="shared" si="2"/>
        <v/>
      </c>
      <c r="L857" s="2" t="str">
        <f t="shared" si="3"/>
        <v>No</v>
      </c>
      <c r="M857" s="2" t="str">
        <f>IF(K857="","",F857*VLOOKUP(E857,WEIGHTS!$A$2:$F$4,2,FALSE)+G857*VLOOKUP(E857,WEIGHTS!$A$2:$F$4,3,FALSE)+H857*VLOOKUP(E857,WEIGHTS!$A$2:$F$4,4,FALSE)+I857*VLOOKUP(E857,WEIGHTS!$A$2:$F$4,5,FALSE)+J857*VLOOKUP(E857,WEIGHTS!$A$2:$F$4,6,FALSE))</f>
        <v/>
      </c>
      <c r="N857" s="2" t="str">
        <f t="shared" si="4"/>
        <v/>
      </c>
    </row>
    <row r="858" ht="15.75" customHeight="1">
      <c r="A858" s="3"/>
      <c r="B858" s="2" t="str">
        <f t="shared" si="1"/>
        <v/>
      </c>
      <c r="E858" s="2"/>
      <c r="F858" s="2"/>
      <c r="G858" s="2"/>
      <c r="H858" s="2"/>
      <c r="I858" s="2"/>
      <c r="J858" s="2"/>
      <c r="K858" s="2" t="str">
        <f t="shared" si="2"/>
        <v/>
      </c>
      <c r="L858" s="2" t="str">
        <f t="shared" si="3"/>
        <v>No</v>
      </c>
      <c r="M858" s="2" t="str">
        <f>IF(K858="","",F858*VLOOKUP(E858,WEIGHTS!$A$2:$F$4,2,FALSE)+G858*VLOOKUP(E858,WEIGHTS!$A$2:$F$4,3,FALSE)+H858*VLOOKUP(E858,WEIGHTS!$A$2:$F$4,4,FALSE)+I858*VLOOKUP(E858,WEIGHTS!$A$2:$F$4,5,FALSE)+J858*VLOOKUP(E858,WEIGHTS!$A$2:$F$4,6,FALSE))</f>
        <v/>
      </c>
      <c r="N858" s="2" t="str">
        <f t="shared" si="4"/>
        <v/>
      </c>
    </row>
    <row r="859" ht="15.75" customHeight="1">
      <c r="A859" s="3"/>
      <c r="B859" s="2" t="str">
        <f t="shared" si="1"/>
        <v/>
      </c>
      <c r="E859" s="2"/>
      <c r="F859" s="2"/>
      <c r="G859" s="2"/>
      <c r="H859" s="2"/>
      <c r="I859" s="2"/>
      <c r="J859" s="2"/>
      <c r="K859" s="2" t="str">
        <f t="shared" si="2"/>
        <v/>
      </c>
      <c r="L859" s="2" t="str">
        <f t="shared" si="3"/>
        <v>No</v>
      </c>
      <c r="M859" s="2" t="str">
        <f>IF(K859="","",F859*VLOOKUP(E859,WEIGHTS!$A$2:$F$4,2,FALSE)+G859*VLOOKUP(E859,WEIGHTS!$A$2:$F$4,3,FALSE)+H859*VLOOKUP(E859,WEIGHTS!$A$2:$F$4,4,FALSE)+I859*VLOOKUP(E859,WEIGHTS!$A$2:$F$4,5,FALSE)+J859*VLOOKUP(E859,WEIGHTS!$A$2:$F$4,6,FALSE))</f>
        <v/>
      </c>
      <c r="N859" s="2" t="str">
        <f t="shared" si="4"/>
        <v/>
      </c>
    </row>
    <row r="860" ht="15.75" customHeight="1">
      <c r="A860" s="3"/>
      <c r="B860" s="2" t="str">
        <f t="shared" si="1"/>
        <v/>
      </c>
      <c r="E860" s="2"/>
      <c r="F860" s="2"/>
      <c r="G860" s="2"/>
      <c r="H860" s="2"/>
      <c r="I860" s="2"/>
      <c r="J860" s="2"/>
      <c r="K860" s="2" t="str">
        <f t="shared" si="2"/>
        <v/>
      </c>
      <c r="L860" s="2" t="str">
        <f t="shared" si="3"/>
        <v>No</v>
      </c>
      <c r="M860" s="2" t="str">
        <f>IF(K860="","",F860*VLOOKUP(E860,WEIGHTS!$A$2:$F$4,2,FALSE)+G860*VLOOKUP(E860,WEIGHTS!$A$2:$F$4,3,FALSE)+H860*VLOOKUP(E860,WEIGHTS!$A$2:$F$4,4,FALSE)+I860*VLOOKUP(E860,WEIGHTS!$A$2:$F$4,5,FALSE)+J860*VLOOKUP(E860,WEIGHTS!$A$2:$F$4,6,FALSE))</f>
        <v/>
      </c>
      <c r="N860" s="2" t="str">
        <f t="shared" si="4"/>
        <v/>
      </c>
    </row>
    <row r="861" ht="15.75" customHeight="1">
      <c r="A861" s="3"/>
      <c r="B861" s="2" t="str">
        <f t="shared" si="1"/>
        <v/>
      </c>
      <c r="E861" s="2"/>
      <c r="F861" s="2"/>
      <c r="G861" s="2"/>
      <c r="H861" s="2"/>
      <c r="I861" s="2"/>
      <c r="J861" s="2"/>
      <c r="K861" s="2" t="str">
        <f t="shared" si="2"/>
        <v/>
      </c>
      <c r="L861" s="2" t="str">
        <f t="shared" si="3"/>
        <v>No</v>
      </c>
      <c r="M861" s="2" t="str">
        <f>IF(K861="","",F861*VLOOKUP(E861,WEIGHTS!$A$2:$F$4,2,FALSE)+G861*VLOOKUP(E861,WEIGHTS!$A$2:$F$4,3,FALSE)+H861*VLOOKUP(E861,WEIGHTS!$A$2:$F$4,4,FALSE)+I861*VLOOKUP(E861,WEIGHTS!$A$2:$F$4,5,FALSE)+J861*VLOOKUP(E861,WEIGHTS!$A$2:$F$4,6,FALSE))</f>
        <v/>
      </c>
      <c r="N861" s="2" t="str">
        <f t="shared" si="4"/>
        <v/>
      </c>
    </row>
    <row r="862" ht="15.75" customHeight="1">
      <c r="A862" s="3"/>
      <c r="B862" s="2" t="str">
        <f t="shared" si="1"/>
        <v/>
      </c>
      <c r="E862" s="2"/>
      <c r="F862" s="2"/>
      <c r="G862" s="2"/>
      <c r="H862" s="2"/>
      <c r="I862" s="2"/>
      <c r="J862" s="2"/>
      <c r="K862" s="2" t="str">
        <f t="shared" si="2"/>
        <v/>
      </c>
      <c r="L862" s="2" t="str">
        <f t="shared" si="3"/>
        <v>No</v>
      </c>
      <c r="M862" s="2" t="str">
        <f>IF(K862="","",F862*VLOOKUP(E862,WEIGHTS!$A$2:$F$4,2,FALSE)+G862*VLOOKUP(E862,WEIGHTS!$A$2:$F$4,3,FALSE)+H862*VLOOKUP(E862,WEIGHTS!$A$2:$F$4,4,FALSE)+I862*VLOOKUP(E862,WEIGHTS!$A$2:$F$4,5,FALSE)+J862*VLOOKUP(E862,WEIGHTS!$A$2:$F$4,6,FALSE))</f>
        <v/>
      </c>
      <c r="N862" s="2" t="str">
        <f t="shared" si="4"/>
        <v/>
      </c>
    </row>
    <row r="863" ht="15.75" customHeight="1">
      <c r="A863" s="3"/>
      <c r="B863" s="2" t="str">
        <f t="shared" si="1"/>
        <v/>
      </c>
      <c r="E863" s="2"/>
      <c r="F863" s="2"/>
      <c r="G863" s="2"/>
      <c r="H863" s="2"/>
      <c r="I863" s="2"/>
      <c r="J863" s="2"/>
      <c r="K863" s="2" t="str">
        <f t="shared" si="2"/>
        <v/>
      </c>
      <c r="L863" s="2" t="str">
        <f t="shared" si="3"/>
        <v>No</v>
      </c>
      <c r="M863" s="2" t="str">
        <f>IF(K863="","",F863*VLOOKUP(E863,WEIGHTS!$A$2:$F$4,2,FALSE)+G863*VLOOKUP(E863,WEIGHTS!$A$2:$F$4,3,FALSE)+H863*VLOOKUP(E863,WEIGHTS!$A$2:$F$4,4,FALSE)+I863*VLOOKUP(E863,WEIGHTS!$A$2:$F$4,5,FALSE)+J863*VLOOKUP(E863,WEIGHTS!$A$2:$F$4,6,FALSE))</f>
        <v/>
      </c>
      <c r="N863" s="2" t="str">
        <f t="shared" si="4"/>
        <v/>
      </c>
    </row>
    <row r="864" ht="15.75" customHeight="1">
      <c r="A864" s="3"/>
      <c r="B864" s="2" t="str">
        <f t="shared" si="1"/>
        <v/>
      </c>
      <c r="E864" s="2"/>
      <c r="F864" s="2"/>
      <c r="G864" s="2"/>
      <c r="H864" s="2"/>
      <c r="I864" s="2"/>
      <c r="J864" s="2"/>
      <c r="K864" s="2" t="str">
        <f t="shared" si="2"/>
        <v/>
      </c>
      <c r="L864" s="2" t="str">
        <f t="shared" si="3"/>
        <v>No</v>
      </c>
      <c r="M864" s="2" t="str">
        <f>IF(K864="","",F864*VLOOKUP(E864,WEIGHTS!$A$2:$F$4,2,FALSE)+G864*VLOOKUP(E864,WEIGHTS!$A$2:$F$4,3,FALSE)+H864*VLOOKUP(E864,WEIGHTS!$A$2:$F$4,4,FALSE)+I864*VLOOKUP(E864,WEIGHTS!$A$2:$F$4,5,FALSE)+J864*VLOOKUP(E864,WEIGHTS!$A$2:$F$4,6,FALSE))</f>
        <v/>
      </c>
      <c r="N864" s="2" t="str">
        <f t="shared" si="4"/>
        <v/>
      </c>
    </row>
    <row r="865" ht="15.75" customHeight="1">
      <c r="A865" s="3"/>
      <c r="B865" s="2" t="str">
        <f t="shared" si="1"/>
        <v/>
      </c>
      <c r="E865" s="2"/>
      <c r="F865" s="2"/>
      <c r="G865" s="2"/>
      <c r="H865" s="2"/>
      <c r="I865" s="2"/>
      <c r="J865" s="2"/>
      <c r="K865" s="2" t="str">
        <f t="shared" si="2"/>
        <v/>
      </c>
      <c r="L865" s="2" t="str">
        <f t="shared" si="3"/>
        <v>No</v>
      </c>
      <c r="M865" s="2" t="str">
        <f>IF(K865="","",F865*VLOOKUP(E865,WEIGHTS!$A$2:$F$4,2,FALSE)+G865*VLOOKUP(E865,WEIGHTS!$A$2:$F$4,3,FALSE)+H865*VLOOKUP(E865,WEIGHTS!$A$2:$F$4,4,FALSE)+I865*VLOOKUP(E865,WEIGHTS!$A$2:$F$4,5,FALSE)+J865*VLOOKUP(E865,WEIGHTS!$A$2:$F$4,6,FALSE))</f>
        <v/>
      </c>
      <c r="N865" s="2" t="str">
        <f t="shared" si="4"/>
        <v/>
      </c>
    </row>
    <row r="866" ht="15.75" customHeight="1">
      <c r="A866" s="3"/>
      <c r="B866" s="2" t="str">
        <f t="shared" si="1"/>
        <v/>
      </c>
      <c r="E866" s="2"/>
      <c r="F866" s="2"/>
      <c r="G866" s="2"/>
      <c r="H866" s="2"/>
      <c r="I866" s="2"/>
      <c r="J866" s="2"/>
      <c r="K866" s="2" t="str">
        <f t="shared" si="2"/>
        <v/>
      </c>
      <c r="L866" s="2" t="str">
        <f t="shared" si="3"/>
        <v>No</v>
      </c>
      <c r="M866" s="2" t="str">
        <f>IF(K866="","",F866*VLOOKUP(E866,WEIGHTS!$A$2:$F$4,2,FALSE)+G866*VLOOKUP(E866,WEIGHTS!$A$2:$F$4,3,FALSE)+H866*VLOOKUP(E866,WEIGHTS!$A$2:$F$4,4,FALSE)+I866*VLOOKUP(E866,WEIGHTS!$A$2:$F$4,5,FALSE)+J866*VLOOKUP(E866,WEIGHTS!$A$2:$F$4,6,FALSE))</f>
        <v/>
      </c>
      <c r="N866" s="2" t="str">
        <f t="shared" si="4"/>
        <v/>
      </c>
    </row>
    <row r="867" ht="15.75" customHeight="1">
      <c r="A867" s="3"/>
      <c r="B867" s="2" t="str">
        <f t="shared" si="1"/>
        <v/>
      </c>
      <c r="E867" s="2"/>
      <c r="F867" s="2"/>
      <c r="G867" s="2"/>
      <c r="H867" s="2"/>
      <c r="I867" s="2"/>
      <c r="J867" s="2"/>
      <c r="K867" s="2" t="str">
        <f t="shared" si="2"/>
        <v/>
      </c>
      <c r="L867" s="2" t="str">
        <f t="shared" si="3"/>
        <v>No</v>
      </c>
      <c r="M867" s="2" t="str">
        <f>IF(K867="","",F867*VLOOKUP(E867,WEIGHTS!$A$2:$F$4,2,FALSE)+G867*VLOOKUP(E867,WEIGHTS!$A$2:$F$4,3,FALSE)+H867*VLOOKUP(E867,WEIGHTS!$A$2:$F$4,4,FALSE)+I867*VLOOKUP(E867,WEIGHTS!$A$2:$F$4,5,FALSE)+J867*VLOOKUP(E867,WEIGHTS!$A$2:$F$4,6,FALSE))</f>
        <v/>
      </c>
      <c r="N867" s="2" t="str">
        <f t="shared" si="4"/>
        <v/>
      </c>
    </row>
    <row r="868" ht="15.75" customHeight="1">
      <c r="A868" s="3"/>
      <c r="B868" s="2" t="str">
        <f t="shared" si="1"/>
        <v/>
      </c>
      <c r="E868" s="2"/>
      <c r="F868" s="2"/>
      <c r="G868" s="2"/>
      <c r="H868" s="2"/>
      <c r="I868" s="2"/>
      <c r="J868" s="2"/>
      <c r="K868" s="2" t="str">
        <f t="shared" si="2"/>
        <v/>
      </c>
      <c r="L868" s="2" t="str">
        <f t="shared" si="3"/>
        <v>No</v>
      </c>
      <c r="M868" s="2" t="str">
        <f>IF(K868="","",F868*VLOOKUP(E868,WEIGHTS!$A$2:$F$4,2,FALSE)+G868*VLOOKUP(E868,WEIGHTS!$A$2:$F$4,3,FALSE)+H868*VLOOKUP(E868,WEIGHTS!$A$2:$F$4,4,FALSE)+I868*VLOOKUP(E868,WEIGHTS!$A$2:$F$4,5,FALSE)+J868*VLOOKUP(E868,WEIGHTS!$A$2:$F$4,6,FALSE))</f>
        <v/>
      </c>
      <c r="N868" s="2" t="str">
        <f t="shared" si="4"/>
        <v/>
      </c>
    </row>
    <row r="869" ht="15.75" customHeight="1">
      <c r="A869" s="3"/>
      <c r="B869" s="2" t="str">
        <f t="shared" si="1"/>
        <v/>
      </c>
      <c r="E869" s="2"/>
      <c r="F869" s="2"/>
      <c r="G869" s="2"/>
      <c r="H869" s="2"/>
      <c r="I869" s="2"/>
      <c r="J869" s="2"/>
      <c r="K869" s="2" t="str">
        <f t="shared" si="2"/>
        <v/>
      </c>
      <c r="L869" s="2" t="str">
        <f t="shared" si="3"/>
        <v>No</v>
      </c>
      <c r="M869" s="2" t="str">
        <f>IF(K869="","",F869*VLOOKUP(E869,WEIGHTS!$A$2:$F$4,2,FALSE)+G869*VLOOKUP(E869,WEIGHTS!$A$2:$F$4,3,FALSE)+H869*VLOOKUP(E869,WEIGHTS!$A$2:$F$4,4,FALSE)+I869*VLOOKUP(E869,WEIGHTS!$A$2:$F$4,5,FALSE)+J869*VLOOKUP(E869,WEIGHTS!$A$2:$F$4,6,FALSE))</f>
        <v/>
      </c>
      <c r="N869" s="2" t="str">
        <f t="shared" si="4"/>
        <v/>
      </c>
    </row>
    <row r="870" ht="15.75" customHeight="1">
      <c r="A870" s="3"/>
      <c r="B870" s="2" t="str">
        <f t="shared" si="1"/>
        <v/>
      </c>
      <c r="E870" s="2"/>
      <c r="F870" s="2"/>
      <c r="G870" s="2"/>
      <c r="H870" s="2"/>
      <c r="I870" s="2"/>
      <c r="J870" s="2"/>
      <c r="K870" s="2" t="str">
        <f t="shared" si="2"/>
        <v/>
      </c>
      <c r="L870" s="2" t="str">
        <f t="shared" si="3"/>
        <v>No</v>
      </c>
      <c r="M870" s="2" t="str">
        <f>IF(K870="","",F870*VLOOKUP(E870,WEIGHTS!$A$2:$F$4,2,FALSE)+G870*VLOOKUP(E870,WEIGHTS!$A$2:$F$4,3,FALSE)+H870*VLOOKUP(E870,WEIGHTS!$A$2:$F$4,4,FALSE)+I870*VLOOKUP(E870,WEIGHTS!$A$2:$F$4,5,FALSE)+J870*VLOOKUP(E870,WEIGHTS!$A$2:$F$4,6,FALSE))</f>
        <v/>
      </c>
      <c r="N870" s="2" t="str">
        <f t="shared" si="4"/>
        <v/>
      </c>
    </row>
    <row r="871" ht="15.75" customHeight="1">
      <c r="A871" s="3"/>
      <c r="B871" s="2" t="str">
        <f t="shared" si="1"/>
        <v/>
      </c>
      <c r="E871" s="2"/>
      <c r="F871" s="2"/>
      <c r="G871" s="2"/>
      <c r="H871" s="2"/>
      <c r="I871" s="2"/>
      <c r="J871" s="2"/>
      <c r="K871" s="2" t="str">
        <f t="shared" si="2"/>
        <v/>
      </c>
      <c r="L871" s="2" t="str">
        <f t="shared" si="3"/>
        <v>No</v>
      </c>
      <c r="M871" s="2" t="str">
        <f>IF(K871="","",F871*VLOOKUP(E871,WEIGHTS!$A$2:$F$4,2,FALSE)+G871*VLOOKUP(E871,WEIGHTS!$A$2:$F$4,3,FALSE)+H871*VLOOKUP(E871,WEIGHTS!$A$2:$F$4,4,FALSE)+I871*VLOOKUP(E871,WEIGHTS!$A$2:$F$4,5,FALSE)+J871*VLOOKUP(E871,WEIGHTS!$A$2:$F$4,6,FALSE))</f>
        <v/>
      </c>
      <c r="N871" s="2" t="str">
        <f t="shared" si="4"/>
        <v/>
      </c>
    </row>
    <row r="872" ht="15.75" customHeight="1">
      <c r="A872" s="3"/>
      <c r="B872" s="2" t="str">
        <f t="shared" si="1"/>
        <v/>
      </c>
      <c r="E872" s="2"/>
      <c r="F872" s="2"/>
      <c r="G872" s="2"/>
      <c r="H872" s="2"/>
      <c r="I872" s="2"/>
      <c r="J872" s="2"/>
      <c r="K872" s="2" t="str">
        <f t="shared" si="2"/>
        <v/>
      </c>
      <c r="L872" s="2" t="str">
        <f t="shared" si="3"/>
        <v>No</v>
      </c>
      <c r="M872" s="2" t="str">
        <f>IF(K872="","",F872*VLOOKUP(E872,WEIGHTS!$A$2:$F$4,2,FALSE)+G872*VLOOKUP(E872,WEIGHTS!$A$2:$F$4,3,FALSE)+H872*VLOOKUP(E872,WEIGHTS!$A$2:$F$4,4,FALSE)+I872*VLOOKUP(E872,WEIGHTS!$A$2:$F$4,5,FALSE)+J872*VLOOKUP(E872,WEIGHTS!$A$2:$F$4,6,FALSE))</f>
        <v/>
      </c>
      <c r="N872" s="2" t="str">
        <f t="shared" si="4"/>
        <v/>
      </c>
    </row>
    <row r="873" ht="15.75" customHeight="1">
      <c r="A873" s="3"/>
      <c r="B873" s="2" t="str">
        <f t="shared" si="1"/>
        <v/>
      </c>
      <c r="E873" s="2"/>
      <c r="F873" s="2"/>
      <c r="G873" s="2"/>
      <c r="H873" s="2"/>
      <c r="I873" s="2"/>
      <c r="J873" s="2"/>
      <c r="K873" s="2" t="str">
        <f t="shared" si="2"/>
        <v/>
      </c>
      <c r="L873" s="2" t="str">
        <f t="shared" si="3"/>
        <v>No</v>
      </c>
      <c r="M873" s="2" t="str">
        <f>IF(K873="","",F873*VLOOKUP(E873,WEIGHTS!$A$2:$F$4,2,FALSE)+G873*VLOOKUP(E873,WEIGHTS!$A$2:$F$4,3,FALSE)+H873*VLOOKUP(E873,WEIGHTS!$A$2:$F$4,4,FALSE)+I873*VLOOKUP(E873,WEIGHTS!$A$2:$F$4,5,FALSE)+J873*VLOOKUP(E873,WEIGHTS!$A$2:$F$4,6,FALSE))</f>
        <v/>
      </c>
      <c r="N873" s="2" t="str">
        <f t="shared" si="4"/>
        <v/>
      </c>
    </row>
    <row r="874" ht="15.75" customHeight="1">
      <c r="A874" s="3"/>
      <c r="B874" s="2" t="str">
        <f t="shared" si="1"/>
        <v/>
      </c>
      <c r="E874" s="2"/>
      <c r="F874" s="2"/>
      <c r="G874" s="2"/>
      <c r="H874" s="2"/>
      <c r="I874" s="2"/>
      <c r="J874" s="2"/>
      <c r="K874" s="2" t="str">
        <f t="shared" si="2"/>
        <v/>
      </c>
      <c r="L874" s="2" t="str">
        <f t="shared" si="3"/>
        <v>No</v>
      </c>
      <c r="M874" s="2" t="str">
        <f>IF(K874="","",F874*VLOOKUP(E874,WEIGHTS!$A$2:$F$4,2,FALSE)+G874*VLOOKUP(E874,WEIGHTS!$A$2:$F$4,3,FALSE)+H874*VLOOKUP(E874,WEIGHTS!$A$2:$F$4,4,FALSE)+I874*VLOOKUP(E874,WEIGHTS!$A$2:$F$4,5,FALSE)+J874*VLOOKUP(E874,WEIGHTS!$A$2:$F$4,6,FALSE))</f>
        <v/>
      </c>
      <c r="N874" s="2" t="str">
        <f t="shared" si="4"/>
        <v/>
      </c>
    </row>
    <row r="875" ht="15.75" customHeight="1">
      <c r="A875" s="3"/>
      <c r="B875" s="2" t="str">
        <f t="shared" si="1"/>
        <v/>
      </c>
      <c r="E875" s="2"/>
      <c r="F875" s="2"/>
      <c r="G875" s="2"/>
      <c r="H875" s="2"/>
      <c r="I875" s="2"/>
      <c r="J875" s="2"/>
      <c r="K875" s="2" t="str">
        <f t="shared" si="2"/>
        <v/>
      </c>
      <c r="L875" s="2" t="str">
        <f t="shared" si="3"/>
        <v>No</v>
      </c>
      <c r="M875" s="2" t="str">
        <f>IF(K875="","",F875*VLOOKUP(E875,WEIGHTS!$A$2:$F$4,2,FALSE)+G875*VLOOKUP(E875,WEIGHTS!$A$2:$F$4,3,FALSE)+H875*VLOOKUP(E875,WEIGHTS!$A$2:$F$4,4,FALSE)+I875*VLOOKUP(E875,WEIGHTS!$A$2:$F$4,5,FALSE)+J875*VLOOKUP(E875,WEIGHTS!$A$2:$F$4,6,FALSE))</f>
        <v/>
      </c>
      <c r="N875" s="2" t="str">
        <f t="shared" si="4"/>
        <v/>
      </c>
    </row>
    <row r="876" ht="15.75" customHeight="1">
      <c r="A876" s="3"/>
      <c r="B876" s="2" t="str">
        <f t="shared" si="1"/>
        <v/>
      </c>
      <c r="E876" s="2"/>
      <c r="F876" s="2"/>
      <c r="G876" s="2"/>
      <c r="H876" s="2"/>
      <c r="I876" s="2"/>
      <c r="J876" s="2"/>
      <c r="K876" s="2" t="str">
        <f t="shared" si="2"/>
        <v/>
      </c>
      <c r="L876" s="2" t="str">
        <f t="shared" si="3"/>
        <v>No</v>
      </c>
      <c r="M876" s="2" t="str">
        <f>IF(K876="","",F876*VLOOKUP(E876,WEIGHTS!$A$2:$F$4,2,FALSE)+G876*VLOOKUP(E876,WEIGHTS!$A$2:$F$4,3,FALSE)+H876*VLOOKUP(E876,WEIGHTS!$A$2:$F$4,4,FALSE)+I876*VLOOKUP(E876,WEIGHTS!$A$2:$F$4,5,FALSE)+J876*VLOOKUP(E876,WEIGHTS!$A$2:$F$4,6,FALSE))</f>
        <v/>
      </c>
      <c r="N876" s="2" t="str">
        <f t="shared" si="4"/>
        <v/>
      </c>
    </row>
    <row r="877" ht="15.75" customHeight="1">
      <c r="A877" s="3"/>
      <c r="B877" s="2" t="str">
        <f t="shared" si="1"/>
        <v/>
      </c>
      <c r="E877" s="2"/>
      <c r="F877" s="2"/>
      <c r="G877" s="2"/>
      <c r="H877" s="2"/>
      <c r="I877" s="2"/>
      <c r="J877" s="2"/>
      <c r="K877" s="2" t="str">
        <f t="shared" si="2"/>
        <v/>
      </c>
      <c r="L877" s="2" t="str">
        <f t="shared" si="3"/>
        <v>No</v>
      </c>
      <c r="M877" s="2" t="str">
        <f>IF(K877="","",F877*VLOOKUP(E877,WEIGHTS!$A$2:$F$4,2,FALSE)+G877*VLOOKUP(E877,WEIGHTS!$A$2:$F$4,3,FALSE)+H877*VLOOKUP(E877,WEIGHTS!$A$2:$F$4,4,FALSE)+I877*VLOOKUP(E877,WEIGHTS!$A$2:$F$4,5,FALSE)+J877*VLOOKUP(E877,WEIGHTS!$A$2:$F$4,6,FALSE))</f>
        <v/>
      </c>
      <c r="N877" s="2" t="str">
        <f t="shared" si="4"/>
        <v/>
      </c>
    </row>
    <row r="878" ht="15.75" customHeight="1">
      <c r="A878" s="3"/>
      <c r="B878" s="2" t="str">
        <f t="shared" si="1"/>
        <v/>
      </c>
      <c r="E878" s="2"/>
      <c r="F878" s="2"/>
      <c r="G878" s="2"/>
      <c r="H878" s="2"/>
      <c r="I878" s="2"/>
      <c r="J878" s="2"/>
      <c r="K878" s="2" t="str">
        <f t="shared" si="2"/>
        <v/>
      </c>
      <c r="L878" s="2" t="str">
        <f t="shared" si="3"/>
        <v>No</v>
      </c>
      <c r="M878" s="2" t="str">
        <f>IF(K878="","",F878*VLOOKUP(E878,WEIGHTS!$A$2:$F$4,2,FALSE)+G878*VLOOKUP(E878,WEIGHTS!$A$2:$F$4,3,FALSE)+H878*VLOOKUP(E878,WEIGHTS!$A$2:$F$4,4,FALSE)+I878*VLOOKUP(E878,WEIGHTS!$A$2:$F$4,5,FALSE)+J878*VLOOKUP(E878,WEIGHTS!$A$2:$F$4,6,FALSE))</f>
        <v/>
      </c>
      <c r="N878" s="2" t="str">
        <f t="shared" si="4"/>
        <v/>
      </c>
    </row>
    <row r="879" ht="15.75" customHeight="1">
      <c r="A879" s="3"/>
      <c r="B879" s="2" t="str">
        <f t="shared" si="1"/>
        <v/>
      </c>
      <c r="E879" s="2"/>
      <c r="F879" s="2"/>
      <c r="G879" s="2"/>
      <c r="H879" s="2"/>
      <c r="I879" s="2"/>
      <c r="J879" s="2"/>
      <c r="K879" s="2" t="str">
        <f t="shared" si="2"/>
        <v/>
      </c>
      <c r="L879" s="2" t="str">
        <f t="shared" si="3"/>
        <v>No</v>
      </c>
      <c r="M879" s="2" t="str">
        <f>IF(K879="","",F879*VLOOKUP(E879,WEIGHTS!$A$2:$F$4,2,FALSE)+G879*VLOOKUP(E879,WEIGHTS!$A$2:$F$4,3,FALSE)+H879*VLOOKUP(E879,WEIGHTS!$A$2:$F$4,4,FALSE)+I879*VLOOKUP(E879,WEIGHTS!$A$2:$F$4,5,FALSE)+J879*VLOOKUP(E879,WEIGHTS!$A$2:$F$4,6,FALSE))</f>
        <v/>
      </c>
      <c r="N879" s="2" t="str">
        <f t="shared" si="4"/>
        <v/>
      </c>
    </row>
    <row r="880" ht="15.75" customHeight="1">
      <c r="A880" s="3"/>
      <c r="B880" s="2" t="str">
        <f t="shared" si="1"/>
        <v/>
      </c>
      <c r="E880" s="2"/>
      <c r="F880" s="2"/>
      <c r="G880" s="2"/>
      <c r="H880" s="2"/>
      <c r="I880" s="2"/>
      <c r="J880" s="2"/>
      <c r="K880" s="2" t="str">
        <f t="shared" si="2"/>
        <v/>
      </c>
      <c r="L880" s="2" t="str">
        <f t="shared" si="3"/>
        <v>No</v>
      </c>
      <c r="M880" s="2" t="str">
        <f>IF(K880="","",F880*VLOOKUP(E880,WEIGHTS!$A$2:$F$4,2,FALSE)+G880*VLOOKUP(E880,WEIGHTS!$A$2:$F$4,3,FALSE)+H880*VLOOKUP(E880,WEIGHTS!$A$2:$F$4,4,FALSE)+I880*VLOOKUP(E880,WEIGHTS!$A$2:$F$4,5,FALSE)+J880*VLOOKUP(E880,WEIGHTS!$A$2:$F$4,6,FALSE))</f>
        <v/>
      </c>
      <c r="N880" s="2" t="str">
        <f t="shared" si="4"/>
        <v/>
      </c>
    </row>
    <row r="881" ht="15.75" customHeight="1">
      <c r="A881" s="3"/>
      <c r="B881" s="2" t="str">
        <f t="shared" si="1"/>
        <v/>
      </c>
      <c r="E881" s="2"/>
      <c r="F881" s="2"/>
      <c r="G881" s="2"/>
      <c r="H881" s="2"/>
      <c r="I881" s="2"/>
      <c r="J881" s="2"/>
      <c r="K881" s="2" t="str">
        <f t="shared" si="2"/>
        <v/>
      </c>
      <c r="L881" s="2" t="str">
        <f t="shared" si="3"/>
        <v>No</v>
      </c>
      <c r="M881" s="2" t="str">
        <f>IF(K881="","",F881*VLOOKUP(E881,WEIGHTS!$A$2:$F$4,2,FALSE)+G881*VLOOKUP(E881,WEIGHTS!$A$2:$F$4,3,FALSE)+H881*VLOOKUP(E881,WEIGHTS!$A$2:$F$4,4,FALSE)+I881*VLOOKUP(E881,WEIGHTS!$A$2:$F$4,5,FALSE)+J881*VLOOKUP(E881,WEIGHTS!$A$2:$F$4,6,FALSE))</f>
        <v/>
      </c>
      <c r="N881" s="2" t="str">
        <f t="shared" si="4"/>
        <v/>
      </c>
    </row>
    <row r="882" ht="15.75" customHeight="1">
      <c r="A882" s="3"/>
      <c r="B882" s="2" t="str">
        <f t="shared" si="1"/>
        <v/>
      </c>
      <c r="E882" s="2"/>
      <c r="F882" s="2"/>
      <c r="G882" s="2"/>
      <c r="H882" s="2"/>
      <c r="I882" s="2"/>
      <c r="J882" s="2"/>
      <c r="K882" s="2" t="str">
        <f t="shared" si="2"/>
        <v/>
      </c>
      <c r="L882" s="2" t="str">
        <f t="shared" si="3"/>
        <v>No</v>
      </c>
      <c r="M882" s="2" t="str">
        <f>IF(K882="","",F882*VLOOKUP(E882,WEIGHTS!$A$2:$F$4,2,FALSE)+G882*VLOOKUP(E882,WEIGHTS!$A$2:$F$4,3,FALSE)+H882*VLOOKUP(E882,WEIGHTS!$A$2:$F$4,4,FALSE)+I882*VLOOKUP(E882,WEIGHTS!$A$2:$F$4,5,FALSE)+J882*VLOOKUP(E882,WEIGHTS!$A$2:$F$4,6,FALSE))</f>
        <v/>
      </c>
      <c r="N882" s="2" t="str">
        <f t="shared" si="4"/>
        <v/>
      </c>
    </row>
    <row r="883" ht="15.75" customHeight="1">
      <c r="A883" s="3"/>
      <c r="B883" s="2" t="str">
        <f t="shared" si="1"/>
        <v/>
      </c>
      <c r="E883" s="2"/>
      <c r="F883" s="2"/>
      <c r="G883" s="2"/>
      <c r="H883" s="2"/>
      <c r="I883" s="2"/>
      <c r="J883" s="2"/>
      <c r="K883" s="2" t="str">
        <f t="shared" si="2"/>
        <v/>
      </c>
      <c r="L883" s="2" t="str">
        <f t="shared" si="3"/>
        <v>No</v>
      </c>
      <c r="M883" s="2" t="str">
        <f>IF(K883="","",F883*VLOOKUP(E883,WEIGHTS!$A$2:$F$4,2,FALSE)+G883*VLOOKUP(E883,WEIGHTS!$A$2:$F$4,3,FALSE)+H883*VLOOKUP(E883,WEIGHTS!$A$2:$F$4,4,FALSE)+I883*VLOOKUP(E883,WEIGHTS!$A$2:$F$4,5,FALSE)+J883*VLOOKUP(E883,WEIGHTS!$A$2:$F$4,6,FALSE))</f>
        <v/>
      </c>
      <c r="N883" s="2" t="str">
        <f t="shared" si="4"/>
        <v/>
      </c>
    </row>
    <row r="884" ht="15.75" customHeight="1">
      <c r="A884" s="3"/>
      <c r="B884" s="2" t="str">
        <f t="shared" si="1"/>
        <v/>
      </c>
      <c r="E884" s="2"/>
      <c r="F884" s="2"/>
      <c r="G884" s="2"/>
      <c r="H884" s="2"/>
      <c r="I884" s="2"/>
      <c r="J884" s="2"/>
      <c r="K884" s="2" t="str">
        <f t="shared" si="2"/>
        <v/>
      </c>
      <c r="L884" s="2" t="str">
        <f t="shared" si="3"/>
        <v>No</v>
      </c>
      <c r="M884" s="2" t="str">
        <f>IF(K884="","",F884*VLOOKUP(E884,WEIGHTS!$A$2:$F$4,2,FALSE)+G884*VLOOKUP(E884,WEIGHTS!$A$2:$F$4,3,FALSE)+H884*VLOOKUP(E884,WEIGHTS!$A$2:$F$4,4,FALSE)+I884*VLOOKUP(E884,WEIGHTS!$A$2:$F$4,5,FALSE)+J884*VLOOKUP(E884,WEIGHTS!$A$2:$F$4,6,FALSE))</f>
        <v/>
      </c>
      <c r="N884" s="2" t="str">
        <f t="shared" si="4"/>
        <v/>
      </c>
    </row>
    <row r="885" ht="15.75" customHeight="1">
      <c r="A885" s="3"/>
      <c r="B885" s="2" t="str">
        <f t="shared" si="1"/>
        <v/>
      </c>
      <c r="E885" s="2"/>
      <c r="F885" s="2"/>
      <c r="G885" s="2"/>
      <c r="H885" s="2"/>
      <c r="I885" s="2"/>
      <c r="J885" s="2"/>
      <c r="K885" s="2" t="str">
        <f t="shared" si="2"/>
        <v/>
      </c>
      <c r="L885" s="2" t="str">
        <f t="shared" si="3"/>
        <v>No</v>
      </c>
      <c r="M885" s="2" t="str">
        <f>IF(K885="","",F885*VLOOKUP(E885,WEIGHTS!$A$2:$F$4,2,FALSE)+G885*VLOOKUP(E885,WEIGHTS!$A$2:$F$4,3,FALSE)+H885*VLOOKUP(E885,WEIGHTS!$A$2:$F$4,4,FALSE)+I885*VLOOKUP(E885,WEIGHTS!$A$2:$F$4,5,FALSE)+J885*VLOOKUP(E885,WEIGHTS!$A$2:$F$4,6,FALSE))</f>
        <v/>
      </c>
      <c r="N885" s="2" t="str">
        <f t="shared" si="4"/>
        <v/>
      </c>
    </row>
    <row r="886" ht="15.75" customHeight="1">
      <c r="A886" s="3"/>
      <c r="B886" s="2" t="str">
        <f t="shared" si="1"/>
        <v/>
      </c>
      <c r="E886" s="2"/>
      <c r="F886" s="2"/>
      <c r="G886" s="2"/>
      <c r="H886" s="2"/>
      <c r="I886" s="2"/>
      <c r="J886" s="2"/>
      <c r="K886" s="2" t="str">
        <f t="shared" si="2"/>
        <v/>
      </c>
      <c r="L886" s="2" t="str">
        <f t="shared" si="3"/>
        <v>No</v>
      </c>
      <c r="M886" s="2" t="str">
        <f>IF(K886="","",F886*VLOOKUP(E886,WEIGHTS!$A$2:$F$4,2,FALSE)+G886*VLOOKUP(E886,WEIGHTS!$A$2:$F$4,3,FALSE)+H886*VLOOKUP(E886,WEIGHTS!$A$2:$F$4,4,FALSE)+I886*VLOOKUP(E886,WEIGHTS!$A$2:$F$4,5,FALSE)+J886*VLOOKUP(E886,WEIGHTS!$A$2:$F$4,6,FALSE))</f>
        <v/>
      </c>
      <c r="N886" s="2" t="str">
        <f t="shared" si="4"/>
        <v/>
      </c>
    </row>
    <row r="887" ht="15.75" customHeight="1">
      <c r="A887" s="3"/>
      <c r="B887" s="2" t="str">
        <f t="shared" si="1"/>
        <v/>
      </c>
      <c r="E887" s="2"/>
      <c r="F887" s="2"/>
      <c r="G887" s="2"/>
      <c r="H887" s="2"/>
      <c r="I887" s="2"/>
      <c r="J887" s="2"/>
      <c r="K887" s="2" t="str">
        <f t="shared" si="2"/>
        <v/>
      </c>
      <c r="L887" s="2" t="str">
        <f t="shared" si="3"/>
        <v>No</v>
      </c>
      <c r="M887" s="2" t="str">
        <f>IF(K887="","",F887*VLOOKUP(E887,WEIGHTS!$A$2:$F$4,2,FALSE)+G887*VLOOKUP(E887,WEIGHTS!$A$2:$F$4,3,FALSE)+H887*VLOOKUP(E887,WEIGHTS!$A$2:$F$4,4,FALSE)+I887*VLOOKUP(E887,WEIGHTS!$A$2:$F$4,5,FALSE)+J887*VLOOKUP(E887,WEIGHTS!$A$2:$F$4,6,FALSE))</f>
        <v/>
      </c>
      <c r="N887" s="2" t="str">
        <f t="shared" si="4"/>
        <v/>
      </c>
    </row>
    <row r="888" ht="15.75" customHeight="1">
      <c r="A888" s="3"/>
      <c r="B888" s="2" t="str">
        <f t="shared" si="1"/>
        <v/>
      </c>
      <c r="E888" s="2"/>
      <c r="F888" s="2"/>
      <c r="G888" s="2"/>
      <c r="H888" s="2"/>
      <c r="I888" s="2"/>
      <c r="J888" s="2"/>
      <c r="K888" s="2" t="str">
        <f t="shared" si="2"/>
        <v/>
      </c>
      <c r="L888" s="2" t="str">
        <f t="shared" si="3"/>
        <v>No</v>
      </c>
      <c r="M888" s="2" t="str">
        <f>IF(K888="","",F888*VLOOKUP(E888,WEIGHTS!$A$2:$F$4,2,FALSE)+G888*VLOOKUP(E888,WEIGHTS!$A$2:$F$4,3,FALSE)+H888*VLOOKUP(E888,WEIGHTS!$A$2:$F$4,4,FALSE)+I888*VLOOKUP(E888,WEIGHTS!$A$2:$F$4,5,FALSE)+J888*VLOOKUP(E888,WEIGHTS!$A$2:$F$4,6,FALSE))</f>
        <v/>
      </c>
      <c r="N888" s="2" t="str">
        <f t="shared" si="4"/>
        <v/>
      </c>
    </row>
    <row r="889" ht="15.75" customHeight="1">
      <c r="A889" s="3"/>
      <c r="B889" s="2" t="str">
        <f t="shared" si="1"/>
        <v/>
      </c>
      <c r="E889" s="2"/>
      <c r="F889" s="2"/>
      <c r="G889" s="2"/>
      <c r="H889" s="2"/>
      <c r="I889" s="2"/>
      <c r="J889" s="2"/>
      <c r="K889" s="2" t="str">
        <f t="shared" si="2"/>
        <v/>
      </c>
      <c r="L889" s="2" t="str">
        <f t="shared" si="3"/>
        <v>No</v>
      </c>
      <c r="M889" s="2" t="str">
        <f>IF(K889="","",F889*VLOOKUP(E889,WEIGHTS!$A$2:$F$4,2,FALSE)+G889*VLOOKUP(E889,WEIGHTS!$A$2:$F$4,3,FALSE)+H889*VLOOKUP(E889,WEIGHTS!$A$2:$F$4,4,FALSE)+I889*VLOOKUP(E889,WEIGHTS!$A$2:$F$4,5,FALSE)+J889*VLOOKUP(E889,WEIGHTS!$A$2:$F$4,6,FALSE))</f>
        <v/>
      </c>
      <c r="N889" s="2" t="str">
        <f t="shared" si="4"/>
        <v/>
      </c>
    </row>
    <row r="890" ht="15.75" customHeight="1">
      <c r="A890" s="3"/>
      <c r="B890" s="2" t="str">
        <f t="shared" si="1"/>
        <v/>
      </c>
      <c r="E890" s="2"/>
      <c r="F890" s="2"/>
      <c r="G890" s="2"/>
      <c r="H890" s="2"/>
      <c r="I890" s="2"/>
      <c r="J890" s="2"/>
      <c r="K890" s="2" t="str">
        <f t="shared" si="2"/>
        <v/>
      </c>
      <c r="L890" s="2" t="str">
        <f t="shared" si="3"/>
        <v>No</v>
      </c>
      <c r="M890" s="2" t="str">
        <f>IF(K890="","",F890*VLOOKUP(E890,WEIGHTS!$A$2:$F$4,2,FALSE)+G890*VLOOKUP(E890,WEIGHTS!$A$2:$F$4,3,FALSE)+H890*VLOOKUP(E890,WEIGHTS!$A$2:$F$4,4,FALSE)+I890*VLOOKUP(E890,WEIGHTS!$A$2:$F$4,5,FALSE)+J890*VLOOKUP(E890,WEIGHTS!$A$2:$F$4,6,FALSE))</f>
        <v/>
      </c>
      <c r="N890" s="2" t="str">
        <f t="shared" si="4"/>
        <v/>
      </c>
    </row>
    <row r="891" ht="15.75" customHeight="1">
      <c r="A891" s="3"/>
      <c r="B891" s="2" t="str">
        <f t="shared" si="1"/>
        <v/>
      </c>
      <c r="E891" s="2"/>
      <c r="F891" s="2"/>
      <c r="G891" s="2"/>
      <c r="H891" s="2"/>
      <c r="I891" s="2"/>
      <c r="J891" s="2"/>
      <c r="K891" s="2" t="str">
        <f t="shared" si="2"/>
        <v/>
      </c>
      <c r="L891" s="2" t="str">
        <f t="shared" si="3"/>
        <v>No</v>
      </c>
      <c r="M891" s="2" t="str">
        <f>IF(K891="","",F891*VLOOKUP(E891,WEIGHTS!$A$2:$F$4,2,FALSE)+G891*VLOOKUP(E891,WEIGHTS!$A$2:$F$4,3,FALSE)+H891*VLOOKUP(E891,WEIGHTS!$A$2:$F$4,4,FALSE)+I891*VLOOKUP(E891,WEIGHTS!$A$2:$F$4,5,FALSE)+J891*VLOOKUP(E891,WEIGHTS!$A$2:$F$4,6,FALSE))</f>
        <v/>
      </c>
      <c r="N891" s="2" t="str">
        <f t="shared" si="4"/>
        <v/>
      </c>
    </row>
    <row r="892" ht="15.75" customHeight="1">
      <c r="A892" s="3"/>
      <c r="B892" s="2" t="str">
        <f t="shared" si="1"/>
        <v/>
      </c>
      <c r="E892" s="2"/>
      <c r="F892" s="2"/>
      <c r="G892" s="2"/>
      <c r="H892" s="2"/>
      <c r="I892" s="2"/>
      <c r="J892" s="2"/>
      <c r="K892" s="2" t="str">
        <f t="shared" si="2"/>
        <v/>
      </c>
      <c r="L892" s="2" t="str">
        <f t="shared" si="3"/>
        <v>No</v>
      </c>
      <c r="M892" s="2" t="str">
        <f>IF(K892="","",F892*VLOOKUP(E892,WEIGHTS!$A$2:$F$4,2,FALSE)+G892*VLOOKUP(E892,WEIGHTS!$A$2:$F$4,3,FALSE)+H892*VLOOKUP(E892,WEIGHTS!$A$2:$F$4,4,FALSE)+I892*VLOOKUP(E892,WEIGHTS!$A$2:$F$4,5,FALSE)+J892*VLOOKUP(E892,WEIGHTS!$A$2:$F$4,6,FALSE))</f>
        <v/>
      </c>
      <c r="N892" s="2" t="str">
        <f t="shared" si="4"/>
        <v/>
      </c>
    </row>
    <row r="893" ht="15.75" customHeight="1">
      <c r="A893" s="3"/>
      <c r="B893" s="2" t="str">
        <f t="shared" si="1"/>
        <v/>
      </c>
      <c r="E893" s="2"/>
      <c r="F893" s="2"/>
      <c r="G893" s="2"/>
      <c r="H893" s="2"/>
      <c r="I893" s="2"/>
      <c r="J893" s="2"/>
      <c r="K893" s="2" t="str">
        <f t="shared" si="2"/>
        <v/>
      </c>
      <c r="L893" s="2" t="str">
        <f t="shared" si="3"/>
        <v>No</v>
      </c>
      <c r="M893" s="2" t="str">
        <f>IF(K893="","",F893*VLOOKUP(E893,WEIGHTS!$A$2:$F$4,2,FALSE)+G893*VLOOKUP(E893,WEIGHTS!$A$2:$F$4,3,FALSE)+H893*VLOOKUP(E893,WEIGHTS!$A$2:$F$4,4,FALSE)+I893*VLOOKUP(E893,WEIGHTS!$A$2:$F$4,5,FALSE)+J893*VLOOKUP(E893,WEIGHTS!$A$2:$F$4,6,FALSE))</f>
        <v/>
      </c>
      <c r="N893" s="2" t="str">
        <f t="shared" si="4"/>
        <v/>
      </c>
    </row>
    <row r="894" ht="15.75" customHeight="1">
      <c r="A894" s="3"/>
      <c r="B894" s="2" t="str">
        <f t="shared" si="1"/>
        <v/>
      </c>
      <c r="E894" s="2"/>
      <c r="F894" s="2"/>
      <c r="G894" s="2"/>
      <c r="H894" s="2"/>
      <c r="I894" s="2"/>
      <c r="J894" s="2"/>
      <c r="K894" s="2" t="str">
        <f t="shared" si="2"/>
        <v/>
      </c>
      <c r="L894" s="2" t="str">
        <f t="shared" si="3"/>
        <v>No</v>
      </c>
      <c r="M894" s="2" t="str">
        <f>IF(K894="","",F894*VLOOKUP(E894,WEIGHTS!$A$2:$F$4,2,FALSE)+G894*VLOOKUP(E894,WEIGHTS!$A$2:$F$4,3,FALSE)+H894*VLOOKUP(E894,WEIGHTS!$A$2:$F$4,4,FALSE)+I894*VLOOKUP(E894,WEIGHTS!$A$2:$F$4,5,FALSE)+J894*VLOOKUP(E894,WEIGHTS!$A$2:$F$4,6,FALSE))</f>
        <v/>
      </c>
      <c r="N894" s="2" t="str">
        <f t="shared" si="4"/>
        <v/>
      </c>
    </row>
    <row r="895" ht="15.75" customHeight="1">
      <c r="A895" s="3"/>
      <c r="B895" s="2" t="str">
        <f t="shared" si="1"/>
        <v/>
      </c>
      <c r="E895" s="2"/>
      <c r="F895" s="2"/>
      <c r="G895" s="2"/>
      <c r="H895" s="2"/>
      <c r="I895" s="2"/>
      <c r="J895" s="2"/>
      <c r="K895" s="2" t="str">
        <f t="shared" si="2"/>
        <v/>
      </c>
      <c r="L895" s="2" t="str">
        <f t="shared" si="3"/>
        <v>No</v>
      </c>
      <c r="M895" s="2" t="str">
        <f>IF(K895="","",F895*VLOOKUP(E895,WEIGHTS!$A$2:$F$4,2,FALSE)+G895*VLOOKUP(E895,WEIGHTS!$A$2:$F$4,3,FALSE)+H895*VLOOKUP(E895,WEIGHTS!$A$2:$F$4,4,FALSE)+I895*VLOOKUP(E895,WEIGHTS!$A$2:$F$4,5,FALSE)+J895*VLOOKUP(E895,WEIGHTS!$A$2:$F$4,6,FALSE))</f>
        <v/>
      </c>
      <c r="N895" s="2" t="str">
        <f t="shared" si="4"/>
        <v/>
      </c>
    </row>
    <row r="896" ht="15.75" customHeight="1">
      <c r="A896" s="3"/>
      <c r="B896" s="2" t="str">
        <f t="shared" si="1"/>
        <v/>
      </c>
      <c r="E896" s="2"/>
      <c r="F896" s="2"/>
      <c r="G896" s="2"/>
      <c r="H896" s="2"/>
      <c r="I896" s="2"/>
      <c r="J896" s="2"/>
      <c r="K896" s="2" t="str">
        <f t="shared" si="2"/>
        <v/>
      </c>
      <c r="L896" s="2" t="str">
        <f t="shared" si="3"/>
        <v>No</v>
      </c>
      <c r="M896" s="2" t="str">
        <f>IF(K896="","",F896*VLOOKUP(E896,WEIGHTS!$A$2:$F$4,2,FALSE)+G896*VLOOKUP(E896,WEIGHTS!$A$2:$F$4,3,FALSE)+H896*VLOOKUP(E896,WEIGHTS!$A$2:$F$4,4,FALSE)+I896*VLOOKUP(E896,WEIGHTS!$A$2:$F$4,5,FALSE)+J896*VLOOKUP(E896,WEIGHTS!$A$2:$F$4,6,FALSE))</f>
        <v/>
      </c>
      <c r="N896" s="2" t="str">
        <f t="shared" si="4"/>
        <v/>
      </c>
    </row>
    <row r="897" ht="15.75" customHeight="1">
      <c r="A897" s="3"/>
      <c r="B897" s="2" t="str">
        <f t="shared" si="1"/>
        <v/>
      </c>
      <c r="E897" s="2"/>
      <c r="F897" s="2"/>
      <c r="G897" s="2"/>
      <c r="H897" s="2"/>
      <c r="I897" s="2"/>
      <c r="J897" s="2"/>
      <c r="K897" s="2" t="str">
        <f t="shared" si="2"/>
        <v/>
      </c>
      <c r="L897" s="2" t="str">
        <f t="shared" si="3"/>
        <v>No</v>
      </c>
      <c r="M897" s="2" t="str">
        <f>IF(K897="","",F897*VLOOKUP(E897,WEIGHTS!$A$2:$F$4,2,FALSE)+G897*VLOOKUP(E897,WEIGHTS!$A$2:$F$4,3,FALSE)+H897*VLOOKUP(E897,WEIGHTS!$A$2:$F$4,4,FALSE)+I897*VLOOKUP(E897,WEIGHTS!$A$2:$F$4,5,FALSE)+J897*VLOOKUP(E897,WEIGHTS!$A$2:$F$4,6,FALSE))</f>
        <v/>
      </c>
      <c r="N897" s="2" t="str">
        <f t="shared" si="4"/>
        <v/>
      </c>
    </row>
    <row r="898" ht="15.75" customHeight="1">
      <c r="A898" s="3"/>
      <c r="B898" s="2" t="str">
        <f t="shared" si="1"/>
        <v/>
      </c>
      <c r="E898" s="2"/>
      <c r="F898" s="2"/>
      <c r="G898" s="2"/>
      <c r="H898" s="2"/>
      <c r="I898" s="2"/>
      <c r="J898" s="2"/>
      <c r="K898" s="2" t="str">
        <f t="shared" si="2"/>
        <v/>
      </c>
      <c r="L898" s="2" t="str">
        <f t="shared" si="3"/>
        <v>No</v>
      </c>
      <c r="M898" s="2" t="str">
        <f>IF(K898="","",F898*VLOOKUP(E898,WEIGHTS!$A$2:$F$4,2,FALSE)+G898*VLOOKUP(E898,WEIGHTS!$A$2:$F$4,3,FALSE)+H898*VLOOKUP(E898,WEIGHTS!$A$2:$F$4,4,FALSE)+I898*VLOOKUP(E898,WEIGHTS!$A$2:$F$4,5,FALSE)+J898*VLOOKUP(E898,WEIGHTS!$A$2:$F$4,6,FALSE))</f>
        <v/>
      </c>
      <c r="N898" s="2" t="str">
        <f t="shared" si="4"/>
        <v/>
      </c>
    </row>
    <row r="899" ht="15.75" customHeight="1">
      <c r="A899" s="3"/>
      <c r="B899" s="2" t="str">
        <f t="shared" si="1"/>
        <v/>
      </c>
      <c r="E899" s="2"/>
      <c r="F899" s="2"/>
      <c r="G899" s="2"/>
      <c r="H899" s="2"/>
      <c r="I899" s="2"/>
      <c r="J899" s="2"/>
      <c r="K899" s="2" t="str">
        <f t="shared" si="2"/>
        <v/>
      </c>
      <c r="L899" s="2" t="str">
        <f t="shared" si="3"/>
        <v>No</v>
      </c>
      <c r="M899" s="2" t="str">
        <f>IF(K899="","",F899*VLOOKUP(E899,WEIGHTS!$A$2:$F$4,2,FALSE)+G899*VLOOKUP(E899,WEIGHTS!$A$2:$F$4,3,FALSE)+H899*VLOOKUP(E899,WEIGHTS!$A$2:$F$4,4,FALSE)+I899*VLOOKUP(E899,WEIGHTS!$A$2:$F$4,5,FALSE)+J899*VLOOKUP(E899,WEIGHTS!$A$2:$F$4,6,FALSE))</f>
        <v/>
      </c>
      <c r="N899" s="2" t="str">
        <f t="shared" si="4"/>
        <v/>
      </c>
    </row>
    <row r="900" ht="15.75" customHeight="1">
      <c r="A900" s="3"/>
      <c r="B900" s="2" t="str">
        <f t="shared" si="1"/>
        <v/>
      </c>
      <c r="E900" s="2"/>
      <c r="F900" s="2"/>
      <c r="G900" s="2"/>
      <c r="H900" s="2"/>
      <c r="I900" s="2"/>
      <c r="J900" s="2"/>
      <c r="K900" s="2" t="str">
        <f t="shared" si="2"/>
        <v/>
      </c>
      <c r="L900" s="2" t="str">
        <f t="shared" si="3"/>
        <v>No</v>
      </c>
      <c r="M900" s="2" t="str">
        <f>IF(K900="","",F900*VLOOKUP(E900,WEIGHTS!$A$2:$F$4,2,FALSE)+G900*VLOOKUP(E900,WEIGHTS!$A$2:$F$4,3,FALSE)+H900*VLOOKUP(E900,WEIGHTS!$A$2:$F$4,4,FALSE)+I900*VLOOKUP(E900,WEIGHTS!$A$2:$F$4,5,FALSE)+J900*VLOOKUP(E900,WEIGHTS!$A$2:$F$4,6,FALSE))</f>
        <v/>
      </c>
      <c r="N900" s="2" t="str">
        <f t="shared" si="4"/>
        <v/>
      </c>
    </row>
    <row r="901" ht="15.75" customHeight="1">
      <c r="A901" s="3"/>
      <c r="B901" s="2" t="str">
        <f t="shared" si="1"/>
        <v/>
      </c>
      <c r="E901" s="2"/>
      <c r="F901" s="2"/>
      <c r="G901" s="2"/>
      <c r="H901" s="2"/>
      <c r="I901" s="2"/>
      <c r="J901" s="2"/>
      <c r="K901" s="2" t="str">
        <f t="shared" si="2"/>
        <v/>
      </c>
      <c r="L901" s="2" t="str">
        <f t="shared" si="3"/>
        <v>No</v>
      </c>
      <c r="M901" s="2" t="str">
        <f>IF(K901="","",F901*VLOOKUP(E901,WEIGHTS!$A$2:$F$4,2,FALSE)+G901*VLOOKUP(E901,WEIGHTS!$A$2:$F$4,3,FALSE)+H901*VLOOKUP(E901,WEIGHTS!$A$2:$F$4,4,FALSE)+I901*VLOOKUP(E901,WEIGHTS!$A$2:$F$4,5,FALSE)+J901*VLOOKUP(E901,WEIGHTS!$A$2:$F$4,6,FALSE))</f>
        <v/>
      </c>
      <c r="N901" s="2" t="str">
        <f t="shared" si="4"/>
        <v/>
      </c>
    </row>
    <row r="902" ht="15.75" customHeight="1">
      <c r="A902" s="3"/>
      <c r="B902" s="2" t="str">
        <f t="shared" si="1"/>
        <v/>
      </c>
      <c r="E902" s="2"/>
      <c r="F902" s="2"/>
      <c r="G902" s="2"/>
      <c r="H902" s="2"/>
      <c r="I902" s="2"/>
      <c r="J902" s="2"/>
      <c r="K902" s="2" t="str">
        <f t="shared" si="2"/>
        <v/>
      </c>
      <c r="L902" s="2" t="str">
        <f t="shared" si="3"/>
        <v>No</v>
      </c>
      <c r="M902" s="2" t="str">
        <f>IF(K902="","",F902*VLOOKUP(E902,WEIGHTS!$A$2:$F$4,2,FALSE)+G902*VLOOKUP(E902,WEIGHTS!$A$2:$F$4,3,FALSE)+H902*VLOOKUP(E902,WEIGHTS!$A$2:$F$4,4,FALSE)+I902*VLOOKUP(E902,WEIGHTS!$A$2:$F$4,5,FALSE)+J902*VLOOKUP(E902,WEIGHTS!$A$2:$F$4,6,FALSE))</f>
        <v/>
      </c>
      <c r="N902" s="2" t="str">
        <f t="shared" si="4"/>
        <v/>
      </c>
    </row>
    <row r="903" ht="15.75" customHeight="1">
      <c r="A903" s="3"/>
      <c r="B903" s="2" t="str">
        <f t="shared" si="1"/>
        <v/>
      </c>
      <c r="E903" s="2"/>
      <c r="F903" s="2"/>
      <c r="G903" s="2"/>
      <c r="H903" s="2"/>
      <c r="I903" s="2"/>
      <c r="J903" s="2"/>
      <c r="K903" s="2" t="str">
        <f t="shared" si="2"/>
        <v/>
      </c>
      <c r="L903" s="2" t="str">
        <f t="shared" si="3"/>
        <v>No</v>
      </c>
      <c r="M903" s="2" t="str">
        <f>IF(K903="","",F903*VLOOKUP(E903,WEIGHTS!$A$2:$F$4,2,FALSE)+G903*VLOOKUP(E903,WEIGHTS!$A$2:$F$4,3,FALSE)+H903*VLOOKUP(E903,WEIGHTS!$A$2:$F$4,4,FALSE)+I903*VLOOKUP(E903,WEIGHTS!$A$2:$F$4,5,FALSE)+J903*VLOOKUP(E903,WEIGHTS!$A$2:$F$4,6,FALSE))</f>
        <v/>
      </c>
      <c r="N903" s="2" t="str">
        <f t="shared" si="4"/>
        <v/>
      </c>
    </row>
    <row r="904" ht="15.75" customHeight="1">
      <c r="A904" s="3"/>
      <c r="B904" s="2" t="str">
        <f t="shared" si="1"/>
        <v/>
      </c>
      <c r="E904" s="2"/>
      <c r="F904" s="2"/>
      <c r="G904" s="2"/>
      <c r="H904" s="2"/>
      <c r="I904" s="2"/>
      <c r="J904" s="2"/>
      <c r="K904" s="2" t="str">
        <f t="shared" si="2"/>
        <v/>
      </c>
      <c r="L904" s="2" t="str">
        <f t="shared" si="3"/>
        <v>No</v>
      </c>
      <c r="M904" s="2" t="str">
        <f>IF(K904="","",F904*VLOOKUP(E904,WEIGHTS!$A$2:$F$4,2,FALSE)+G904*VLOOKUP(E904,WEIGHTS!$A$2:$F$4,3,FALSE)+H904*VLOOKUP(E904,WEIGHTS!$A$2:$F$4,4,FALSE)+I904*VLOOKUP(E904,WEIGHTS!$A$2:$F$4,5,FALSE)+J904*VLOOKUP(E904,WEIGHTS!$A$2:$F$4,6,FALSE))</f>
        <v/>
      </c>
      <c r="N904" s="2" t="str">
        <f t="shared" si="4"/>
        <v/>
      </c>
    </row>
    <row r="905" ht="15.75" customHeight="1">
      <c r="A905" s="3"/>
      <c r="B905" s="2" t="str">
        <f t="shared" si="1"/>
        <v/>
      </c>
      <c r="E905" s="2"/>
      <c r="F905" s="2"/>
      <c r="G905" s="2"/>
      <c r="H905" s="2"/>
      <c r="I905" s="2"/>
      <c r="J905" s="2"/>
      <c r="K905" s="2" t="str">
        <f t="shared" si="2"/>
        <v/>
      </c>
      <c r="L905" s="2" t="str">
        <f t="shared" si="3"/>
        <v>No</v>
      </c>
      <c r="M905" s="2" t="str">
        <f>IF(K905="","",F905*VLOOKUP(E905,WEIGHTS!$A$2:$F$4,2,FALSE)+G905*VLOOKUP(E905,WEIGHTS!$A$2:$F$4,3,FALSE)+H905*VLOOKUP(E905,WEIGHTS!$A$2:$F$4,4,FALSE)+I905*VLOOKUP(E905,WEIGHTS!$A$2:$F$4,5,FALSE)+J905*VLOOKUP(E905,WEIGHTS!$A$2:$F$4,6,FALSE))</f>
        <v/>
      </c>
      <c r="N905" s="2" t="str">
        <f t="shared" si="4"/>
        <v/>
      </c>
    </row>
    <row r="906" ht="15.75" customHeight="1">
      <c r="A906" s="3"/>
      <c r="B906" s="2" t="str">
        <f t="shared" si="1"/>
        <v/>
      </c>
      <c r="E906" s="2"/>
      <c r="F906" s="2"/>
      <c r="G906" s="2"/>
      <c r="H906" s="2"/>
      <c r="I906" s="2"/>
      <c r="J906" s="2"/>
      <c r="K906" s="2" t="str">
        <f t="shared" si="2"/>
        <v/>
      </c>
      <c r="L906" s="2" t="str">
        <f t="shared" si="3"/>
        <v>No</v>
      </c>
      <c r="M906" s="2" t="str">
        <f>IF(K906="","",F906*VLOOKUP(E906,WEIGHTS!$A$2:$F$4,2,FALSE)+G906*VLOOKUP(E906,WEIGHTS!$A$2:$F$4,3,FALSE)+H906*VLOOKUP(E906,WEIGHTS!$A$2:$F$4,4,FALSE)+I906*VLOOKUP(E906,WEIGHTS!$A$2:$F$4,5,FALSE)+J906*VLOOKUP(E906,WEIGHTS!$A$2:$F$4,6,FALSE))</f>
        <v/>
      </c>
      <c r="N906" s="2" t="str">
        <f t="shared" si="4"/>
        <v/>
      </c>
    </row>
    <row r="907" ht="15.75" customHeight="1">
      <c r="A907" s="3"/>
      <c r="B907" s="2" t="str">
        <f t="shared" si="1"/>
        <v/>
      </c>
      <c r="E907" s="2"/>
      <c r="F907" s="2"/>
      <c r="G907" s="2"/>
      <c r="H907" s="2"/>
      <c r="I907" s="2"/>
      <c r="J907" s="2"/>
      <c r="K907" s="2" t="str">
        <f t="shared" si="2"/>
        <v/>
      </c>
      <c r="L907" s="2" t="str">
        <f t="shared" si="3"/>
        <v>No</v>
      </c>
      <c r="M907" s="2" t="str">
        <f>IF(K907="","",F907*VLOOKUP(E907,WEIGHTS!$A$2:$F$4,2,FALSE)+G907*VLOOKUP(E907,WEIGHTS!$A$2:$F$4,3,FALSE)+H907*VLOOKUP(E907,WEIGHTS!$A$2:$F$4,4,FALSE)+I907*VLOOKUP(E907,WEIGHTS!$A$2:$F$4,5,FALSE)+J907*VLOOKUP(E907,WEIGHTS!$A$2:$F$4,6,FALSE))</f>
        <v/>
      </c>
      <c r="N907" s="2" t="str">
        <f t="shared" si="4"/>
        <v/>
      </c>
    </row>
    <row r="908" ht="15.75" customHeight="1">
      <c r="A908" s="3"/>
      <c r="B908" s="2" t="str">
        <f t="shared" si="1"/>
        <v/>
      </c>
      <c r="E908" s="2"/>
      <c r="F908" s="2"/>
      <c r="G908" s="2"/>
      <c r="H908" s="2"/>
      <c r="I908" s="2"/>
      <c r="J908" s="2"/>
      <c r="K908" s="2" t="str">
        <f t="shared" si="2"/>
        <v/>
      </c>
      <c r="L908" s="2" t="str">
        <f t="shared" si="3"/>
        <v>No</v>
      </c>
      <c r="M908" s="2" t="str">
        <f>IF(K908="","",F908*VLOOKUP(E908,WEIGHTS!$A$2:$F$4,2,FALSE)+G908*VLOOKUP(E908,WEIGHTS!$A$2:$F$4,3,FALSE)+H908*VLOOKUP(E908,WEIGHTS!$A$2:$F$4,4,FALSE)+I908*VLOOKUP(E908,WEIGHTS!$A$2:$F$4,5,FALSE)+J908*VLOOKUP(E908,WEIGHTS!$A$2:$F$4,6,FALSE))</f>
        <v/>
      </c>
      <c r="N908" s="2" t="str">
        <f t="shared" si="4"/>
        <v/>
      </c>
    </row>
    <row r="909" ht="15.75" customHeight="1">
      <c r="A909" s="3"/>
      <c r="B909" s="2" t="str">
        <f t="shared" si="1"/>
        <v/>
      </c>
      <c r="E909" s="2"/>
      <c r="F909" s="2"/>
      <c r="G909" s="2"/>
      <c r="H909" s="2"/>
      <c r="I909" s="2"/>
      <c r="J909" s="2"/>
      <c r="K909" s="2" t="str">
        <f t="shared" si="2"/>
        <v/>
      </c>
      <c r="L909" s="2" t="str">
        <f t="shared" si="3"/>
        <v>No</v>
      </c>
      <c r="M909" s="2" t="str">
        <f>IF(K909="","",F909*VLOOKUP(E909,WEIGHTS!$A$2:$F$4,2,FALSE)+G909*VLOOKUP(E909,WEIGHTS!$A$2:$F$4,3,FALSE)+H909*VLOOKUP(E909,WEIGHTS!$A$2:$F$4,4,FALSE)+I909*VLOOKUP(E909,WEIGHTS!$A$2:$F$4,5,FALSE)+J909*VLOOKUP(E909,WEIGHTS!$A$2:$F$4,6,FALSE))</f>
        <v/>
      </c>
      <c r="N909" s="2" t="str">
        <f t="shared" si="4"/>
        <v/>
      </c>
    </row>
    <row r="910" ht="15.75" customHeight="1">
      <c r="A910" s="3"/>
      <c r="B910" s="2" t="str">
        <f t="shared" si="1"/>
        <v/>
      </c>
      <c r="E910" s="2"/>
      <c r="F910" s="2"/>
      <c r="G910" s="2"/>
      <c r="H910" s="2"/>
      <c r="I910" s="2"/>
      <c r="J910" s="2"/>
      <c r="K910" s="2" t="str">
        <f t="shared" si="2"/>
        <v/>
      </c>
      <c r="L910" s="2" t="str">
        <f t="shared" si="3"/>
        <v>No</v>
      </c>
      <c r="M910" s="2" t="str">
        <f>IF(K910="","",F910*VLOOKUP(E910,WEIGHTS!$A$2:$F$4,2,FALSE)+G910*VLOOKUP(E910,WEIGHTS!$A$2:$F$4,3,FALSE)+H910*VLOOKUP(E910,WEIGHTS!$A$2:$F$4,4,FALSE)+I910*VLOOKUP(E910,WEIGHTS!$A$2:$F$4,5,FALSE)+J910*VLOOKUP(E910,WEIGHTS!$A$2:$F$4,6,FALSE))</f>
        <v/>
      </c>
      <c r="N910" s="2" t="str">
        <f t="shared" si="4"/>
        <v/>
      </c>
    </row>
    <row r="911" ht="15.75" customHeight="1">
      <c r="A911" s="3"/>
      <c r="B911" s="2" t="str">
        <f t="shared" si="1"/>
        <v/>
      </c>
      <c r="E911" s="2"/>
      <c r="F911" s="2"/>
      <c r="G911" s="2"/>
      <c r="H911" s="2"/>
      <c r="I911" s="2"/>
      <c r="J911" s="2"/>
      <c r="K911" s="2" t="str">
        <f t="shared" si="2"/>
        <v/>
      </c>
      <c r="L911" s="2" t="str">
        <f t="shared" si="3"/>
        <v>No</v>
      </c>
      <c r="M911" s="2" t="str">
        <f>IF(K911="","",F911*VLOOKUP(E911,WEIGHTS!$A$2:$F$4,2,FALSE)+G911*VLOOKUP(E911,WEIGHTS!$A$2:$F$4,3,FALSE)+H911*VLOOKUP(E911,WEIGHTS!$A$2:$F$4,4,FALSE)+I911*VLOOKUP(E911,WEIGHTS!$A$2:$F$4,5,FALSE)+J911*VLOOKUP(E911,WEIGHTS!$A$2:$F$4,6,FALSE))</f>
        <v/>
      </c>
      <c r="N911" s="2" t="str">
        <f t="shared" si="4"/>
        <v/>
      </c>
    </row>
    <row r="912" ht="15.75" customHeight="1">
      <c r="A912" s="3"/>
      <c r="B912" s="2" t="str">
        <f t="shared" si="1"/>
        <v/>
      </c>
      <c r="E912" s="2"/>
      <c r="F912" s="2"/>
      <c r="G912" s="2"/>
      <c r="H912" s="2"/>
      <c r="I912" s="2"/>
      <c r="J912" s="2"/>
      <c r="K912" s="2" t="str">
        <f t="shared" si="2"/>
        <v/>
      </c>
      <c r="L912" s="2" t="str">
        <f t="shared" si="3"/>
        <v>No</v>
      </c>
      <c r="M912" s="2" t="str">
        <f>IF(K912="","",F912*VLOOKUP(E912,WEIGHTS!$A$2:$F$4,2,FALSE)+G912*VLOOKUP(E912,WEIGHTS!$A$2:$F$4,3,FALSE)+H912*VLOOKUP(E912,WEIGHTS!$A$2:$F$4,4,FALSE)+I912*VLOOKUP(E912,WEIGHTS!$A$2:$F$4,5,FALSE)+J912*VLOOKUP(E912,WEIGHTS!$A$2:$F$4,6,FALSE))</f>
        <v/>
      </c>
      <c r="N912" s="2" t="str">
        <f t="shared" si="4"/>
        <v/>
      </c>
    </row>
    <row r="913" ht="15.75" customHeight="1">
      <c r="A913" s="3"/>
      <c r="B913" s="2" t="str">
        <f t="shared" si="1"/>
        <v/>
      </c>
      <c r="E913" s="2"/>
      <c r="F913" s="2"/>
      <c r="G913" s="2"/>
      <c r="H913" s="2"/>
      <c r="I913" s="2"/>
      <c r="J913" s="2"/>
      <c r="K913" s="2" t="str">
        <f t="shared" si="2"/>
        <v/>
      </c>
      <c r="L913" s="2" t="str">
        <f t="shared" si="3"/>
        <v>No</v>
      </c>
      <c r="M913" s="2" t="str">
        <f>IF(K913="","",F913*VLOOKUP(E913,WEIGHTS!$A$2:$F$4,2,FALSE)+G913*VLOOKUP(E913,WEIGHTS!$A$2:$F$4,3,FALSE)+H913*VLOOKUP(E913,WEIGHTS!$A$2:$F$4,4,FALSE)+I913*VLOOKUP(E913,WEIGHTS!$A$2:$F$4,5,FALSE)+J913*VLOOKUP(E913,WEIGHTS!$A$2:$F$4,6,FALSE))</f>
        <v/>
      </c>
      <c r="N913" s="2" t="str">
        <f t="shared" si="4"/>
        <v/>
      </c>
    </row>
    <row r="914" ht="15.75" customHeight="1">
      <c r="A914" s="3"/>
      <c r="B914" s="2" t="str">
        <f t="shared" si="1"/>
        <v/>
      </c>
      <c r="E914" s="2"/>
      <c r="F914" s="2"/>
      <c r="G914" s="2"/>
      <c r="H914" s="2"/>
      <c r="I914" s="2"/>
      <c r="J914" s="2"/>
      <c r="K914" s="2" t="str">
        <f t="shared" si="2"/>
        <v/>
      </c>
      <c r="L914" s="2" t="str">
        <f t="shared" si="3"/>
        <v>No</v>
      </c>
      <c r="M914" s="2" t="str">
        <f>IF(K914="","",F914*VLOOKUP(E914,WEIGHTS!$A$2:$F$4,2,FALSE)+G914*VLOOKUP(E914,WEIGHTS!$A$2:$F$4,3,FALSE)+H914*VLOOKUP(E914,WEIGHTS!$A$2:$F$4,4,FALSE)+I914*VLOOKUP(E914,WEIGHTS!$A$2:$F$4,5,FALSE)+J914*VLOOKUP(E914,WEIGHTS!$A$2:$F$4,6,FALSE))</f>
        <v/>
      </c>
      <c r="N914" s="2" t="str">
        <f t="shared" si="4"/>
        <v/>
      </c>
    </row>
    <row r="915" ht="15.75" customHeight="1">
      <c r="A915" s="3"/>
      <c r="B915" s="2" t="str">
        <f t="shared" si="1"/>
        <v/>
      </c>
      <c r="E915" s="2"/>
      <c r="F915" s="2"/>
      <c r="G915" s="2"/>
      <c r="H915" s="2"/>
      <c r="I915" s="2"/>
      <c r="J915" s="2"/>
      <c r="K915" s="2" t="str">
        <f t="shared" si="2"/>
        <v/>
      </c>
      <c r="L915" s="2" t="str">
        <f t="shared" si="3"/>
        <v>No</v>
      </c>
      <c r="M915" s="2" t="str">
        <f>IF(K915="","",F915*VLOOKUP(E915,WEIGHTS!$A$2:$F$4,2,FALSE)+G915*VLOOKUP(E915,WEIGHTS!$A$2:$F$4,3,FALSE)+H915*VLOOKUP(E915,WEIGHTS!$A$2:$F$4,4,FALSE)+I915*VLOOKUP(E915,WEIGHTS!$A$2:$F$4,5,FALSE)+J915*VLOOKUP(E915,WEIGHTS!$A$2:$F$4,6,FALSE))</f>
        <v/>
      </c>
      <c r="N915" s="2" t="str">
        <f t="shared" si="4"/>
        <v/>
      </c>
    </row>
    <row r="916" ht="15.75" customHeight="1">
      <c r="A916" s="3"/>
      <c r="B916" s="2" t="str">
        <f t="shared" si="1"/>
        <v/>
      </c>
      <c r="E916" s="2"/>
      <c r="F916" s="2"/>
      <c r="G916" s="2"/>
      <c r="H916" s="2"/>
      <c r="I916" s="2"/>
      <c r="J916" s="2"/>
      <c r="K916" s="2" t="str">
        <f t="shared" si="2"/>
        <v/>
      </c>
      <c r="L916" s="2" t="str">
        <f t="shared" si="3"/>
        <v>No</v>
      </c>
      <c r="M916" s="2" t="str">
        <f>IF(K916="","",F916*VLOOKUP(E916,WEIGHTS!$A$2:$F$4,2,FALSE)+G916*VLOOKUP(E916,WEIGHTS!$A$2:$F$4,3,FALSE)+H916*VLOOKUP(E916,WEIGHTS!$A$2:$F$4,4,FALSE)+I916*VLOOKUP(E916,WEIGHTS!$A$2:$F$4,5,FALSE)+J916*VLOOKUP(E916,WEIGHTS!$A$2:$F$4,6,FALSE))</f>
        <v/>
      </c>
      <c r="N916" s="2" t="str">
        <f t="shared" si="4"/>
        <v/>
      </c>
    </row>
    <row r="917" ht="15.75" customHeight="1">
      <c r="A917" s="3"/>
      <c r="B917" s="2" t="str">
        <f t="shared" si="1"/>
        <v/>
      </c>
      <c r="E917" s="2"/>
      <c r="F917" s="2"/>
      <c r="G917" s="2"/>
      <c r="H917" s="2"/>
      <c r="I917" s="2"/>
      <c r="J917" s="2"/>
      <c r="K917" s="2" t="str">
        <f t="shared" si="2"/>
        <v/>
      </c>
      <c r="L917" s="2" t="str">
        <f t="shared" si="3"/>
        <v>No</v>
      </c>
      <c r="M917" s="2" t="str">
        <f>IF(K917="","",F917*VLOOKUP(E917,WEIGHTS!$A$2:$F$4,2,FALSE)+G917*VLOOKUP(E917,WEIGHTS!$A$2:$F$4,3,FALSE)+H917*VLOOKUP(E917,WEIGHTS!$A$2:$F$4,4,FALSE)+I917*VLOOKUP(E917,WEIGHTS!$A$2:$F$4,5,FALSE)+J917*VLOOKUP(E917,WEIGHTS!$A$2:$F$4,6,FALSE))</f>
        <v/>
      </c>
      <c r="N917" s="2" t="str">
        <f t="shared" si="4"/>
        <v/>
      </c>
    </row>
    <row r="918" ht="15.75" customHeight="1">
      <c r="A918" s="3"/>
      <c r="B918" s="2" t="str">
        <f t="shared" si="1"/>
        <v/>
      </c>
      <c r="E918" s="2"/>
      <c r="F918" s="2"/>
      <c r="G918" s="2"/>
      <c r="H918" s="2"/>
      <c r="I918" s="2"/>
      <c r="J918" s="2"/>
      <c r="K918" s="2" t="str">
        <f t="shared" si="2"/>
        <v/>
      </c>
      <c r="L918" s="2" t="str">
        <f t="shared" si="3"/>
        <v>No</v>
      </c>
      <c r="M918" s="2" t="str">
        <f>IF(K918="","",F918*VLOOKUP(E918,WEIGHTS!$A$2:$F$4,2,FALSE)+G918*VLOOKUP(E918,WEIGHTS!$A$2:$F$4,3,FALSE)+H918*VLOOKUP(E918,WEIGHTS!$A$2:$F$4,4,FALSE)+I918*VLOOKUP(E918,WEIGHTS!$A$2:$F$4,5,FALSE)+J918*VLOOKUP(E918,WEIGHTS!$A$2:$F$4,6,FALSE))</f>
        <v/>
      </c>
      <c r="N918" s="2" t="str">
        <f t="shared" si="4"/>
        <v/>
      </c>
    </row>
    <row r="919" ht="15.75" customHeight="1">
      <c r="A919" s="3"/>
      <c r="B919" s="2" t="str">
        <f t="shared" si="1"/>
        <v/>
      </c>
      <c r="E919" s="2"/>
      <c r="F919" s="2"/>
      <c r="G919" s="2"/>
      <c r="H919" s="2"/>
      <c r="I919" s="2"/>
      <c r="J919" s="2"/>
      <c r="K919" s="2" t="str">
        <f t="shared" si="2"/>
        <v/>
      </c>
      <c r="L919" s="2" t="str">
        <f t="shared" si="3"/>
        <v>No</v>
      </c>
      <c r="M919" s="2" t="str">
        <f>IF(K919="","",F919*VLOOKUP(E919,WEIGHTS!$A$2:$F$4,2,FALSE)+G919*VLOOKUP(E919,WEIGHTS!$A$2:$F$4,3,FALSE)+H919*VLOOKUP(E919,WEIGHTS!$A$2:$F$4,4,FALSE)+I919*VLOOKUP(E919,WEIGHTS!$A$2:$F$4,5,FALSE)+J919*VLOOKUP(E919,WEIGHTS!$A$2:$F$4,6,FALSE))</f>
        <v/>
      </c>
      <c r="N919" s="2" t="str">
        <f t="shared" si="4"/>
        <v/>
      </c>
    </row>
    <row r="920" ht="15.75" customHeight="1">
      <c r="A920" s="3"/>
      <c r="B920" s="2" t="str">
        <f t="shared" si="1"/>
        <v/>
      </c>
      <c r="E920" s="2"/>
      <c r="F920" s="2"/>
      <c r="G920" s="2"/>
      <c r="H920" s="2"/>
      <c r="I920" s="2"/>
      <c r="J920" s="2"/>
      <c r="K920" s="2" t="str">
        <f t="shared" si="2"/>
        <v/>
      </c>
      <c r="L920" s="2" t="str">
        <f t="shared" si="3"/>
        <v>No</v>
      </c>
      <c r="M920" s="2" t="str">
        <f>IF(K920="","",F920*VLOOKUP(E920,WEIGHTS!$A$2:$F$4,2,FALSE)+G920*VLOOKUP(E920,WEIGHTS!$A$2:$F$4,3,FALSE)+H920*VLOOKUP(E920,WEIGHTS!$A$2:$F$4,4,FALSE)+I920*VLOOKUP(E920,WEIGHTS!$A$2:$F$4,5,FALSE)+J920*VLOOKUP(E920,WEIGHTS!$A$2:$F$4,6,FALSE))</f>
        <v/>
      </c>
      <c r="N920" s="2" t="str">
        <f t="shared" si="4"/>
        <v/>
      </c>
    </row>
    <row r="921" ht="15.75" customHeight="1">
      <c r="A921" s="3"/>
      <c r="B921" s="2" t="str">
        <f t="shared" si="1"/>
        <v/>
      </c>
      <c r="E921" s="2"/>
      <c r="F921" s="2"/>
      <c r="G921" s="2"/>
      <c r="H921" s="2"/>
      <c r="I921" s="2"/>
      <c r="J921" s="2"/>
      <c r="K921" s="2" t="str">
        <f t="shared" si="2"/>
        <v/>
      </c>
      <c r="L921" s="2" t="str">
        <f t="shared" si="3"/>
        <v>No</v>
      </c>
      <c r="M921" s="2" t="str">
        <f>IF(K921="","",F921*VLOOKUP(E921,WEIGHTS!$A$2:$F$4,2,FALSE)+G921*VLOOKUP(E921,WEIGHTS!$A$2:$F$4,3,FALSE)+H921*VLOOKUP(E921,WEIGHTS!$A$2:$F$4,4,FALSE)+I921*VLOOKUP(E921,WEIGHTS!$A$2:$F$4,5,FALSE)+J921*VLOOKUP(E921,WEIGHTS!$A$2:$F$4,6,FALSE))</f>
        <v/>
      </c>
      <c r="N921" s="2" t="str">
        <f t="shared" si="4"/>
        <v/>
      </c>
    </row>
    <row r="922" ht="15.75" customHeight="1">
      <c r="A922" s="3"/>
      <c r="B922" s="2" t="str">
        <f t="shared" si="1"/>
        <v/>
      </c>
      <c r="E922" s="2"/>
      <c r="F922" s="2"/>
      <c r="G922" s="2"/>
      <c r="H922" s="2"/>
      <c r="I922" s="2"/>
      <c r="J922" s="2"/>
      <c r="K922" s="2" t="str">
        <f t="shared" si="2"/>
        <v/>
      </c>
      <c r="L922" s="2" t="str">
        <f t="shared" si="3"/>
        <v>No</v>
      </c>
      <c r="M922" s="2" t="str">
        <f>IF(K922="","",F922*VLOOKUP(E922,WEIGHTS!$A$2:$F$4,2,FALSE)+G922*VLOOKUP(E922,WEIGHTS!$A$2:$F$4,3,FALSE)+H922*VLOOKUP(E922,WEIGHTS!$A$2:$F$4,4,FALSE)+I922*VLOOKUP(E922,WEIGHTS!$A$2:$F$4,5,FALSE)+J922*VLOOKUP(E922,WEIGHTS!$A$2:$F$4,6,FALSE))</f>
        <v/>
      </c>
      <c r="N922" s="2" t="str">
        <f t="shared" si="4"/>
        <v/>
      </c>
    </row>
    <row r="923" ht="15.75" customHeight="1">
      <c r="A923" s="3"/>
      <c r="B923" s="2" t="str">
        <f t="shared" si="1"/>
        <v/>
      </c>
      <c r="E923" s="2"/>
      <c r="F923" s="2"/>
      <c r="G923" s="2"/>
      <c r="H923" s="2"/>
      <c r="I923" s="2"/>
      <c r="J923" s="2"/>
      <c r="K923" s="2" t="str">
        <f t="shared" si="2"/>
        <v/>
      </c>
      <c r="L923" s="2" t="str">
        <f t="shared" si="3"/>
        <v>No</v>
      </c>
      <c r="M923" s="2" t="str">
        <f>IF(K923="","",F923*VLOOKUP(E923,WEIGHTS!$A$2:$F$4,2,FALSE)+G923*VLOOKUP(E923,WEIGHTS!$A$2:$F$4,3,FALSE)+H923*VLOOKUP(E923,WEIGHTS!$A$2:$F$4,4,FALSE)+I923*VLOOKUP(E923,WEIGHTS!$A$2:$F$4,5,FALSE)+J923*VLOOKUP(E923,WEIGHTS!$A$2:$F$4,6,FALSE))</f>
        <v/>
      </c>
      <c r="N923" s="2" t="str">
        <f t="shared" si="4"/>
        <v/>
      </c>
    </row>
    <row r="924" ht="15.75" customHeight="1">
      <c r="A924" s="3"/>
      <c r="B924" s="2" t="str">
        <f t="shared" si="1"/>
        <v/>
      </c>
      <c r="E924" s="2"/>
      <c r="F924" s="2"/>
      <c r="G924" s="2"/>
      <c r="H924" s="2"/>
      <c r="I924" s="2"/>
      <c r="J924" s="2"/>
      <c r="K924" s="2" t="str">
        <f t="shared" si="2"/>
        <v/>
      </c>
      <c r="L924" s="2" t="str">
        <f t="shared" si="3"/>
        <v>No</v>
      </c>
      <c r="M924" s="2" t="str">
        <f>IF(K924="","",F924*VLOOKUP(E924,WEIGHTS!$A$2:$F$4,2,FALSE)+G924*VLOOKUP(E924,WEIGHTS!$A$2:$F$4,3,FALSE)+H924*VLOOKUP(E924,WEIGHTS!$A$2:$F$4,4,FALSE)+I924*VLOOKUP(E924,WEIGHTS!$A$2:$F$4,5,FALSE)+J924*VLOOKUP(E924,WEIGHTS!$A$2:$F$4,6,FALSE))</f>
        <v/>
      </c>
      <c r="N924" s="2" t="str">
        <f t="shared" si="4"/>
        <v/>
      </c>
    </row>
    <row r="925" ht="15.75" customHeight="1">
      <c r="A925" s="3"/>
      <c r="B925" s="2" t="str">
        <f t="shared" si="1"/>
        <v/>
      </c>
      <c r="E925" s="2"/>
      <c r="F925" s="2"/>
      <c r="G925" s="2"/>
      <c r="H925" s="2"/>
      <c r="I925" s="2"/>
      <c r="J925" s="2"/>
      <c r="K925" s="2" t="str">
        <f t="shared" si="2"/>
        <v/>
      </c>
      <c r="L925" s="2" t="str">
        <f t="shared" si="3"/>
        <v>No</v>
      </c>
      <c r="M925" s="2" t="str">
        <f>IF(K925="","",F925*VLOOKUP(E925,WEIGHTS!$A$2:$F$4,2,FALSE)+G925*VLOOKUP(E925,WEIGHTS!$A$2:$F$4,3,FALSE)+H925*VLOOKUP(E925,WEIGHTS!$A$2:$F$4,4,FALSE)+I925*VLOOKUP(E925,WEIGHTS!$A$2:$F$4,5,FALSE)+J925*VLOOKUP(E925,WEIGHTS!$A$2:$F$4,6,FALSE))</f>
        <v/>
      </c>
      <c r="N925" s="2" t="str">
        <f t="shared" si="4"/>
        <v/>
      </c>
    </row>
    <row r="926" ht="15.75" customHeight="1">
      <c r="A926" s="3"/>
      <c r="B926" s="2" t="str">
        <f t="shared" si="1"/>
        <v/>
      </c>
      <c r="E926" s="2"/>
      <c r="F926" s="2"/>
      <c r="G926" s="2"/>
      <c r="H926" s="2"/>
      <c r="I926" s="2"/>
      <c r="J926" s="2"/>
      <c r="K926" s="2" t="str">
        <f t="shared" si="2"/>
        <v/>
      </c>
      <c r="L926" s="2" t="str">
        <f t="shared" si="3"/>
        <v>No</v>
      </c>
      <c r="M926" s="2" t="str">
        <f>IF(K926="","",F926*VLOOKUP(E926,WEIGHTS!$A$2:$F$4,2,FALSE)+G926*VLOOKUP(E926,WEIGHTS!$A$2:$F$4,3,FALSE)+H926*VLOOKUP(E926,WEIGHTS!$A$2:$F$4,4,FALSE)+I926*VLOOKUP(E926,WEIGHTS!$A$2:$F$4,5,FALSE)+J926*VLOOKUP(E926,WEIGHTS!$A$2:$F$4,6,FALSE))</f>
        <v/>
      </c>
      <c r="N926" s="2" t="str">
        <f t="shared" si="4"/>
        <v/>
      </c>
    </row>
    <row r="927" ht="15.75" customHeight="1">
      <c r="A927" s="3"/>
      <c r="B927" s="2" t="str">
        <f t="shared" si="1"/>
        <v/>
      </c>
      <c r="E927" s="2"/>
      <c r="F927" s="2"/>
      <c r="G927" s="2"/>
      <c r="H927" s="2"/>
      <c r="I927" s="2"/>
      <c r="J927" s="2"/>
      <c r="K927" s="2" t="str">
        <f t="shared" si="2"/>
        <v/>
      </c>
      <c r="L927" s="2" t="str">
        <f t="shared" si="3"/>
        <v>No</v>
      </c>
      <c r="M927" s="2" t="str">
        <f>IF(K927="","",F927*VLOOKUP(E927,WEIGHTS!$A$2:$F$4,2,FALSE)+G927*VLOOKUP(E927,WEIGHTS!$A$2:$F$4,3,FALSE)+H927*VLOOKUP(E927,WEIGHTS!$A$2:$F$4,4,FALSE)+I927*VLOOKUP(E927,WEIGHTS!$A$2:$F$4,5,FALSE)+J927*VLOOKUP(E927,WEIGHTS!$A$2:$F$4,6,FALSE))</f>
        <v/>
      </c>
      <c r="N927" s="2" t="str">
        <f t="shared" si="4"/>
        <v/>
      </c>
    </row>
    <row r="928" ht="15.75" customHeight="1">
      <c r="A928" s="3"/>
      <c r="B928" s="2" t="str">
        <f t="shared" si="1"/>
        <v/>
      </c>
      <c r="E928" s="2"/>
      <c r="F928" s="2"/>
      <c r="G928" s="2"/>
      <c r="H928" s="2"/>
      <c r="I928" s="2"/>
      <c r="J928" s="2"/>
      <c r="K928" s="2" t="str">
        <f t="shared" si="2"/>
        <v/>
      </c>
      <c r="L928" s="2" t="str">
        <f t="shared" si="3"/>
        <v>No</v>
      </c>
      <c r="M928" s="2" t="str">
        <f>IF(K928="","",F928*VLOOKUP(E928,WEIGHTS!$A$2:$F$4,2,FALSE)+G928*VLOOKUP(E928,WEIGHTS!$A$2:$F$4,3,FALSE)+H928*VLOOKUP(E928,WEIGHTS!$A$2:$F$4,4,FALSE)+I928*VLOOKUP(E928,WEIGHTS!$A$2:$F$4,5,FALSE)+J928*VLOOKUP(E928,WEIGHTS!$A$2:$F$4,6,FALSE))</f>
        <v/>
      </c>
      <c r="N928" s="2" t="str">
        <f t="shared" si="4"/>
        <v/>
      </c>
    </row>
    <row r="929" ht="15.75" customHeight="1">
      <c r="A929" s="3"/>
      <c r="B929" s="2" t="str">
        <f t="shared" si="1"/>
        <v/>
      </c>
      <c r="E929" s="2"/>
      <c r="F929" s="2"/>
      <c r="G929" s="2"/>
      <c r="H929" s="2"/>
      <c r="I929" s="2"/>
      <c r="J929" s="2"/>
      <c r="K929" s="2" t="str">
        <f t="shared" si="2"/>
        <v/>
      </c>
      <c r="L929" s="2" t="str">
        <f t="shared" si="3"/>
        <v>No</v>
      </c>
      <c r="M929" s="2" t="str">
        <f>IF(K929="","",F929*VLOOKUP(E929,WEIGHTS!$A$2:$F$4,2,FALSE)+G929*VLOOKUP(E929,WEIGHTS!$A$2:$F$4,3,FALSE)+H929*VLOOKUP(E929,WEIGHTS!$A$2:$F$4,4,FALSE)+I929*VLOOKUP(E929,WEIGHTS!$A$2:$F$4,5,FALSE)+J929*VLOOKUP(E929,WEIGHTS!$A$2:$F$4,6,FALSE))</f>
        <v/>
      </c>
      <c r="N929" s="2" t="str">
        <f t="shared" si="4"/>
        <v/>
      </c>
    </row>
    <row r="930" ht="15.75" customHeight="1">
      <c r="A930" s="3"/>
      <c r="B930" s="2" t="str">
        <f t="shared" si="1"/>
        <v/>
      </c>
      <c r="E930" s="2"/>
      <c r="F930" s="2"/>
      <c r="G930" s="2"/>
      <c r="H930" s="2"/>
      <c r="I930" s="2"/>
      <c r="J930" s="2"/>
      <c r="K930" s="2" t="str">
        <f t="shared" si="2"/>
        <v/>
      </c>
      <c r="L930" s="2" t="str">
        <f t="shared" si="3"/>
        <v>No</v>
      </c>
      <c r="M930" s="2" t="str">
        <f>IF(K930="","",F930*VLOOKUP(E930,WEIGHTS!$A$2:$F$4,2,FALSE)+G930*VLOOKUP(E930,WEIGHTS!$A$2:$F$4,3,FALSE)+H930*VLOOKUP(E930,WEIGHTS!$A$2:$F$4,4,FALSE)+I930*VLOOKUP(E930,WEIGHTS!$A$2:$F$4,5,FALSE)+J930*VLOOKUP(E930,WEIGHTS!$A$2:$F$4,6,FALSE))</f>
        <v/>
      </c>
      <c r="N930" s="2" t="str">
        <f t="shared" si="4"/>
        <v/>
      </c>
    </row>
    <row r="931" ht="15.75" customHeight="1">
      <c r="A931" s="3"/>
      <c r="B931" s="2" t="str">
        <f t="shared" si="1"/>
        <v/>
      </c>
      <c r="E931" s="2"/>
      <c r="F931" s="2"/>
      <c r="G931" s="2"/>
      <c r="H931" s="2"/>
      <c r="I931" s="2"/>
      <c r="J931" s="2"/>
      <c r="K931" s="2" t="str">
        <f t="shared" si="2"/>
        <v/>
      </c>
      <c r="L931" s="2" t="str">
        <f t="shared" si="3"/>
        <v>No</v>
      </c>
      <c r="M931" s="2" t="str">
        <f>IF(K931="","",F931*VLOOKUP(E931,WEIGHTS!$A$2:$F$4,2,FALSE)+G931*VLOOKUP(E931,WEIGHTS!$A$2:$F$4,3,FALSE)+H931*VLOOKUP(E931,WEIGHTS!$A$2:$F$4,4,FALSE)+I931*VLOOKUP(E931,WEIGHTS!$A$2:$F$4,5,FALSE)+J931*VLOOKUP(E931,WEIGHTS!$A$2:$F$4,6,FALSE))</f>
        <v/>
      </c>
      <c r="N931" s="2" t="str">
        <f t="shared" si="4"/>
        <v/>
      </c>
    </row>
    <row r="932" ht="15.75" customHeight="1">
      <c r="A932" s="3"/>
      <c r="B932" s="2" t="str">
        <f t="shared" si="1"/>
        <v/>
      </c>
      <c r="E932" s="2"/>
      <c r="F932" s="2"/>
      <c r="G932" s="2"/>
      <c r="H932" s="2"/>
      <c r="I932" s="2"/>
      <c r="J932" s="2"/>
      <c r="K932" s="2" t="str">
        <f t="shared" si="2"/>
        <v/>
      </c>
      <c r="L932" s="2" t="str">
        <f t="shared" si="3"/>
        <v>No</v>
      </c>
      <c r="M932" s="2" t="str">
        <f>IF(K932="","",F932*VLOOKUP(E932,WEIGHTS!$A$2:$F$4,2,FALSE)+G932*VLOOKUP(E932,WEIGHTS!$A$2:$F$4,3,FALSE)+H932*VLOOKUP(E932,WEIGHTS!$A$2:$F$4,4,FALSE)+I932*VLOOKUP(E932,WEIGHTS!$A$2:$F$4,5,FALSE)+J932*VLOOKUP(E932,WEIGHTS!$A$2:$F$4,6,FALSE))</f>
        <v/>
      </c>
      <c r="N932" s="2" t="str">
        <f t="shared" si="4"/>
        <v/>
      </c>
    </row>
    <row r="933" ht="15.75" customHeight="1">
      <c r="A933" s="3"/>
      <c r="B933" s="2" t="str">
        <f t="shared" si="1"/>
        <v/>
      </c>
      <c r="E933" s="2"/>
      <c r="F933" s="2"/>
      <c r="G933" s="2"/>
      <c r="H933" s="2"/>
      <c r="I933" s="2"/>
      <c r="J933" s="2"/>
      <c r="K933" s="2" t="str">
        <f t="shared" si="2"/>
        <v/>
      </c>
      <c r="L933" s="2" t="str">
        <f t="shared" si="3"/>
        <v>No</v>
      </c>
      <c r="M933" s="2" t="str">
        <f>IF(K933="","",F933*VLOOKUP(E933,WEIGHTS!$A$2:$F$4,2,FALSE)+G933*VLOOKUP(E933,WEIGHTS!$A$2:$F$4,3,FALSE)+H933*VLOOKUP(E933,WEIGHTS!$A$2:$F$4,4,FALSE)+I933*VLOOKUP(E933,WEIGHTS!$A$2:$F$4,5,FALSE)+J933*VLOOKUP(E933,WEIGHTS!$A$2:$F$4,6,FALSE))</f>
        <v/>
      </c>
      <c r="N933" s="2" t="str">
        <f t="shared" si="4"/>
        <v/>
      </c>
    </row>
    <row r="934" ht="15.75" customHeight="1">
      <c r="A934" s="3"/>
      <c r="B934" s="2" t="str">
        <f t="shared" si="1"/>
        <v/>
      </c>
      <c r="E934" s="2"/>
      <c r="F934" s="2"/>
      <c r="G934" s="2"/>
      <c r="H934" s="2"/>
      <c r="I934" s="2"/>
      <c r="J934" s="2"/>
      <c r="K934" s="2" t="str">
        <f t="shared" si="2"/>
        <v/>
      </c>
      <c r="L934" s="2" t="str">
        <f t="shared" si="3"/>
        <v>No</v>
      </c>
      <c r="M934" s="2" t="str">
        <f>IF(K934="","",F934*VLOOKUP(E934,WEIGHTS!$A$2:$F$4,2,FALSE)+G934*VLOOKUP(E934,WEIGHTS!$A$2:$F$4,3,FALSE)+H934*VLOOKUP(E934,WEIGHTS!$A$2:$F$4,4,FALSE)+I934*VLOOKUP(E934,WEIGHTS!$A$2:$F$4,5,FALSE)+J934*VLOOKUP(E934,WEIGHTS!$A$2:$F$4,6,FALSE))</f>
        <v/>
      </c>
      <c r="N934" s="2" t="str">
        <f t="shared" si="4"/>
        <v/>
      </c>
    </row>
    <row r="935" ht="15.75" customHeight="1">
      <c r="A935" s="3"/>
      <c r="B935" s="2" t="str">
        <f t="shared" si="1"/>
        <v/>
      </c>
      <c r="E935" s="2"/>
      <c r="F935" s="2"/>
      <c r="G935" s="2"/>
      <c r="H935" s="2"/>
      <c r="I935" s="2"/>
      <c r="J935" s="2"/>
      <c r="K935" s="2" t="str">
        <f t="shared" si="2"/>
        <v/>
      </c>
      <c r="L935" s="2" t="str">
        <f t="shared" si="3"/>
        <v>No</v>
      </c>
      <c r="M935" s="2" t="str">
        <f>IF(K935="","",F935*VLOOKUP(E935,WEIGHTS!$A$2:$F$4,2,FALSE)+G935*VLOOKUP(E935,WEIGHTS!$A$2:$F$4,3,FALSE)+H935*VLOOKUP(E935,WEIGHTS!$A$2:$F$4,4,FALSE)+I935*VLOOKUP(E935,WEIGHTS!$A$2:$F$4,5,FALSE)+J935*VLOOKUP(E935,WEIGHTS!$A$2:$F$4,6,FALSE))</f>
        <v/>
      </c>
      <c r="N935" s="2" t="str">
        <f t="shared" si="4"/>
        <v/>
      </c>
    </row>
    <row r="936" ht="15.75" customHeight="1">
      <c r="A936" s="3"/>
      <c r="B936" s="2" t="str">
        <f t="shared" si="1"/>
        <v/>
      </c>
      <c r="E936" s="2"/>
      <c r="F936" s="2"/>
      <c r="G936" s="2"/>
      <c r="H936" s="2"/>
      <c r="I936" s="2"/>
      <c r="J936" s="2"/>
      <c r="K936" s="2" t="str">
        <f t="shared" si="2"/>
        <v/>
      </c>
      <c r="L936" s="2" t="str">
        <f t="shared" si="3"/>
        <v>No</v>
      </c>
      <c r="M936" s="2" t="str">
        <f>IF(K936="","",F936*VLOOKUP(E936,WEIGHTS!$A$2:$F$4,2,FALSE)+G936*VLOOKUP(E936,WEIGHTS!$A$2:$F$4,3,FALSE)+H936*VLOOKUP(E936,WEIGHTS!$A$2:$F$4,4,FALSE)+I936*VLOOKUP(E936,WEIGHTS!$A$2:$F$4,5,FALSE)+J936*VLOOKUP(E936,WEIGHTS!$A$2:$F$4,6,FALSE))</f>
        <v/>
      </c>
      <c r="N936" s="2" t="str">
        <f t="shared" si="4"/>
        <v/>
      </c>
    </row>
    <row r="937" ht="15.75" customHeight="1">
      <c r="A937" s="3"/>
      <c r="B937" s="2" t="str">
        <f t="shared" si="1"/>
        <v/>
      </c>
      <c r="E937" s="2"/>
      <c r="F937" s="2"/>
      <c r="G937" s="2"/>
      <c r="H937" s="2"/>
      <c r="I937" s="2"/>
      <c r="J937" s="2"/>
      <c r="K937" s="2" t="str">
        <f t="shared" si="2"/>
        <v/>
      </c>
      <c r="L937" s="2" t="str">
        <f t="shared" si="3"/>
        <v>No</v>
      </c>
      <c r="M937" s="2" t="str">
        <f>IF(K937="","",F937*VLOOKUP(E937,WEIGHTS!$A$2:$F$4,2,FALSE)+G937*VLOOKUP(E937,WEIGHTS!$A$2:$F$4,3,FALSE)+H937*VLOOKUP(E937,WEIGHTS!$A$2:$F$4,4,FALSE)+I937*VLOOKUP(E937,WEIGHTS!$A$2:$F$4,5,FALSE)+J937*VLOOKUP(E937,WEIGHTS!$A$2:$F$4,6,FALSE))</f>
        <v/>
      </c>
      <c r="N937" s="2" t="str">
        <f t="shared" si="4"/>
        <v/>
      </c>
    </row>
    <row r="938" ht="15.75" customHeight="1">
      <c r="A938" s="3"/>
      <c r="B938" s="2" t="str">
        <f t="shared" si="1"/>
        <v/>
      </c>
      <c r="E938" s="2"/>
      <c r="F938" s="2"/>
      <c r="G938" s="2"/>
      <c r="H938" s="2"/>
      <c r="I938" s="2"/>
      <c r="J938" s="2"/>
      <c r="K938" s="2" t="str">
        <f t="shared" si="2"/>
        <v/>
      </c>
      <c r="L938" s="2" t="str">
        <f t="shared" si="3"/>
        <v>No</v>
      </c>
      <c r="M938" s="2" t="str">
        <f>IF(K938="","",F938*VLOOKUP(E938,WEIGHTS!$A$2:$F$4,2,FALSE)+G938*VLOOKUP(E938,WEIGHTS!$A$2:$F$4,3,FALSE)+H938*VLOOKUP(E938,WEIGHTS!$A$2:$F$4,4,FALSE)+I938*VLOOKUP(E938,WEIGHTS!$A$2:$F$4,5,FALSE)+J938*VLOOKUP(E938,WEIGHTS!$A$2:$F$4,6,FALSE))</f>
        <v/>
      </c>
      <c r="N938" s="2" t="str">
        <f t="shared" si="4"/>
        <v/>
      </c>
    </row>
    <row r="939" ht="15.75" customHeight="1">
      <c r="A939" s="3"/>
      <c r="B939" s="2" t="str">
        <f t="shared" si="1"/>
        <v/>
      </c>
      <c r="E939" s="2"/>
      <c r="F939" s="2"/>
      <c r="G939" s="2"/>
      <c r="H939" s="2"/>
      <c r="I939" s="2"/>
      <c r="J939" s="2"/>
      <c r="K939" s="2" t="str">
        <f t="shared" si="2"/>
        <v/>
      </c>
      <c r="L939" s="2" t="str">
        <f t="shared" si="3"/>
        <v>No</v>
      </c>
      <c r="M939" s="2" t="str">
        <f>IF(K939="","",F939*VLOOKUP(E939,WEIGHTS!$A$2:$F$4,2,FALSE)+G939*VLOOKUP(E939,WEIGHTS!$A$2:$F$4,3,FALSE)+H939*VLOOKUP(E939,WEIGHTS!$A$2:$F$4,4,FALSE)+I939*VLOOKUP(E939,WEIGHTS!$A$2:$F$4,5,FALSE)+J939*VLOOKUP(E939,WEIGHTS!$A$2:$F$4,6,FALSE))</f>
        <v/>
      </c>
      <c r="N939" s="2" t="str">
        <f t="shared" si="4"/>
        <v/>
      </c>
    </row>
    <row r="940" ht="15.75" customHeight="1">
      <c r="A940" s="3"/>
      <c r="B940" s="2" t="str">
        <f t="shared" si="1"/>
        <v/>
      </c>
      <c r="E940" s="2"/>
      <c r="F940" s="2"/>
      <c r="G940" s="2"/>
      <c r="H940" s="2"/>
      <c r="I940" s="2"/>
      <c r="J940" s="2"/>
      <c r="K940" s="2" t="str">
        <f t="shared" si="2"/>
        <v/>
      </c>
      <c r="L940" s="2" t="str">
        <f t="shared" si="3"/>
        <v>No</v>
      </c>
      <c r="M940" s="2" t="str">
        <f>IF(K940="","",F940*VLOOKUP(E940,WEIGHTS!$A$2:$F$4,2,FALSE)+G940*VLOOKUP(E940,WEIGHTS!$A$2:$F$4,3,FALSE)+H940*VLOOKUP(E940,WEIGHTS!$A$2:$F$4,4,FALSE)+I940*VLOOKUP(E940,WEIGHTS!$A$2:$F$4,5,FALSE)+J940*VLOOKUP(E940,WEIGHTS!$A$2:$F$4,6,FALSE))</f>
        <v/>
      </c>
      <c r="N940" s="2" t="str">
        <f t="shared" si="4"/>
        <v/>
      </c>
    </row>
    <row r="941" ht="15.75" customHeight="1">
      <c r="A941" s="3"/>
      <c r="B941" s="2" t="str">
        <f t="shared" si="1"/>
        <v/>
      </c>
      <c r="E941" s="2"/>
      <c r="F941" s="2"/>
      <c r="G941" s="2"/>
      <c r="H941" s="2"/>
      <c r="I941" s="2"/>
      <c r="J941" s="2"/>
      <c r="K941" s="2" t="str">
        <f t="shared" si="2"/>
        <v/>
      </c>
      <c r="L941" s="2" t="str">
        <f t="shared" si="3"/>
        <v>No</v>
      </c>
      <c r="M941" s="2" t="str">
        <f>IF(K941="","",F941*VLOOKUP(E941,WEIGHTS!$A$2:$F$4,2,FALSE)+G941*VLOOKUP(E941,WEIGHTS!$A$2:$F$4,3,FALSE)+H941*VLOOKUP(E941,WEIGHTS!$A$2:$F$4,4,FALSE)+I941*VLOOKUP(E941,WEIGHTS!$A$2:$F$4,5,FALSE)+J941*VLOOKUP(E941,WEIGHTS!$A$2:$F$4,6,FALSE))</f>
        <v/>
      </c>
      <c r="N941" s="2" t="str">
        <f t="shared" si="4"/>
        <v/>
      </c>
    </row>
    <row r="942" ht="15.75" customHeight="1">
      <c r="A942" s="3"/>
      <c r="B942" s="2" t="str">
        <f t="shared" si="1"/>
        <v/>
      </c>
      <c r="E942" s="2"/>
      <c r="F942" s="2"/>
      <c r="G942" s="2"/>
      <c r="H942" s="2"/>
      <c r="I942" s="2"/>
      <c r="J942" s="2"/>
      <c r="K942" s="2" t="str">
        <f t="shared" si="2"/>
        <v/>
      </c>
      <c r="L942" s="2" t="str">
        <f t="shared" si="3"/>
        <v>No</v>
      </c>
      <c r="M942" s="2" t="str">
        <f>IF(K942="","",F942*VLOOKUP(E942,WEIGHTS!$A$2:$F$4,2,FALSE)+G942*VLOOKUP(E942,WEIGHTS!$A$2:$F$4,3,FALSE)+H942*VLOOKUP(E942,WEIGHTS!$A$2:$F$4,4,FALSE)+I942*VLOOKUP(E942,WEIGHTS!$A$2:$F$4,5,FALSE)+J942*VLOOKUP(E942,WEIGHTS!$A$2:$F$4,6,FALSE))</f>
        <v/>
      </c>
      <c r="N942" s="2" t="str">
        <f t="shared" si="4"/>
        <v/>
      </c>
    </row>
    <row r="943" ht="15.75" customHeight="1">
      <c r="A943" s="3"/>
      <c r="B943" s="2" t="str">
        <f t="shared" si="1"/>
        <v/>
      </c>
      <c r="E943" s="2"/>
      <c r="F943" s="2"/>
      <c r="G943" s="2"/>
      <c r="H943" s="2"/>
      <c r="I943" s="2"/>
      <c r="J943" s="2"/>
      <c r="K943" s="2" t="str">
        <f t="shared" si="2"/>
        <v/>
      </c>
      <c r="L943" s="2" t="str">
        <f t="shared" si="3"/>
        <v>No</v>
      </c>
      <c r="M943" s="2" t="str">
        <f>IF(K943="","",F943*VLOOKUP(E943,WEIGHTS!$A$2:$F$4,2,FALSE)+G943*VLOOKUP(E943,WEIGHTS!$A$2:$F$4,3,FALSE)+H943*VLOOKUP(E943,WEIGHTS!$A$2:$F$4,4,FALSE)+I943*VLOOKUP(E943,WEIGHTS!$A$2:$F$4,5,FALSE)+J943*VLOOKUP(E943,WEIGHTS!$A$2:$F$4,6,FALSE))</f>
        <v/>
      </c>
      <c r="N943" s="2" t="str">
        <f t="shared" si="4"/>
        <v/>
      </c>
    </row>
    <row r="944" ht="15.75" customHeight="1">
      <c r="A944" s="3"/>
      <c r="B944" s="2" t="str">
        <f t="shared" si="1"/>
        <v/>
      </c>
      <c r="E944" s="2"/>
      <c r="F944" s="2"/>
      <c r="G944" s="2"/>
      <c r="H944" s="2"/>
      <c r="I944" s="2"/>
      <c r="J944" s="2"/>
      <c r="K944" s="2" t="str">
        <f t="shared" si="2"/>
        <v/>
      </c>
      <c r="L944" s="2" t="str">
        <f t="shared" si="3"/>
        <v>No</v>
      </c>
      <c r="M944" s="2" t="str">
        <f>IF(K944="","",F944*VLOOKUP(E944,WEIGHTS!$A$2:$F$4,2,FALSE)+G944*VLOOKUP(E944,WEIGHTS!$A$2:$F$4,3,FALSE)+H944*VLOOKUP(E944,WEIGHTS!$A$2:$F$4,4,FALSE)+I944*VLOOKUP(E944,WEIGHTS!$A$2:$F$4,5,FALSE)+J944*VLOOKUP(E944,WEIGHTS!$A$2:$F$4,6,FALSE))</f>
        <v/>
      </c>
      <c r="N944" s="2" t="str">
        <f t="shared" si="4"/>
        <v/>
      </c>
    </row>
    <row r="945" ht="15.75" customHeight="1">
      <c r="A945" s="3"/>
      <c r="B945" s="2" t="str">
        <f t="shared" si="1"/>
        <v/>
      </c>
      <c r="E945" s="2"/>
      <c r="F945" s="2"/>
      <c r="G945" s="2"/>
      <c r="H945" s="2"/>
      <c r="I945" s="2"/>
      <c r="J945" s="2"/>
      <c r="K945" s="2" t="str">
        <f t="shared" si="2"/>
        <v/>
      </c>
      <c r="L945" s="2" t="str">
        <f t="shared" si="3"/>
        <v>No</v>
      </c>
      <c r="M945" s="2" t="str">
        <f>IF(K945="","",F945*VLOOKUP(E945,WEIGHTS!$A$2:$F$4,2,FALSE)+G945*VLOOKUP(E945,WEIGHTS!$A$2:$F$4,3,FALSE)+H945*VLOOKUP(E945,WEIGHTS!$A$2:$F$4,4,FALSE)+I945*VLOOKUP(E945,WEIGHTS!$A$2:$F$4,5,FALSE)+J945*VLOOKUP(E945,WEIGHTS!$A$2:$F$4,6,FALSE))</f>
        <v/>
      </c>
      <c r="N945" s="2" t="str">
        <f t="shared" si="4"/>
        <v/>
      </c>
    </row>
    <row r="946" ht="15.75" customHeight="1">
      <c r="A946" s="3"/>
      <c r="B946" s="2" t="str">
        <f t="shared" si="1"/>
        <v/>
      </c>
      <c r="E946" s="2"/>
      <c r="F946" s="2"/>
      <c r="G946" s="2"/>
      <c r="H946" s="2"/>
      <c r="I946" s="2"/>
      <c r="J946" s="2"/>
      <c r="K946" s="2" t="str">
        <f t="shared" si="2"/>
        <v/>
      </c>
      <c r="L946" s="2" t="str">
        <f t="shared" si="3"/>
        <v>No</v>
      </c>
      <c r="M946" s="2" t="str">
        <f>IF(K946="","",F946*VLOOKUP(E946,WEIGHTS!$A$2:$F$4,2,FALSE)+G946*VLOOKUP(E946,WEIGHTS!$A$2:$F$4,3,FALSE)+H946*VLOOKUP(E946,WEIGHTS!$A$2:$F$4,4,FALSE)+I946*VLOOKUP(E946,WEIGHTS!$A$2:$F$4,5,FALSE)+J946*VLOOKUP(E946,WEIGHTS!$A$2:$F$4,6,FALSE))</f>
        <v/>
      </c>
      <c r="N946" s="2" t="str">
        <f t="shared" si="4"/>
        <v/>
      </c>
    </row>
    <row r="947" ht="15.75" customHeight="1">
      <c r="A947" s="3"/>
      <c r="B947" s="2" t="str">
        <f t="shared" si="1"/>
        <v/>
      </c>
      <c r="E947" s="2"/>
      <c r="F947" s="2"/>
      <c r="G947" s="2"/>
      <c r="H947" s="2"/>
      <c r="I947" s="2"/>
      <c r="J947" s="2"/>
      <c r="K947" s="2" t="str">
        <f t="shared" si="2"/>
        <v/>
      </c>
      <c r="L947" s="2" t="str">
        <f t="shared" si="3"/>
        <v>No</v>
      </c>
      <c r="M947" s="2" t="str">
        <f>IF(K947="","",F947*VLOOKUP(E947,WEIGHTS!$A$2:$F$4,2,FALSE)+G947*VLOOKUP(E947,WEIGHTS!$A$2:$F$4,3,FALSE)+H947*VLOOKUP(E947,WEIGHTS!$A$2:$F$4,4,FALSE)+I947*VLOOKUP(E947,WEIGHTS!$A$2:$F$4,5,FALSE)+J947*VLOOKUP(E947,WEIGHTS!$A$2:$F$4,6,FALSE))</f>
        <v/>
      </c>
      <c r="N947" s="2" t="str">
        <f t="shared" si="4"/>
        <v/>
      </c>
    </row>
    <row r="948" ht="15.75" customHeight="1">
      <c r="A948" s="3"/>
      <c r="B948" s="2" t="str">
        <f t="shared" si="1"/>
        <v/>
      </c>
      <c r="E948" s="2"/>
      <c r="F948" s="2"/>
      <c r="G948" s="2"/>
      <c r="H948" s="2"/>
      <c r="I948" s="2"/>
      <c r="J948" s="2"/>
      <c r="K948" s="2" t="str">
        <f t="shared" si="2"/>
        <v/>
      </c>
      <c r="L948" s="2" t="str">
        <f t="shared" si="3"/>
        <v>No</v>
      </c>
      <c r="M948" s="2" t="str">
        <f>IF(K948="","",F948*VLOOKUP(E948,WEIGHTS!$A$2:$F$4,2,FALSE)+G948*VLOOKUP(E948,WEIGHTS!$A$2:$F$4,3,FALSE)+H948*VLOOKUP(E948,WEIGHTS!$A$2:$F$4,4,FALSE)+I948*VLOOKUP(E948,WEIGHTS!$A$2:$F$4,5,FALSE)+J948*VLOOKUP(E948,WEIGHTS!$A$2:$F$4,6,FALSE))</f>
        <v/>
      </c>
      <c r="N948" s="2" t="str">
        <f t="shared" si="4"/>
        <v/>
      </c>
    </row>
    <row r="949" ht="15.75" customHeight="1">
      <c r="A949" s="3"/>
      <c r="B949" s="2" t="str">
        <f t="shared" si="1"/>
        <v/>
      </c>
      <c r="E949" s="2"/>
      <c r="F949" s="2"/>
      <c r="G949" s="2"/>
      <c r="H949" s="2"/>
      <c r="I949" s="2"/>
      <c r="J949" s="2"/>
      <c r="K949" s="2" t="str">
        <f t="shared" si="2"/>
        <v/>
      </c>
      <c r="L949" s="2" t="str">
        <f t="shared" si="3"/>
        <v>No</v>
      </c>
      <c r="M949" s="2" t="str">
        <f>IF(K949="","",F949*VLOOKUP(E949,WEIGHTS!$A$2:$F$4,2,FALSE)+G949*VLOOKUP(E949,WEIGHTS!$A$2:$F$4,3,FALSE)+H949*VLOOKUP(E949,WEIGHTS!$A$2:$F$4,4,FALSE)+I949*VLOOKUP(E949,WEIGHTS!$A$2:$F$4,5,FALSE)+J949*VLOOKUP(E949,WEIGHTS!$A$2:$F$4,6,FALSE))</f>
        <v/>
      </c>
      <c r="N949" s="2" t="str">
        <f t="shared" si="4"/>
        <v/>
      </c>
    </row>
    <row r="950" ht="15.75" customHeight="1">
      <c r="A950" s="3"/>
      <c r="B950" s="2" t="str">
        <f t="shared" si="1"/>
        <v/>
      </c>
      <c r="E950" s="2"/>
      <c r="F950" s="2"/>
      <c r="G950" s="2"/>
      <c r="H950" s="2"/>
      <c r="I950" s="2"/>
      <c r="J950" s="2"/>
      <c r="K950" s="2" t="str">
        <f t="shared" si="2"/>
        <v/>
      </c>
      <c r="L950" s="2" t="str">
        <f t="shared" si="3"/>
        <v>No</v>
      </c>
      <c r="M950" s="2" t="str">
        <f>IF(K950="","",F950*VLOOKUP(E950,WEIGHTS!$A$2:$F$4,2,FALSE)+G950*VLOOKUP(E950,WEIGHTS!$A$2:$F$4,3,FALSE)+H950*VLOOKUP(E950,WEIGHTS!$A$2:$F$4,4,FALSE)+I950*VLOOKUP(E950,WEIGHTS!$A$2:$F$4,5,FALSE)+J950*VLOOKUP(E950,WEIGHTS!$A$2:$F$4,6,FALSE))</f>
        <v/>
      </c>
      <c r="N950" s="2" t="str">
        <f t="shared" si="4"/>
        <v/>
      </c>
    </row>
    <row r="951" ht="15.75" customHeight="1">
      <c r="A951" s="3"/>
      <c r="B951" s="2" t="str">
        <f t="shared" si="1"/>
        <v/>
      </c>
      <c r="E951" s="2"/>
      <c r="F951" s="2"/>
      <c r="G951" s="2"/>
      <c r="H951" s="2"/>
      <c r="I951" s="2"/>
      <c r="J951" s="2"/>
      <c r="K951" s="2" t="str">
        <f t="shared" si="2"/>
        <v/>
      </c>
      <c r="L951" s="2" t="str">
        <f t="shared" si="3"/>
        <v>No</v>
      </c>
      <c r="M951" s="2" t="str">
        <f>IF(K951="","",F951*VLOOKUP(E951,WEIGHTS!$A$2:$F$4,2,FALSE)+G951*VLOOKUP(E951,WEIGHTS!$A$2:$F$4,3,FALSE)+H951*VLOOKUP(E951,WEIGHTS!$A$2:$F$4,4,FALSE)+I951*VLOOKUP(E951,WEIGHTS!$A$2:$F$4,5,FALSE)+J951*VLOOKUP(E951,WEIGHTS!$A$2:$F$4,6,FALSE))</f>
        <v/>
      </c>
      <c r="N951" s="2" t="str">
        <f t="shared" si="4"/>
        <v/>
      </c>
    </row>
    <row r="952" ht="15.75" customHeight="1">
      <c r="A952" s="3"/>
      <c r="B952" s="2" t="str">
        <f t="shared" si="1"/>
        <v/>
      </c>
      <c r="E952" s="2"/>
      <c r="F952" s="2"/>
      <c r="G952" s="2"/>
      <c r="H952" s="2"/>
      <c r="I952" s="2"/>
      <c r="J952" s="2"/>
      <c r="K952" s="2" t="str">
        <f t="shared" si="2"/>
        <v/>
      </c>
      <c r="L952" s="2" t="str">
        <f t="shared" si="3"/>
        <v>No</v>
      </c>
      <c r="M952" s="2" t="str">
        <f>IF(K952="","",F952*VLOOKUP(E952,WEIGHTS!$A$2:$F$4,2,FALSE)+G952*VLOOKUP(E952,WEIGHTS!$A$2:$F$4,3,FALSE)+H952*VLOOKUP(E952,WEIGHTS!$A$2:$F$4,4,FALSE)+I952*VLOOKUP(E952,WEIGHTS!$A$2:$F$4,5,FALSE)+J952*VLOOKUP(E952,WEIGHTS!$A$2:$F$4,6,FALSE))</f>
        <v/>
      </c>
      <c r="N952" s="2" t="str">
        <f t="shared" si="4"/>
        <v/>
      </c>
    </row>
    <row r="953" ht="15.75" customHeight="1">
      <c r="A953" s="3"/>
      <c r="B953" s="2" t="str">
        <f t="shared" si="1"/>
        <v/>
      </c>
      <c r="E953" s="2"/>
      <c r="F953" s="2"/>
      <c r="G953" s="2"/>
      <c r="H953" s="2"/>
      <c r="I953" s="2"/>
      <c r="J953" s="2"/>
      <c r="K953" s="2" t="str">
        <f t="shared" si="2"/>
        <v/>
      </c>
      <c r="L953" s="2" t="str">
        <f t="shared" si="3"/>
        <v>No</v>
      </c>
      <c r="M953" s="2" t="str">
        <f>IF(K953="","",F953*VLOOKUP(E953,WEIGHTS!$A$2:$F$4,2,FALSE)+G953*VLOOKUP(E953,WEIGHTS!$A$2:$F$4,3,FALSE)+H953*VLOOKUP(E953,WEIGHTS!$A$2:$F$4,4,FALSE)+I953*VLOOKUP(E953,WEIGHTS!$A$2:$F$4,5,FALSE)+J953*VLOOKUP(E953,WEIGHTS!$A$2:$F$4,6,FALSE))</f>
        <v/>
      </c>
      <c r="N953" s="2" t="str">
        <f t="shared" si="4"/>
        <v/>
      </c>
    </row>
    <row r="954" ht="15.75" customHeight="1">
      <c r="A954" s="3"/>
      <c r="B954" s="2" t="str">
        <f t="shared" si="1"/>
        <v/>
      </c>
      <c r="E954" s="2"/>
      <c r="F954" s="2"/>
      <c r="G954" s="2"/>
      <c r="H954" s="2"/>
      <c r="I954" s="2"/>
      <c r="J954" s="2"/>
      <c r="K954" s="2" t="str">
        <f t="shared" si="2"/>
        <v/>
      </c>
      <c r="L954" s="2" t="str">
        <f t="shared" si="3"/>
        <v>No</v>
      </c>
      <c r="M954" s="2" t="str">
        <f>IF(K954="","",F954*VLOOKUP(E954,WEIGHTS!$A$2:$F$4,2,FALSE)+G954*VLOOKUP(E954,WEIGHTS!$A$2:$F$4,3,FALSE)+H954*VLOOKUP(E954,WEIGHTS!$A$2:$F$4,4,FALSE)+I954*VLOOKUP(E954,WEIGHTS!$A$2:$F$4,5,FALSE)+J954*VLOOKUP(E954,WEIGHTS!$A$2:$F$4,6,FALSE))</f>
        <v/>
      </c>
      <c r="N954" s="2" t="str">
        <f t="shared" si="4"/>
        <v/>
      </c>
    </row>
    <row r="955" ht="15.75" customHeight="1">
      <c r="A955" s="3"/>
      <c r="B955" s="2" t="str">
        <f t="shared" si="1"/>
        <v/>
      </c>
      <c r="E955" s="2"/>
      <c r="F955" s="2"/>
      <c r="G955" s="2"/>
      <c r="H955" s="2"/>
      <c r="I955" s="2"/>
      <c r="J955" s="2"/>
      <c r="K955" s="2" t="str">
        <f t="shared" si="2"/>
        <v/>
      </c>
      <c r="L955" s="2" t="str">
        <f t="shared" si="3"/>
        <v>No</v>
      </c>
      <c r="M955" s="2" t="str">
        <f>IF(K955="","",F955*VLOOKUP(E955,WEIGHTS!$A$2:$F$4,2,FALSE)+G955*VLOOKUP(E955,WEIGHTS!$A$2:$F$4,3,FALSE)+H955*VLOOKUP(E955,WEIGHTS!$A$2:$F$4,4,FALSE)+I955*VLOOKUP(E955,WEIGHTS!$A$2:$F$4,5,FALSE)+J955*VLOOKUP(E955,WEIGHTS!$A$2:$F$4,6,FALSE))</f>
        <v/>
      </c>
      <c r="N955" s="2" t="str">
        <f t="shared" si="4"/>
        <v/>
      </c>
    </row>
    <row r="956" ht="15.75" customHeight="1">
      <c r="A956" s="3"/>
      <c r="B956" s="2" t="str">
        <f t="shared" si="1"/>
        <v/>
      </c>
      <c r="E956" s="2"/>
      <c r="F956" s="2"/>
      <c r="G956" s="2"/>
      <c r="H956" s="2"/>
      <c r="I956" s="2"/>
      <c r="J956" s="2"/>
      <c r="K956" s="2" t="str">
        <f t="shared" si="2"/>
        <v/>
      </c>
      <c r="L956" s="2" t="str">
        <f t="shared" si="3"/>
        <v>No</v>
      </c>
      <c r="M956" s="2" t="str">
        <f>IF(K956="","",F956*VLOOKUP(E956,WEIGHTS!$A$2:$F$4,2,FALSE)+G956*VLOOKUP(E956,WEIGHTS!$A$2:$F$4,3,FALSE)+H956*VLOOKUP(E956,WEIGHTS!$A$2:$F$4,4,FALSE)+I956*VLOOKUP(E956,WEIGHTS!$A$2:$F$4,5,FALSE)+J956*VLOOKUP(E956,WEIGHTS!$A$2:$F$4,6,FALSE))</f>
        <v/>
      </c>
      <c r="N956" s="2" t="str">
        <f t="shared" si="4"/>
        <v/>
      </c>
    </row>
    <row r="957" ht="15.75" customHeight="1">
      <c r="A957" s="3"/>
      <c r="B957" s="2" t="str">
        <f t="shared" si="1"/>
        <v/>
      </c>
      <c r="E957" s="2"/>
      <c r="F957" s="2"/>
      <c r="G957" s="2"/>
      <c r="H957" s="2"/>
      <c r="I957" s="2"/>
      <c r="J957" s="2"/>
      <c r="K957" s="2" t="str">
        <f t="shared" si="2"/>
        <v/>
      </c>
      <c r="L957" s="2" t="str">
        <f t="shared" si="3"/>
        <v>No</v>
      </c>
      <c r="M957" s="2" t="str">
        <f>IF(K957="","",F957*VLOOKUP(E957,WEIGHTS!$A$2:$F$4,2,FALSE)+G957*VLOOKUP(E957,WEIGHTS!$A$2:$F$4,3,FALSE)+H957*VLOOKUP(E957,WEIGHTS!$A$2:$F$4,4,FALSE)+I957*VLOOKUP(E957,WEIGHTS!$A$2:$F$4,5,FALSE)+J957*VLOOKUP(E957,WEIGHTS!$A$2:$F$4,6,FALSE))</f>
        <v/>
      </c>
      <c r="N957" s="2" t="str">
        <f t="shared" si="4"/>
        <v/>
      </c>
    </row>
    <row r="958" ht="15.75" customHeight="1">
      <c r="A958" s="3"/>
      <c r="B958" s="2" t="str">
        <f t="shared" si="1"/>
        <v/>
      </c>
      <c r="E958" s="2"/>
      <c r="F958" s="2"/>
      <c r="G958" s="2"/>
      <c r="H958" s="2"/>
      <c r="I958" s="2"/>
      <c r="J958" s="2"/>
      <c r="K958" s="2" t="str">
        <f t="shared" si="2"/>
        <v/>
      </c>
      <c r="L958" s="2" t="str">
        <f t="shared" si="3"/>
        <v>No</v>
      </c>
      <c r="M958" s="2" t="str">
        <f>IF(K958="","",F958*VLOOKUP(E958,WEIGHTS!$A$2:$F$4,2,FALSE)+G958*VLOOKUP(E958,WEIGHTS!$A$2:$F$4,3,FALSE)+H958*VLOOKUP(E958,WEIGHTS!$A$2:$F$4,4,FALSE)+I958*VLOOKUP(E958,WEIGHTS!$A$2:$F$4,5,FALSE)+J958*VLOOKUP(E958,WEIGHTS!$A$2:$F$4,6,FALSE))</f>
        <v/>
      </c>
      <c r="N958" s="2" t="str">
        <f t="shared" si="4"/>
        <v/>
      </c>
    </row>
    <row r="959" ht="15.75" customHeight="1">
      <c r="A959" s="3"/>
      <c r="B959" s="2" t="str">
        <f t="shared" si="1"/>
        <v/>
      </c>
      <c r="E959" s="2"/>
      <c r="F959" s="2"/>
      <c r="G959" s="2"/>
      <c r="H959" s="2"/>
      <c r="I959" s="2"/>
      <c r="J959" s="2"/>
      <c r="K959" s="2" t="str">
        <f t="shared" si="2"/>
        <v/>
      </c>
      <c r="L959" s="2" t="str">
        <f t="shared" si="3"/>
        <v>No</v>
      </c>
      <c r="M959" s="2" t="str">
        <f>IF(K959="","",F959*VLOOKUP(E959,WEIGHTS!$A$2:$F$4,2,FALSE)+G959*VLOOKUP(E959,WEIGHTS!$A$2:$F$4,3,FALSE)+H959*VLOOKUP(E959,WEIGHTS!$A$2:$F$4,4,FALSE)+I959*VLOOKUP(E959,WEIGHTS!$A$2:$F$4,5,FALSE)+J959*VLOOKUP(E959,WEIGHTS!$A$2:$F$4,6,FALSE))</f>
        <v/>
      </c>
      <c r="N959" s="2" t="str">
        <f t="shared" si="4"/>
        <v/>
      </c>
    </row>
    <row r="960" ht="15.75" customHeight="1">
      <c r="A960" s="3"/>
      <c r="B960" s="2" t="str">
        <f t="shared" si="1"/>
        <v/>
      </c>
      <c r="E960" s="2"/>
      <c r="F960" s="2"/>
      <c r="G960" s="2"/>
      <c r="H960" s="2"/>
      <c r="I960" s="2"/>
      <c r="J960" s="2"/>
      <c r="K960" s="2" t="str">
        <f t="shared" si="2"/>
        <v/>
      </c>
      <c r="L960" s="2" t="str">
        <f t="shared" si="3"/>
        <v>No</v>
      </c>
      <c r="M960" s="2" t="str">
        <f>IF(K960="","",F960*VLOOKUP(E960,WEIGHTS!$A$2:$F$4,2,FALSE)+G960*VLOOKUP(E960,WEIGHTS!$A$2:$F$4,3,FALSE)+H960*VLOOKUP(E960,WEIGHTS!$A$2:$F$4,4,FALSE)+I960*VLOOKUP(E960,WEIGHTS!$A$2:$F$4,5,FALSE)+J960*VLOOKUP(E960,WEIGHTS!$A$2:$F$4,6,FALSE))</f>
        <v/>
      </c>
      <c r="N960" s="2" t="str">
        <f t="shared" si="4"/>
        <v/>
      </c>
    </row>
    <row r="961" ht="15.75" customHeight="1">
      <c r="A961" s="3"/>
      <c r="B961" s="2" t="str">
        <f t="shared" si="1"/>
        <v/>
      </c>
      <c r="E961" s="2"/>
      <c r="F961" s="2"/>
      <c r="G961" s="2"/>
      <c r="H961" s="2"/>
      <c r="I961" s="2"/>
      <c r="J961" s="2"/>
      <c r="K961" s="2" t="str">
        <f t="shared" si="2"/>
        <v/>
      </c>
      <c r="L961" s="2" t="str">
        <f t="shared" si="3"/>
        <v>No</v>
      </c>
      <c r="M961" s="2" t="str">
        <f>IF(K961="","",F961*VLOOKUP(E961,WEIGHTS!$A$2:$F$4,2,FALSE)+G961*VLOOKUP(E961,WEIGHTS!$A$2:$F$4,3,FALSE)+H961*VLOOKUP(E961,WEIGHTS!$A$2:$F$4,4,FALSE)+I961*VLOOKUP(E961,WEIGHTS!$A$2:$F$4,5,FALSE)+J961*VLOOKUP(E961,WEIGHTS!$A$2:$F$4,6,FALSE))</f>
        <v/>
      </c>
      <c r="N961" s="2" t="str">
        <f t="shared" si="4"/>
        <v/>
      </c>
    </row>
    <row r="962" ht="15.75" customHeight="1">
      <c r="A962" s="3"/>
      <c r="B962" s="2" t="str">
        <f t="shared" si="1"/>
        <v/>
      </c>
      <c r="E962" s="2"/>
      <c r="F962" s="2"/>
      <c r="G962" s="2"/>
      <c r="H962" s="2"/>
      <c r="I962" s="2"/>
      <c r="J962" s="2"/>
      <c r="K962" s="2" t="str">
        <f t="shared" si="2"/>
        <v/>
      </c>
      <c r="L962" s="2" t="str">
        <f t="shared" si="3"/>
        <v>No</v>
      </c>
      <c r="M962" s="2" t="str">
        <f>IF(K962="","",F962*VLOOKUP(E962,WEIGHTS!$A$2:$F$4,2,FALSE)+G962*VLOOKUP(E962,WEIGHTS!$A$2:$F$4,3,FALSE)+H962*VLOOKUP(E962,WEIGHTS!$A$2:$F$4,4,FALSE)+I962*VLOOKUP(E962,WEIGHTS!$A$2:$F$4,5,FALSE)+J962*VLOOKUP(E962,WEIGHTS!$A$2:$F$4,6,FALSE))</f>
        <v/>
      </c>
      <c r="N962" s="2" t="str">
        <f t="shared" si="4"/>
        <v/>
      </c>
    </row>
    <row r="963" ht="15.75" customHeight="1">
      <c r="A963" s="3"/>
      <c r="B963" s="2" t="str">
        <f t="shared" si="1"/>
        <v/>
      </c>
      <c r="E963" s="2"/>
      <c r="F963" s="2"/>
      <c r="G963" s="2"/>
      <c r="H963" s="2"/>
      <c r="I963" s="2"/>
      <c r="J963" s="2"/>
      <c r="K963" s="2" t="str">
        <f t="shared" si="2"/>
        <v/>
      </c>
      <c r="L963" s="2" t="str">
        <f t="shared" si="3"/>
        <v>No</v>
      </c>
      <c r="M963" s="2" t="str">
        <f>IF(K963="","",F963*VLOOKUP(E963,WEIGHTS!$A$2:$F$4,2,FALSE)+G963*VLOOKUP(E963,WEIGHTS!$A$2:$F$4,3,FALSE)+H963*VLOOKUP(E963,WEIGHTS!$A$2:$F$4,4,FALSE)+I963*VLOOKUP(E963,WEIGHTS!$A$2:$F$4,5,FALSE)+J963*VLOOKUP(E963,WEIGHTS!$A$2:$F$4,6,FALSE))</f>
        <v/>
      </c>
      <c r="N963" s="2" t="str">
        <f t="shared" si="4"/>
        <v/>
      </c>
    </row>
    <row r="964" ht="15.75" customHeight="1">
      <c r="A964" s="3"/>
      <c r="B964" s="2" t="str">
        <f t="shared" si="1"/>
        <v/>
      </c>
      <c r="E964" s="2"/>
      <c r="F964" s="2"/>
      <c r="G964" s="2"/>
      <c r="H964" s="2"/>
      <c r="I964" s="2"/>
      <c r="J964" s="2"/>
      <c r="K964" s="2" t="str">
        <f t="shared" si="2"/>
        <v/>
      </c>
      <c r="L964" s="2" t="str">
        <f t="shared" si="3"/>
        <v>No</v>
      </c>
      <c r="M964" s="2" t="str">
        <f>IF(K964="","",F964*VLOOKUP(E964,WEIGHTS!$A$2:$F$4,2,FALSE)+G964*VLOOKUP(E964,WEIGHTS!$A$2:$F$4,3,FALSE)+H964*VLOOKUP(E964,WEIGHTS!$A$2:$F$4,4,FALSE)+I964*VLOOKUP(E964,WEIGHTS!$A$2:$F$4,5,FALSE)+J964*VLOOKUP(E964,WEIGHTS!$A$2:$F$4,6,FALSE))</f>
        <v/>
      </c>
      <c r="N964" s="2" t="str">
        <f t="shared" si="4"/>
        <v/>
      </c>
    </row>
    <row r="965" ht="15.75" customHeight="1">
      <c r="A965" s="3"/>
      <c r="B965" s="2" t="str">
        <f t="shared" si="1"/>
        <v/>
      </c>
      <c r="E965" s="2"/>
      <c r="F965" s="2"/>
      <c r="G965" s="2"/>
      <c r="H965" s="2"/>
      <c r="I965" s="2"/>
      <c r="J965" s="2"/>
      <c r="K965" s="2" t="str">
        <f t="shared" si="2"/>
        <v/>
      </c>
      <c r="L965" s="2" t="str">
        <f t="shared" si="3"/>
        <v>No</v>
      </c>
      <c r="M965" s="2" t="str">
        <f>IF(K965="","",F965*VLOOKUP(E965,WEIGHTS!$A$2:$F$4,2,FALSE)+G965*VLOOKUP(E965,WEIGHTS!$A$2:$F$4,3,FALSE)+H965*VLOOKUP(E965,WEIGHTS!$A$2:$F$4,4,FALSE)+I965*VLOOKUP(E965,WEIGHTS!$A$2:$F$4,5,FALSE)+J965*VLOOKUP(E965,WEIGHTS!$A$2:$F$4,6,FALSE))</f>
        <v/>
      </c>
      <c r="N965" s="2" t="str">
        <f t="shared" si="4"/>
        <v/>
      </c>
    </row>
    <row r="966" ht="15.75" customHeight="1">
      <c r="A966" s="3"/>
      <c r="B966" s="2" t="str">
        <f t="shared" si="1"/>
        <v/>
      </c>
      <c r="E966" s="2"/>
      <c r="F966" s="2"/>
      <c r="G966" s="2"/>
      <c r="H966" s="2"/>
      <c r="I966" s="2"/>
      <c r="J966" s="2"/>
      <c r="K966" s="2" t="str">
        <f t="shared" si="2"/>
        <v/>
      </c>
      <c r="L966" s="2" t="str">
        <f t="shared" si="3"/>
        <v>No</v>
      </c>
      <c r="M966" s="2" t="str">
        <f>IF(K966="","",F966*VLOOKUP(E966,WEIGHTS!$A$2:$F$4,2,FALSE)+G966*VLOOKUP(E966,WEIGHTS!$A$2:$F$4,3,FALSE)+H966*VLOOKUP(E966,WEIGHTS!$A$2:$F$4,4,FALSE)+I966*VLOOKUP(E966,WEIGHTS!$A$2:$F$4,5,FALSE)+J966*VLOOKUP(E966,WEIGHTS!$A$2:$F$4,6,FALSE))</f>
        <v/>
      </c>
      <c r="N966" s="2" t="str">
        <f t="shared" si="4"/>
        <v/>
      </c>
    </row>
    <row r="967" ht="15.75" customHeight="1">
      <c r="A967" s="3"/>
      <c r="B967" s="2" t="str">
        <f t="shared" si="1"/>
        <v/>
      </c>
      <c r="E967" s="2"/>
      <c r="F967" s="2"/>
      <c r="G967" s="2"/>
      <c r="H967" s="2"/>
      <c r="I967" s="2"/>
      <c r="J967" s="2"/>
      <c r="K967" s="2" t="str">
        <f t="shared" si="2"/>
        <v/>
      </c>
      <c r="L967" s="2" t="str">
        <f t="shared" si="3"/>
        <v>No</v>
      </c>
      <c r="M967" s="2" t="str">
        <f>IF(K967="","",F967*VLOOKUP(E967,WEIGHTS!$A$2:$F$4,2,FALSE)+G967*VLOOKUP(E967,WEIGHTS!$A$2:$F$4,3,FALSE)+H967*VLOOKUP(E967,WEIGHTS!$A$2:$F$4,4,FALSE)+I967*VLOOKUP(E967,WEIGHTS!$A$2:$F$4,5,FALSE)+J967*VLOOKUP(E967,WEIGHTS!$A$2:$F$4,6,FALSE))</f>
        <v/>
      </c>
      <c r="N967" s="2" t="str">
        <f t="shared" si="4"/>
        <v/>
      </c>
    </row>
    <row r="968" ht="15.75" customHeight="1">
      <c r="A968" s="3"/>
      <c r="B968" s="2" t="str">
        <f t="shared" si="1"/>
        <v/>
      </c>
      <c r="E968" s="2"/>
      <c r="F968" s="2"/>
      <c r="G968" s="2"/>
      <c r="H968" s="2"/>
      <c r="I968" s="2"/>
      <c r="J968" s="2"/>
      <c r="K968" s="2" t="str">
        <f t="shared" si="2"/>
        <v/>
      </c>
      <c r="L968" s="2" t="str">
        <f t="shared" si="3"/>
        <v>No</v>
      </c>
      <c r="M968" s="2" t="str">
        <f>IF(K968="","",F968*VLOOKUP(E968,WEIGHTS!$A$2:$F$4,2,FALSE)+G968*VLOOKUP(E968,WEIGHTS!$A$2:$F$4,3,FALSE)+H968*VLOOKUP(E968,WEIGHTS!$A$2:$F$4,4,FALSE)+I968*VLOOKUP(E968,WEIGHTS!$A$2:$F$4,5,FALSE)+J968*VLOOKUP(E968,WEIGHTS!$A$2:$F$4,6,FALSE))</f>
        <v/>
      </c>
      <c r="N968" s="2" t="str">
        <f t="shared" si="4"/>
        <v/>
      </c>
    </row>
    <row r="969" ht="15.75" customHeight="1">
      <c r="A969" s="3"/>
      <c r="B969" s="2" t="str">
        <f t="shared" si="1"/>
        <v/>
      </c>
      <c r="E969" s="2"/>
      <c r="F969" s="2"/>
      <c r="G969" s="2"/>
      <c r="H969" s="2"/>
      <c r="I969" s="2"/>
      <c r="J969" s="2"/>
      <c r="K969" s="2" t="str">
        <f t="shared" si="2"/>
        <v/>
      </c>
      <c r="L969" s="2" t="str">
        <f t="shared" si="3"/>
        <v>No</v>
      </c>
      <c r="M969" s="2" t="str">
        <f>IF(K969="","",F969*VLOOKUP(E969,WEIGHTS!$A$2:$F$4,2,FALSE)+G969*VLOOKUP(E969,WEIGHTS!$A$2:$F$4,3,FALSE)+H969*VLOOKUP(E969,WEIGHTS!$A$2:$F$4,4,FALSE)+I969*VLOOKUP(E969,WEIGHTS!$A$2:$F$4,5,FALSE)+J969*VLOOKUP(E969,WEIGHTS!$A$2:$F$4,6,FALSE))</f>
        <v/>
      </c>
      <c r="N969" s="2" t="str">
        <f t="shared" si="4"/>
        <v/>
      </c>
    </row>
    <row r="970" ht="15.75" customHeight="1">
      <c r="A970" s="3"/>
      <c r="B970" s="2" t="str">
        <f t="shared" si="1"/>
        <v/>
      </c>
      <c r="E970" s="2"/>
      <c r="F970" s="2"/>
      <c r="G970" s="2"/>
      <c r="H970" s="2"/>
      <c r="I970" s="2"/>
      <c r="J970" s="2"/>
      <c r="K970" s="2" t="str">
        <f t="shared" si="2"/>
        <v/>
      </c>
      <c r="L970" s="2" t="str">
        <f t="shared" si="3"/>
        <v>No</v>
      </c>
      <c r="M970" s="2" t="str">
        <f>IF(K970="","",F970*VLOOKUP(E970,WEIGHTS!$A$2:$F$4,2,FALSE)+G970*VLOOKUP(E970,WEIGHTS!$A$2:$F$4,3,FALSE)+H970*VLOOKUP(E970,WEIGHTS!$A$2:$F$4,4,FALSE)+I970*VLOOKUP(E970,WEIGHTS!$A$2:$F$4,5,FALSE)+J970*VLOOKUP(E970,WEIGHTS!$A$2:$F$4,6,FALSE))</f>
        <v/>
      </c>
      <c r="N970" s="2" t="str">
        <f t="shared" si="4"/>
        <v/>
      </c>
    </row>
    <row r="971" ht="15.75" customHeight="1">
      <c r="A971" s="3"/>
      <c r="B971" s="2" t="str">
        <f t="shared" si="1"/>
        <v/>
      </c>
      <c r="E971" s="2"/>
      <c r="F971" s="2"/>
      <c r="G971" s="2"/>
      <c r="H971" s="2"/>
      <c r="I971" s="2"/>
      <c r="J971" s="2"/>
      <c r="K971" s="2" t="str">
        <f t="shared" si="2"/>
        <v/>
      </c>
      <c r="L971" s="2" t="str">
        <f t="shared" si="3"/>
        <v>No</v>
      </c>
      <c r="M971" s="2" t="str">
        <f>IF(K971="","",F971*VLOOKUP(E971,WEIGHTS!$A$2:$F$4,2,FALSE)+G971*VLOOKUP(E971,WEIGHTS!$A$2:$F$4,3,FALSE)+H971*VLOOKUP(E971,WEIGHTS!$A$2:$F$4,4,FALSE)+I971*VLOOKUP(E971,WEIGHTS!$A$2:$F$4,5,FALSE)+J971*VLOOKUP(E971,WEIGHTS!$A$2:$F$4,6,FALSE))</f>
        <v/>
      </c>
      <c r="N971" s="2" t="str">
        <f t="shared" si="4"/>
        <v/>
      </c>
    </row>
    <row r="972" ht="15.75" customHeight="1">
      <c r="A972" s="3"/>
      <c r="B972" s="2" t="str">
        <f t="shared" si="1"/>
        <v/>
      </c>
      <c r="E972" s="2"/>
      <c r="F972" s="2"/>
      <c r="G972" s="2"/>
      <c r="H972" s="2"/>
      <c r="I972" s="2"/>
      <c r="J972" s="2"/>
      <c r="K972" s="2" t="str">
        <f t="shared" si="2"/>
        <v/>
      </c>
      <c r="L972" s="2" t="str">
        <f t="shared" si="3"/>
        <v>No</v>
      </c>
      <c r="M972" s="2" t="str">
        <f>IF(K972="","",F972*VLOOKUP(E972,WEIGHTS!$A$2:$F$4,2,FALSE)+G972*VLOOKUP(E972,WEIGHTS!$A$2:$F$4,3,FALSE)+H972*VLOOKUP(E972,WEIGHTS!$A$2:$F$4,4,FALSE)+I972*VLOOKUP(E972,WEIGHTS!$A$2:$F$4,5,FALSE)+J972*VLOOKUP(E972,WEIGHTS!$A$2:$F$4,6,FALSE))</f>
        <v/>
      </c>
      <c r="N972" s="2" t="str">
        <f t="shared" si="4"/>
        <v/>
      </c>
    </row>
    <row r="973" ht="15.75" customHeight="1">
      <c r="A973" s="3"/>
      <c r="B973" s="2" t="str">
        <f t="shared" si="1"/>
        <v/>
      </c>
      <c r="E973" s="2"/>
      <c r="F973" s="2"/>
      <c r="G973" s="2"/>
      <c r="H973" s="2"/>
      <c r="I973" s="2"/>
      <c r="J973" s="2"/>
      <c r="K973" s="2" t="str">
        <f t="shared" si="2"/>
        <v/>
      </c>
      <c r="L973" s="2" t="str">
        <f t="shared" si="3"/>
        <v>No</v>
      </c>
      <c r="M973" s="2" t="str">
        <f>IF(K973="","",F973*VLOOKUP(E973,WEIGHTS!$A$2:$F$4,2,FALSE)+G973*VLOOKUP(E973,WEIGHTS!$A$2:$F$4,3,FALSE)+H973*VLOOKUP(E973,WEIGHTS!$A$2:$F$4,4,FALSE)+I973*VLOOKUP(E973,WEIGHTS!$A$2:$F$4,5,FALSE)+J973*VLOOKUP(E973,WEIGHTS!$A$2:$F$4,6,FALSE))</f>
        <v/>
      </c>
      <c r="N973" s="2" t="str">
        <f t="shared" si="4"/>
        <v/>
      </c>
    </row>
    <row r="974" ht="15.75" customHeight="1">
      <c r="A974" s="3"/>
      <c r="B974" s="2" t="str">
        <f t="shared" si="1"/>
        <v/>
      </c>
      <c r="E974" s="2"/>
      <c r="F974" s="2"/>
      <c r="G974" s="2"/>
      <c r="H974" s="2"/>
      <c r="I974" s="2"/>
      <c r="J974" s="2"/>
      <c r="K974" s="2" t="str">
        <f t="shared" si="2"/>
        <v/>
      </c>
      <c r="L974" s="2" t="str">
        <f t="shared" si="3"/>
        <v>No</v>
      </c>
      <c r="M974" s="2" t="str">
        <f>IF(K974="","",F974*VLOOKUP(E974,WEIGHTS!$A$2:$F$4,2,FALSE)+G974*VLOOKUP(E974,WEIGHTS!$A$2:$F$4,3,FALSE)+H974*VLOOKUP(E974,WEIGHTS!$A$2:$F$4,4,FALSE)+I974*VLOOKUP(E974,WEIGHTS!$A$2:$F$4,5,FALSE)+J974*VLOOKUP(E974,WEIGHTS!$A$2:$F$4,6,FALSE))</f>
        <v/>
      </c>
      <c r="N974" s="2" t="str">
        <f t="shared" si="4"/>
        <v/>
      </c>
    </row>
    <row r="975" ht="15.75" customHeight="1">
      <c r="A975" s="3"/>
      <c r="B975" s="2" t="str">
        <f t="shared" si="1"/>
        <v/>
      </c>
      <c r="E975" s="2"/>
      <c r="F975" s="2"/>
      <c r="G975" s="2"/>
      <c r="H975" s="2"/>
      <c r="I975" s="2"/>
      <c r="J975" s="2"/>
      <c r="K975" s="2" t="str">
        <f t="shared" si="2"/>
        <v/>
      </c>
      <c r="L975" s="2" t="str">
        <f t="shared" si="3"/>
        <v>No</v>
      </c>
      <c r="M975" s="2" t="str">
        <f>IF(K975="","",F975*VLOOKUP(E975,WEIGHTS!$A$2:$F$4,2,FALSE)+G975*VLOOKUP(E975,WEIGHTS!$A$2:$F$4,3,FALSE)+H975*VLOOKUP(E975,WEIGHTS!$A$2:$F$4,4,FALSE)+I975*VLOOKUP(E975,WEIGHTS!$A$2:$F$4,5,FALSE)+J975*VLOOKUP(E975,WEIGHTS!$A$2:$F$4,6,FALSE))</f>
        <v/>
      </c>
      <c r="N975" s="2" t="str">
        <f t="shared" si="4"/>
        <v/>
      </c>
    </row>
    <row r="976" ht="15.75" customHeight="1">
      <c r="A976" s="3"/>
      <c r="B976" s="2" t="str">
        <f t="shared" si="1"/>
        <v/>
      </c>
      <c r="E976" s="2"/>
      <c r="F976" s="2"/>
      <c r="G976" s="2"/>
      <c r="H976" s="2"/>
      <c r="I976" s="2"/>
      <c r="J976" s="2"/>
      <c r="K976" s="2" t="str">
        <f t="shared" si="2"/>
        <v/>
      </c>
      <c r="L976" s="2" t="str">
        <f t="shared" si="3"/>
        <v>No</v>
      </c>
      <c r="M976" s="2" t="str">
        <f>IF(K976="","",F976*VLOOKUP(E976,WEIGHTS!$A$2:$F$4,2,FALSE)+G976*VLOOKUP(E976,WEIGHTS!$A$2:$F$4,3,FALSE)+H976*VLOOKUP(E976,WEIGHTS!$A$2:$F$4,4,FALSE)+I976*VLOOKUP(E976,WEIGHTS!$A$2:$F$4,5,FALSE)+J976*VLOOKUP(E976,WEIGHTS!$A$2:$F$4,6,FALSE))</f>
        <v/>
      </c>
      <c r="N976" s="2" t="str">
        <f t="shared" si="4"/>
        <v/>
      </c>
    </row>
    <row r="977" ht="15.75" customHeight="1">
      <c r="A977" s="3"/>
      <c r="B977" s="2" t="str">
        <f t="shared" si="1"/>
        <v/>
      </c>
      <c r="E977" s="2"/>
      <c r="F977" s="2"/>
      <c r="G977" s="2"/>
      <c r="H977" s="2"/>
      <c r="I977" s="2"/>
      <c r="J977" s="2"/>
      <c r="K977" s="2" t="str">
        <f t="shared" si="2"/>
        <v/>
      </c>
      <c r="L977" s="2" t="str">
        <f t="shared" si="3"/>
        <v>No</v>
      </c>
      <c r="M977" s="2" t="str">
        <f>IF(K977="","",F977*VLOOKUP(E977,WEIGHTS!$A$2:$F$4,2,FALSE)+G977*VLOOKUP(E977,WEIGHTS!$A$2:$F$4,3,FALSE)+H977*VLOOKUP(E977,WEIGHTS!$A$2:$F$4,4,FALSE)+I977*VLOOKUP(E977,WEIGHTS!$A$2:$F$4,5,FALSE)+J977*VLOOKUP(E977,WEIGHTS!$A$2:$F$4,6,FALSE))</f>
        <v/>
      </c>
      <c r="N977" s="2" t="str">
        <f t="shared" si="4"/>
        <v/>
      </c>
    </row>
    <row r="978" ht="15.75" customHeight="1">
      <c r="A978" s="3"/>
      <c r="B978" s="2" t="str">
        <f t="shared" si="1"/>
        <v/>
      </c>
      <c r="E978" s="2"/>
      <c r="F978" s="2"/>
      <c r="G978" s="2"/>
      <c r="H978" s="2"/>
      <c r="I978" s="2"/>
      <c r="J978" s="2"/>
      <c r="K978" s="2" t="str">
        <f t="shared" si="2"/>
        <v/>
      </c>
      <c r="L978" s="2" t="str">
        <f t="shared" si="3"/>
        <v>No</v>
      </c>
      <c r="M978" s="2" t="str">
        <f>IF(K978="","",F978*VLOOKUP(E978,WEIGHTS!$A$2:$F$4,2,FALSE)+G978*VLOOKUP(E978,WEIGHTS!$A$2:$F$4,3,FALSE)+H978*VLOOKUP(E978,WEIGHTS!$A$2:$F$4,4,FALSE)+I978*VLOOKUP(E978,WEIGHTS!$A$2:$F$4,5,FALSE)+J978*VLOOKUP(E978,WEIGHTS!$A$2:$F$4,6,FALSE))</f>
        <v/>
      </c>
      <c r="N978" s="2" t="str">
        <f t="shared" si="4"/>
        <v/>
      </c>
    </row>
    <row r="979" ht="15.75" customHeight="1">
      <c r="A979" s="3"/>
      <c r="B979" s="2" t="str">
        <f t="shared" si="1"/>
        <v/>
      </c>
      <c r="E979" s="2"/>
      <c r="F979" s="2"/>
      <c r="G979" s="2"/>
      <c r="H979" s="2"/>
      <c r="I979" s="2"/>
      <c r="J979" s="2"/>
      <c r="K979" s="2" t="str">
        <f t="shared" si="2"/>
        <v/>
      </c>
      <c r="L979" s="2" t="str">
        <f t="shared" si="3"/>
        <v>No</v>
      </c>
      <c r="M979" s="2" t="str">
        <f>IF(K979="","",F979*VLOOKUP(E979,WEIGHTS!$A$2:$F$4,2,FALSE)+G979*VLOOKUP(E979,WEIGHTS!$A$2:$F$4,3,FALSE)+H979*VLOOKUP(E979,WEIGHTS!$A$2:$F$4,4,FALSE)+I979*VLOOKUP(E979,WEIGHTS!$A$2:$F$4,5,FALSE)+J979*VLOOKUP(E979,WEIGHTS!$A$2:$F$4,6,FALSE))</f>
        <v/>
      </c>
      <c r="N979" s="2" t="str">
        <f t="shared" si="4"/>
        <v/>
      </c>
    </row>
    <row r="980" ht="15.75" customHeight="1">
      <c r="A980" s="3"/>
      <c r="B980" s="2" t="str">
        <f t="shared" si="1"/>
        <v/>
      </c>
      <c r="E980" s="2"/>
      <c r="F980" s="2"/>
      <c r="G980" s="2"/>
      <c r="H980" s="2"/>
      <c r="I980" s="2"/>
      <c r="J980" s="2"/>
      <c r="K980" s="2" t="str">
        <f t="shared" si="2"/>
        <v/>
      </c>
      <c r="L980" s="2" t="str">
        <f t="shared" si="3"/>
        <v>No</v>
      </c>
      <c r="M980" s="2" t="str">
        <f>IF(K980="","",F980*VLOOKUP(E980,WEIGHTS!$A$2:$F$4,2,FALSE)+G980*VLOOKUP(E980,WEIGHTS!$A$2:$F$4,3,FALSE)+H980*VLOOKUP(E980,WEIGHTS!$A$2:$F$4,4,FALSE)+I980*VLOOKUP(E980,WEIGHTS!$A$2:$F$4,5,FALSE)+J980*VLOOKUP(E980,WEIGHTS!$A$2:$F$4,6,FALSE))</f>
        <v/>
      </c>
      <c r="N980" s="2" t="str">
        <f t="shared" si="4"/>
        <v/>
      </c>
    </row>
    <row r="981" ht="15.75" customHeight="1">
      <c r="A981" s="3"/>
      <c r="B981" s="2" t="str">
        <f t="shared" si="1"/>
        <v/>
      </c>
      <c r="E981" s="2"/>
      <c r="F981" s="2"/>
      <c r="G981" s="2"/>
      <c r="H981" s="2"/>
      <c r="I981" s="2"/>
      <c r="J981" s="2"/>
      <c r="K981" s="2" t="str">
        <f t="shared" si="2"/>
        <v/>
      </c>
      <c r="L981" s="2" t="str">
        <f t="shared" si="3"/>
        <v>No</v>
      </c>
      <c r="M981" s="2" t="str">
        <f>IF(K981="","",F981*VLOOKUP(E981,WEIGHTS!$A$2:$F$4,2,FALSE)+G981*VLOOKUP(E981,WEIGHTS!$A$2:$F$4,3,FALSE)+H981*VLOOKUP(E981,WEIGHTS!$A$2:$F$4,4,FALSE)+I981*VLOOKUP(E981,WEIGHTS!$A$2:$F$4,5,FALSE)+J981*VLOOKUP(E981,WEIGHTS!$A$2:$F$4,6,FALSE))</f>
        <v/>
      </c>
      <c r="N981" s="2" t="str">
        <f t="shared" si="4"/>
        <v/>
      </c>
    </row>
    <row r="982" ht="15.75" customHeight="1">
      <c r="A982" s="3"/>
      <c r="B982" s="2" t="str">
        <f t="shared" si="1"/>
        <v/>
      </c>
      <c r="E982" s="2"/>
      <c r="F982" s="2"/>
      <c r="G982" s="2"/>
      <c r="H982" s="2"/>
      <c r="I982" s="2"/>
      <c r="J982" s="2"/>
      <c r="K982" s="2" t="str">
        <f t="shared" si="2"/>
        <v/>
      </c>
      <c r="L982" s="2" t="str">
        <f t="shared" si="3"/>
        <v>No</v>
      </c>
      <c r="M982" s="2" t="str">
        <f>IF(K982="","",F982*VLOOKUP(E982,WEIGHTS!$A$2:$F$4,2,FALSE)+G982*VLOOKUP(E982,WEIGHTS!$A$2:$F$4,3,FALSE)+H982*VLOOKUP(E982,WEIGHTS!$A$2:$F$4,4,FALSE)+I982*VLOOKUP(E982,WEIGHTS!$A$2:$F$4,5,FALSE)+J982*VLOOKUP(E982,WEIGHTS!$A$2:$F$4,6,FALSE))</f>
        <v/>
      </c>
      <c r="N982" s="2" t="str">
        <f t="shared" si="4"/>
        <v/>
      </c>
    </row>
    <row r="983" ht="15.75" customHeight="1">
      <c r="A983" s="3"/>
      <c r="B983" s="2" t="str">
        <f t="shared" si="1"/>
        <v/>
      </c>
      <c r="E983" s="2"/>
      <c r="F983" s="2"/>
      <c r="G983" s="2"/>
      <c r="H983" s="2"/>
      <c r="I983" s="2"/>
      <c r="J983" s="2"/>
      <c r="K983" s="2" t="str">
        <f t="shared" si="2"/>
        <v/>
      </c>
      <c r="L983" s="2" t="str">
        <f t="shared" si="3"/>
        <v>No</v>
      </c>
      <c r="M983" s="2" t="str">
        <f>IF(K983="","",F983*VLOOKUP(E983,WEIGHTS!$A$2:$F$4,2,FALSE)+G983*VLOOKUP(E983,WEIGHTS!$A$2:$F$4,3,FALSE)+H983*VLOOKUP(E983,WEIGHTS!$A$2:$F$4,4,FALSE)+I983*VLOOKUP(E983,WEIGHTS!$A$2:$F$4,5,FALSE)+J983*VLOOKUP(E983,WEIGHTS!$A$2:$F$4,6,FALSE))</f>
        <v/>
      </c>
      <c r="N983" s="2" t="str">
        <f t="shared" si="4"/>
        <v/>
      </c>
    </row>
    <row r="984" ht="15.75" customHeight="1">
      <c r="A984" s="3"/>
      <c r="B984" s="2" t="str">
        <f t="shared" si="1"/>
        <v/>
      </c>
      <c r="E984" s="2"/>
      <c r="F984" s="2"/>
      <c r="G984" s="2"/>
      <c r="H984" s="2"/>
      <c r="I984" s="2"/>
      <c r="J984" s="2"/>
      <c r="K984" s="2" t="str">
        <f t="shared" si="2"/>
        <v/>
      </c>
      <c r="L984" s="2" t="str">
        <f t="shared" si="3"/>
        <v>No</v>
      </c>
      <c r="M984" s="2" t="str">
        <f>IF(K984="","",F984*VLOOKUP(E984,WEIGHTS!$A$2:$F$4,2,FALSE)+G984*VLOOKUP(E984,WEIGHTS!$A$2:$F$4,3,FALSE)+H984*VLOOKUP(E984,WEIGHTS!$A$2:$F$4,4,FALSE)+I984*VLOOKUP(E984,WEIGHTS!$A$2:$F$4,5,FALSE)+J984*VLOOKUP(E984,WEIGHTS!$A$2:$F$4,6,FALSE))</f>
        <v/>
      </c>
      <c r="N984" s="2" t="str">
        <f t="shared" si="4"/>
        <v/>
      </c>
    </row>
    <row r="985" ht="15.75" customHeight="1">
      <c r="A985" s="3"/>
      <c r="B985" s="2" t="str">
        <f t="shared" si="1"/>
        <v/>
      </c>
      <c r="E985" s="2"/>
      <c r="F985" s="2"/>
      <c r="G985" s="2"/>
      <c r="H985" s="2"/>
      <c r="I985" s="2"/>
      <c r="J985" s="2"/>
      <c r="K985" s="2" t="str">
        <f t="shared" si="2"/>
        <v/>
      </c>
      <c r="L985" s="2" t="str">
        <f t="shared" si="3"/>
        <v>No</v>
      </c>
      <c r="M985" s="2" t="str">
        <f>IF(K985="","",F985*VLOOKUP(E985,WEIGHTS!$A$2:$F$4,2,FALSE)+G985*VLOOKUP(E985,WEIGHTS!$A$2:$F$4,3,FALSE)+H985*VLOOKUP(E985,WEIGHTS!$A$2:$F$4,4,FALSE)+I985*VLOOKUP(E985,WEIGHTS!$A$2:$F$4,5,FALSE)+J985*VLOOKUP(E985,WEIGHTS!$A$2:$F$4,6,FALSE))</f>
        <v/>
      </c>
      <c r="N985" s="2" t="str">
        <f t="shared" si="4"/>
        <v/>
      </c>
    </row>
    <row r="986" ht="15.75" customHeight="1">
      <c r="A986" s="3"/>
      <c r="B986" s="2" t="str">
        <f t="shared" si="1"/>
        <v/>
      </c>
      <c r="E986" s="2"/>
      <c r="F986" s="2"/>
      <c r="G986" s="2"/>
      <c r="H986" s="2"/>
      <c r="I986" s="2"/>
      <c r="J986" s="2"/>
      <c r="K986" s="2" t="str">
        <f t="shared" si="2"/>
        <v/>
      </c>
      <c r="L986" s="2" t="str">
        <f t="shared" si="3"/>
        <v>No</v>
      </c>
      <c r="M986" s="2" t="str">
        <f>IF(K986="","",F986*VLOOKUP(E986,WEIGHTS!$A$2:$F$4,2,FALSE)+G986*VLOOKUP(E986,WEIGHTS!$A$2:$F$4,3,FALSE)+H986*VLOOKUP(E986,WEIGHTS!$A$2:$F$4,4,FALSE)+I986*VLOOKUP(E986,WEIGHTS!$A$2:$F$4,5,FALSE)+J986*VLOOKUP(E986,WEIGHTS!$A$2:$F$4,6,FALSE))</f>
        <v/>
      </c>
      <c r="N986" s="2" t="str">
        <f t="shared" si="4"/>
        <v/>
      </c>
    </row>
    <row r="987" ht="15.75" customHeight="1">
      <c r="A987" s="3"/>
      <c r="B987" s="2" t="str">
        <f t="shared" si="1"/>
        <v/>
      </c>
      <c r="E987" s="2"/>
      <c r="F987" s="2"/>
      <c r="G987" s="2"/>
      <c r="H987" s="2"/>
      <c r="I987" s="2"/>
      <c r="J987" s="2"/>
      <c r="K987" s="2" t="str">
        <f t="shared" si="2"/>
        <v/>
      </c>
      <c r="L987" s="2" t="str">
        <f t="shared" si="3"/>
        <v>No</v>
      </c>
      <c r="M987" s="2" t="str">
        <f>IF(K987="","",F987*VLOOKUP(E987,WEIGHTS!$A$2:$F$4,2,FALSE)+G987*VLOOKUP(E987,WEIGHTS!$A$2:$F$4,3,FALSE)+H987*VLOOKUP(E987,WEIGHTS!$A$2:$F$4,4,FALSE)+I987*VLOOKUP(E987,WEIGHTS!$A$2:$F$4,5,FALSE)+J987*VLOOKUP(E987,WEIGHTS!$A$2:$F$4,6,FALSE))</f>
        <v/>
      </c>
      <c r="N987" s="2" t="str">
        <f t="shared" si="4"/>
        <v/>
      </c>
    </row>
    <row r="988" ht="15.75" customHeight="1">
      <c r="A988" s="3"/>
      <c r="B988" s="2" t="str">
        <f t="shared" si="1"/>
        <v/>
      </c>
      <c r="E988" s="2"/>
      <c r="F988" s="2"/>
      <c r="G988" s="2"/>
      <c r="H988" s="2"/>
      <c r="I988" s="2"/>
      <c r="J988" s="2"/>
      <c r="K988" s="2" t="str">
        <f t="shared" si="2"/>
        <v/>
      </c>
      <c r="L988" s="2" t="str">
        <f t="shared" si="3"/>
        <v>No</v>
      </c>
      <c r="M988" s="2" t="str">
        <f>IF(K988="","",F988*VLOOKUP(E988,WEIGHTS!$A$2:$F$4,2,FALSE)+G988*VLOOKUP(E988,WEIGHTS!$A$2:$F$4,3,FALSE)+H988*VLOOKUP(E988,WEIGHTS!$A$2:$F$4,4,FALSE)+I988*VLOOKUP(E988,WEIGHTS!$A$2:$F$4,5,FALSE)+J988*VLOOKUP(E988,WEIGHTS!$A$2:$F$4,6,FALSE))</f>
        <v/>
      </c>
      <c r="N988" s="2" t="str">
        <f t="shared" si="4"/>
        <v/>
      </c>
    </row>
    <row r="989" ht="15.75" customHeight="1">
      <c r="A989" s="3"/>
      <c r="B989" s="2" t="str">
        <f t="shared" si="1"/>
        <v/>
      </c>
      <c r="E989" s="2"/>
      <c r="F989" s="2"/>
      <c r="G989" s="2"/>
      <c r="H989" s="2"/>
      <c r="I989" s="2"/>
      <c r="J989" s="2"/>
      <c r="K989" s="2" t="str">
        <f t="shared" si="2"/>
        <v/>
      </c>
      <c r="L989" s="2" t="str">
        <f t="shared" si="3"/>
        <v>No</v>
      </c>
      <c r="M989" s="2" t="str">
        <f>IF(K989="","",F989*VLOOKUP(E989,WEIGHTS!$A$2:$F$4,2,FALSE)+G989*VLOOKUP(E989,WEIGHTS!$A$2:$F$4,3,FALSE)+H989*VLOOKUP(E989,WEIGHTS!$A$2:$F$4,4,FALSE)+I989*VLOOKUP(E989,WEIGHTS!$A$2:$F$4,5,FALSE)+J989*VLOOKUP(E989,WEIGHTS!$A$2:$F$4,6,FALSE))</f>
        <v/>
      </c>
      <c r="N989" s="2" t="str">
        <f t="shared" si="4"/>
        <v/>
      </c>
    </row>
    <row r="990" ht="15.75" customHeight="1">
      <c r="A990" s="3"/>
      <c r="B990" s="2" t="str">
        <f t="shared" si="1"/>
        <v/>
      </c>
      <c r="E990" s="2"/>
      <c r="F990" s="2"/>
      <c r="G990" s="2"/>
      <c r="H990" s="2"/>
      <c r="I990" s="2"/>
      <c r="J990" s="2"/>
      <c r="K990" s="2" t="str">
        <f t="shared" si="2"/>
        <v/>
      </c>
      <c r="L990" s="2" t="str">
        <f t="shared" si="3"/>
        <v>No</v>
      </c>
      <c r="M990" s="2" t="str">
        <f>IF(K990="","",F990*VLOOKUP(E990,WEIGHTS!$A$2:$F$4,2,FALSE)+G990*VLOOKUP(E990,WEIGHTS!$A$2:$F$4,3,FALSE)+H990*VLOOKUP(E990,WEIGHTS!$A$2:$F$4,4,FALSE)+I990*VLOOKUP(E990,WEIGHTS!$A$2:$F$4,5,FALSE)+J990*VLOOKUP(E990,WEIGHTS!$A$2:$F$4,6,FALSE))</f>
        <v/>
      </c>
      <c r="N990" s="2" t="str">
        <f t="shared" si="4"/>
        <v/>
      </c>
    </row>
    <row r="991" ht="15.75" customHeight="1">
      <c r="A991" s="3"/>
      <c r="B991" s="2" t="str">
        <f t="shared" si="1"/>
        <v/>
      </c>
      <c r="E991" s="2"/>
      <c r="F991" s="2"/>
      <c r="G991" s="2"/>
      <c r="H991" s="2"/>
      <c r="I991" s="2"/>
      <c r="J991" s="2"/>
      <c r="K991" s="2" t="str">
        <f t="shared" si="2"/>
        <v/>
      </c>
      <c r="L991" s="2" t="str">
        <f t="shared" si="3"/>
        <v>No</v>
      </c>
      <c r="M991" s="2" t="str">
        <f>IF(K991="","",F991*VLOOKUP(E991,WEIGHTS!$A$2:$F$4,2,FALSE)+G991*VLOOKUP(E991,WEIGHTS!$A$2:$F$4,3,FALSE)+H991*VLOOKUP(E991,WEIGHTS!$A$2:$F$4,4,FALSE)+I991*VLOOKUP(E991,WEIGHTS!$A$2:$F$4,5,FALSE)+J991*VLOOKUP(E991,WEIGHTS!$A$2:$F$4,6,FALSE))</f>
        <v/>
      </c>
      <c r="N991" s="2" t="str">
        <f t="shared" si="4"/>
        <v/>
      </c>
    </row>
    <row r="992" ht="15.75" customHeight="1">
      <c r="A992" s="3"/>
      <c r="B992" s="2" t="str">
        <f t="shared" si="1"/>
        <v/>
      </c>
      <c r="E992" s="2"/>
      <c r="F992" s="2"/>
      <c r="G992" s="2"/>
      <c r="H992" s="2"/>
      <c r="I992" s="2"/>
      <c r="J992" s="2"/>
      <c r="K992" s="2" t="str">
        <f t="shared" si="2"/>
        <v/>
      </c>
      <c r="L992" s="2" t="str">
        <f t="shared" si="3"/>
        <v>No</v>
      </c>
      <c r="M992" s="2" t="str">
        <f>IF(K992="","",F992*VLOOKUP(E992,WEIGHTS!$A$2:$F$4,2,FALSE)+G992*VLOOKUP(E992,WEIGHTS!$A$2:$F$4,3,FALSE)+H992*VLOOKUP(E992,WEIGHTS!$A$2:$F$4,4,FALSE)+I992*VLOOKUP(E992,WEIGHTS!$A$2:$F$4,5,FALSE)+J992*VLOOKUP(E992,WEIGHTS!$A$2:$F$4,6,FALSE))</f>
        <v/>
      </c>
      <c r="N992" s="2" t="str">
        <f t="shared" si="4"/>
        <v/>
      </c>
    </row>
    <row r="993" ht="15.75" customHeight="1">
      <c r="A993" s="3"/>
      <c r="B993" s="2" t="str">
        <f t="shared" si="1"/>
        <v/>
      </c>
      <c r="E993" s="2"/>
      <c r="F993" s="2"/>
      <c r="G993" s="2"/>
      <c r="H993" s="2"/>
      <c r="I993" s="2"/>
      <c r="J993" s="2"/>
      <c r="K993" s="2" t="str">
        <f t="shared" si="2"/>
        <v/>
      </c>
      <c r="L993" s="2" t="str">
        <f t="shared" si="3"/>
        <v>No</v>
      </c>
      <c r="M993" s="2" t="str">
        <f>IF(K993="","",F993*VLOOKUP(E993,WEIGHTS!$A$2:$F$4,2,FALSE)+G993*VLOOKUP(E993,WEIGHTS!$A$2:$F$4,3,FALSE)+H993*VLOOKUP(E993,WEIGHTS!$A$2:$F$4,4,FALSE)+I993*VLOOKUP(E993,WEIGHTS!$A$2:$F$4,5,FALSE)+J993*VLOOKUP(E993,WEIGHTS!$A$2:$F$4,6,FALSE))</f>
        <v/>
      </c>
      <c r="N993" s="2" t="str">
        <f t="shared" si="4"/>
        <v/>
      </c>
    </row>
    <row r="994" ht="15.75" customHeight="1">
      <c r="A994" s="3"/>
      <c r="B994" s="2" t="str">
        <f t="shared" si="1"/>
        <v/>
      </c>
      <c r="E994" s="2"/>
      <c r="F994" s="2"/>
      <c r="G994" s="2"/>
      <c r="H994" s="2"/>
      <c r="I994" s="2"/>
      <c r="J994" s="2"/>
      <c r="K994" s="2" t="str">
        <f t="shared" si="2"/>
        <v/>
      </c>
      <c r="L994" s="2" t="str">
        <f t="shared" si="3"/>
        <v>No</v>
      </c>
      <c r="M994" s="2" t="str">
        <f>IF(K994="","",F994*VLOOKUP(E994,WEIGHTS!$A$2:$F$4,2,FALSE)+G994*VLOOKUP(E994,WEIGHTS!$A$2:$F$4,3,FALSE)+H994*VLOOKUP(E994,WEIGHTS!$A$2:$F$4,4,FALSE)+I994*VLOOKUP(E994,WEIGHTS!$A$2:$F$4,5,FALSE)+J994*VLOOKUP(E994,WEIGHTS!$A$2:$F$4,6,FALSE))</f>
        <v/>
      </c>
      <c r="N994" s="2" t="str">
        <f t="shared" si="4"/>
        <v/>
      </c>
    </row>
    <row r="995" ht="15.75" customHeight="1">
      <c r="A995" s="3"/>
      <c r="B995" s="2" t="str">
        <f t="shared" si="1"/>
        <v/>
      </c>
      <c r="E995" s="2"/>
      <c r="F995" s="2"/>
      <c r="G995" s="2"/>
      <c r="H995" s="2"/>
      <c r="I995" s="2"/>
      <c r="J995" s="2"/>
      <c r="K995" s="2" t="str">
        <f t="shared" si="2"/>
        <v/>
      </c>
      <c r="L995" s="2" t="str">
        <f t="shared" si="3"/>
        <v>No</v>
      </c>
      <c r="M995" s="2" t="str">
        <f>IF(K995="","",F995*VLOOKUP(E995,WEIGHTS!$A$2:$F$4,2,FALSE)+G995*VLOOKUP(E995,WEIGHTS!$A$2:$F$4,3,FALSE)+H995*VLOOKUP(E995,WEIGHTS!$A$2:$F$4,4,FALSE)+I995*VLOOKUP(E995,WEIGHTS!$A$2:$F$4,5,FALSE)+J995*VLOOKUP(E995,WEIGHTS!$A$2:$F$4,6,FALSE))</f>
        <v/>
      </c>
      <c r="N995" s="2" t="str">
        <f t="shared" si="4"/>
        <v/>
      </c>
    </row>
    <row r="996" ht="15.75" customHeight="1">
      <c r="A996" s="3"/>
      <c r="B996" s="2" t="str">
        <f t="shared" si="1"/>
        <v/>
      </c>
      <c r="E996" s="2"/>
      <c r="F996" s="2"/>
      <c r="G996" s="2"/>
      <c r="H996" s="2"/>
      <c r="I996" s="2"/>
      <c r="J996" s="2"/>
      <c r="K996" s="2" t="str">
        <f t="shared" si="2"/>
        <v/>
      </c>
      <c r="L996" s="2" t="str">
        <f t="shared" si="3"/>
        <v>No</v>
      </c>
      <c r="M996" s="2" t="str">
        <f>IF(K996="","",F996*VLOOKUP(E996,WEIGHTS!$A$2:$F$4,2,FALSE)+G996*VLOOKUP(E996,WEIGHTS!$A$2:$F$4,3,FALSE)+H996*VLOOKUP(E996,WEIGHTS!$A$2:$F$4,4,FALSE)+I996*VLOOKUP(E996,WEIGHTS!$A$2:$F$4,5,FALSE)+J996*VLOOKUP(E996,WEIGHTS!$A$2:$F$4,6,FALSE))</f>
        <v/>
      </c>
      <c r="N996" s="2" t="str">
        <f t="shared" si="4"/>
        <v/>
      </c>
    </row>
    <row r="997" ht="15.75" customHeight="1">
      <c r="A997" s="3"/>
      <c r="B997" s="2" t="str">
        <f t="shared" si="1"/>
        <v/>
      </c>
      <c r="E997" s="2"/>
      <c r="F997" s="2"/>
      <c r="G997" s="2"/>
      <c r="H997" s="2"/>
      <c r="I997" s="2"/>
      <c r="J997" s="2"/>
      <c r="K997" s="2" t="str">
        <f t="shared" si="2"/>
        <v/>
      </c>
      <c r="L997" s="2" t="str">
        <f t="shared" si="3"/>
        <v>No</v>
      </c>
      <c r="M997" s="2" t="str">
        <f>IF(K997="","",F997*VLOOKUP(E997,WEIGHTS!$A$2:$F$4,2,FALSE)+G997*VLOOKUP(E997,WEIGHTS!$A$2:$F$4,3,FALSE)+H997*VLOOKUP(E997,WEIGHTS!$A$2:$F$4,4,FALSE)+I997*VLOOKUP(E997,WEIGHTS!$A$2:$F$4,5,FALSE)+J997*VLOOKUP(E997,WEIGHTS!$A$2:$F$4,6,FALSE))</f>
        <v/>
      </c>
      <c r="N997" s="2" t="str">
        <f t="shared" si="4"/>
        <v/>
      </c>
    </row>
    <row r="998" ht="15.75" customHeight="1">
      <c r="A998" s="3"/>
      <c r="B998" s="2" t="str">
        <f t="shared" si="1"/>
        <v/>
      </c>
      <c r="E998" s="2"/>
      <c r="F998" s="2"/>
      <c r="G998" s="2"/>
      <c r="H998" s="2"/>
      <c r="I998" s="2"/>
      <c r="J998" s="2"/>
      <c r="K998" s="2" t="str">
        <f t="shared" si="2"/>
        <v/>
      </c>
      <c r="L998" s="2" t="str">
        <f t="shared" si="3"/>
        <v>No</v>
      </c>
      <c r="M998" s="2" t="str">
        <f>IF(K998="","",F998*VLOOKUP(E998,WEIGHTS!$A$2:$F$4,2,FALSE)+G998*VLOOKUP(E998,WEIGHTS!$A$2:$F$4,3,FALSE)+H998*VLOOKUP(E998,WEIGHTS!$A$2:$F$4,4,FALSE)+I998*VLOOKUP(E998,WEIGHTS!$A$2:$F$4,5,FALSE)+J998*VLOOKUP(E998,WEIGHTS!$A$2:$F$4,6,FALSE))</f>
        <v/>
      </c>
      <c r="N998" s="2" t="str">
        <f t="shared" si="4"/>
        <v/>
      </c>
    </row>
    <row r="999" ht="15.75" customHeight="1">
      <c r="A999" s="3"/>
      <c r="B999" s="2" t="str">
        <f t="shared" si="1"/>
        <v/>
      </c>
      <c r="E999" s="2"/>
      <c r="F999" s="2"/>
      <c r="G999" s="2"/>
      <c r="H999" s="2"/>
      <c r="I999" s="2"/>
      <c r="J999" s="2"/>
      <c r="K999" s="2" t="str">
        <f t="shared" si="2"/>
        <v/>
      </c>
      <c r="L999" s="2" t="str">
        <f t="shared" si="3"/>
        <v>No</v>
      </c>
      <c r="M999" s="2" t="str">
        <f>IF(K999="","",F999*VLOOKUP(E999,WEIGHTS!$A$2:$F$4,2,FALSE)+G999*VLOOKUP(E999,WEIGHTS!$A$2:$F$4,3,FALSE)+H999*VLOOKUP(E999,WEIGHTS!$A$2:$F$4,4,FALSE)+I999*VLOOKUP(E999,WEIGHTS!$A$2:$F$4,5,FALSE)+J999*VLOOKUP(E999,WEIGHTS!$A$2:$F$4,6,FALSE))</f>
        <v/>
      </c>
      <c r="N999" s="2" t="str">
        <f t="shared" si="4"/>
        <v/>
      </c>
    </row>
    <row r="1000" ht="15.75" customHeight="1">
      <c r="A1000" s="3"/>
      <c r="B1000" s="2" t="str">
        <f t="shared" si="1"/>
        <v/>
      </c>
      <c r="E1000" s="2"/>
      <c r="F1000" s="2"/>
      <c r="G1000" s="2"/>
      <c r="H1000" s="2"/>
      <c r="I1000" s="2"/>
      <c r="J1000" s="2"/>
      <c r="K1000" s="2" t="str">
        <f t="shared" si="2"/>
        <v/>
      </c>
      <c r="L1000" s="2" t="str">
        <f t="shared" si="3"/>
        <v>No</v>
      </c>
      <c r="M1000" s="2" t="str">
        <f>IF(K1000="","",F1000*VLOOKUP(E1000,WEIGHTS!$A$2:$F$4,2,FALSE)+G1000*VLOOKUP(E1000,WEIGHTS!$A$2:$F$4,3,FALSE)+H1000*VLOOKUP(E1000,WEIGHTS!$A$2:$F$4,4,FALSE)+I1000*VLOOKUP(E1000,WEIGHTS!$A$2:$F$4,5,FALSE)+J1000*VLOOKUP(E1000,WEIGHTS!$A$2:$F$4,6,FALSE))</f>
        <v/>
      </c>
      <c r="N1000" s="2" t="str">
        <f t="shared" si="4"/>
        <v/>
      </c>
    </row>
    <row r="1001" ht="15.75" customHeight="1">
      <c r="A1001" s="3"/>
      <c r="B1001" s="2" t="str">
        <f t="shared" si="1"/>
        <v/>
      </c>
      <c r="E1001" s="2"/>
      <c r="F1001" s="2"/>
      <c r="G1001" s="2"/>
      <c r="H1001" s="2"/>
      <c r="I1001" s="2"/>
      <c r="J1001" s="2"/>
      <c r="K1001" s="2" t="str">
        <f t="shared" si="2"/>
        <v/>
      </c>
      <c r="L1001" s="2" t="str">
        <f t="shared" si="3"/>
        <v>No</v>
      </c>
      <c r="M1001" s="2" t="str">
        <f>IF(K1001="","",F1001*VLOOKUP(E1001,WEIGHTS!$A$2:$F$4,2,FALSE)+G1001*VLOOKUP(E1001,WEIGHTS!$A$2:$F$4,3,FALSE)+H1001*VLOOKUP(E1001,WEIGHTS!$A$2:$F$4,4,FALSE)+I1001*VLOOKUP(E1001,WEIGHTS!$A$2:$F$4,5,FALSE)+J1001*VLOOKUP(E1001,WEIGHTS!$A$2:$F$4,6,FALSE))</f>
        <v/>
      </c>
      <c r="N1001" s="2" t="str">
        <f t="shared" si="4"/>
        <v/>
      </c>
    </row>
    <row r="1002" ht="15.75" customHeight="1">
      <c r="A1002" s="3"/>
      <c r="B1002" s="2" t="str">
        <f t="shared" si="1"/>
        <v/>
      </c>
      <c r="E1002" s="2"/>
      <c r="F1002" s="2"/>
      <c r="G1002" s="2"/>
      <c r="H1002" s="2"/>
      <c r="I1002" s="2"/>
      <c r="J1002" s="2"/>
      <c r="K1002" s="2" t="str">
        <f t="shared" si="2"/>
        <v/>
      </c>
      <c r="L1002" s="2" t="str">
        <f t="shared" si="3"/>
        <v>No</v>
      </c>
      <c r="M1002" s="2" t="str">
        <f>IF(K1002="","",F1002*VLOOKUP(E1002,WEIGHTS!$A$2:$F$4,2,FALSE)+G1002*VLOOKUP(E1002,WEIGHTS!$A$2:$F$4,3,FALSE)+H1002*VLOOKUP(E1002,WEIGHTS!$A$2:$F$4,4,FALSE)+I1002*VLOOKUP(E1002,WEIGHTS!$A$2:$F$4,5,FALSE)+J1002*VLOOKUP(E1002,WEIGHTS!$A$2:$F$4,6,FALSE))</f>
        <v/>
      </c>
      <c r="N1002" s="2" t="str">
        <f t="shared" si="4"/>
        <v/>
      </c>
    </row>
    <row r="1003" ht="15.75" customHeight="1">
      <c r="A1003" s="3"/>
      <c r="B1003" s="2" t="str">
        <f t="shared" si="1"/>
        <v/>
      </c>
      <c r="E1003" s="2"/>
      <c r="F1003" s="2"/>
      <c r="G1003" s="2"/>
      <c r="H1003" s="2"/>
      <c r="I1003" s="2"/>
      <c r="J1003" s="2"/>
      <c r="K1003" s="2" t="str">
        <f t="shared" si="2"/>
        <v/>
      </c>
      <c r="L1003" s="2" t="str">
        <f t="shared" si="3"/>
        <v>No</v>
      </c>
      <c r="M1003" s="2" t="str">
        <f>IF(K1003="","",F1003*VLOOKUP(E1003,WEIGHTS!$A$2:$F$4,2,FALSE)+G1003*VLOOKUP(E1003,WEIGHTS!$A$2:$F$4,3,FALSE)+H1003*VLOOKUP(E1003,WEIGHTS!$A$2:$F$4,4,FALSE)+I1003*VLOOKUP(E1003,WEIGHTS!$A$2:$F$4,5,FALSE)+J1003*VLOOKUP(E1003,WEIGHTS!$A$2:$F$4,6,FALSE))</f>
        <v/>
      </c>
      <c r="N1003" s="2" t="str">
        <f t="shared" si="4"/>
        <v/>
      </c>
    </row>
    <row r="1004" ht="15.75" customHeight="1">
      <c r="A1004" s="3"/>
      <c r="B1004" s="2" t="str">
        <f t="shared" si="1"/>
        <v/>
      </c>
      <c r="E1004" s="2"/>
      <c r="F1004" s="2"/>
      <c r="G1004" s="2"/>
      <c r="H1004" s="2"/>
      <c r="I1004" s="2"/>
      <c r="J1004" s="2"/>
      <c r="K1004" s="2" t="str">
        <f t="shared" si="2"/>
        <v/>
      </c>
      <c r="L1004" s="2" t="str">
        <f t="shared" si="3"/>
        <v>No</v>
      </c>
      <c r="M1004" s="2" t="str">
        <f>IF(K1004="","",F1004*VLOOKUP(E1004,WEIGHTS!$A$2:$F$4,2,FALSE)+G1004*VLOOKUP(E1004,WEIGHTS!$A$2:$F$4,3,FALSE)+H1004*VLOOKUP(E1004,WEIGHTS!$A$2:$F$4,4,FALSE)+I1004*VLOOKUP(E1004,WEIGHTS!$A$2:$F$4,5,FALSE)+J1004*VLOOKUP(E1004,WEIGHTS!$A$2:$F$4,6,FALSE))</f>
        <v/>
      </c>
      <c r="N1004" s="2" t="str">
        <f t="shared" si="4"/>
        <v/>
      </c>
    </row>
    <row r="1005" ht="15.75" customHeight="1">
      <c r="A1005" s="3"/>
      <c r="B1005" s="2" t="str">
        <f t="shared" si="1"/>
        <v/>
      </c>
      <c r="E1005" s="2"/>
      <c r="F1005" s="2"/>
      <c r="G1005" s="2"/>
      <c r="H1005" s="2"/>
      <c r="I1005" s="2"/>
      <c r="J1005" s="2"/>
      <c r="K1005" s="2" t="str">
        <f t="shared" si="2"/>
        <v/>
      </c>
      <c r="L1005" s="2" t="str">
        <f t="shared" si="3"/>
        <v>No</v>
      </c>
      <c r="M1005" s="2" t="str">
        <f>IF(K1005="","",F1005*VLOOKUP(E1005,WEIGHTS!$A$2:$F$4,2,FALSE)+G1005*VLOOKUP(E1005,WEIGHTS!$A$2:$F$4,3,FALSE)+H1005*VLOOKUP(E1005,WEIGHTS!$A$2:$F$4,4,FALSE)+I1005*VLOOKUP(E1005,WEIGHTS!$A$2:$F$4,5,FALSE)+J1005*VLOOKUP(E1005,WEIGHTS!$A$2:$F$4,6,FALSE))</f>
        <v/>
      </c>
      <c r="N1005" s="2" t="str">
        <f t="shared" si="4"/>
        <v/>
      </c>
    </row>
    <row r="1006" ht="15.75" customHeight="1">
      <c r="A1006" s="3"/>
      <c r="B1006" s="2" t="str">
        <f t="shared" si="1"/>
        <v/>
      </c>
      <c r="E1006" s="2"/>
      <c r="F1006" s="2"/>
      <c r="G1006" s="2"/>
      <c r="H1006" s="2"/>
      <c r="I1006" s="2"/>
      <c r="J1006" s="2"/>
      <c r="K1006" s="2" t="str">
        <f t="shared" si="2"/>
        <v/>
      </c>
      <c r="L1006" s="2" t="str">
        <f t="shared" si="3"/>
        <v>No</v>
      </c>
      <c r="M1006" s="2" t="str">
        <f>IF(K1006="","",F1006*VLOOKUP(E1006,WEIGHTS!$A$2:$F$4,2,FALSE)+G1006*VLOOKUP(E1006,WEIGHTS!$A$2:$F$4,3,FALSE)+H1006*VLOOKUP(E1006,WEIGHTS!$A$2:$F$4,4,FALSE)+I1006*VLOOKUP(E1006,WEIGHTS!$A$2:$F$4,5,FALSE)+J1006*VLOOKUP(E1006,WEIGHTS!$A$2:$F$4,6,FALSE))</f>
        <v/>
      </c>
      <c r="N1006" s="2" t="str">
        <f t="shared" si="4"/>
        <v/>
      </c>
    </row>
    <row r="1007" ht="15.75" customHeight="1">
      <c r="A1007" s="3"/>
      <c r="B1007" s="2" t="str">
        <f t="shared" si="1"/>
        <v/>
      </c>
      <c r="E1007" s="2"/>
      <c r="F1007" s="2"/>
      <c r="G1007" s="2"/>
      <c r="H1007" s="2"/>
      <c r="I1007" s="2"/>
      <c r="J1007" s="2"/>
      <c r="K1007" s="2" t="str">
        <f t="shared" si="2"/>
        <v/>
      </c>
      <c r="L1007" s="2" t="str">
        <f t="shared" si="3"/>
        <v>No</v>
      </c>
      <c r="M1007" s="2" t="str">
        <f>IF(K1007="","",F1007*VLOOKUP(E1007,WEIGHTS!$A$2:$F$4,2,FALSE)+G1007*VLOOKUP(E1007,WEIGHTS!$A$2:$F$4,3,FALSE)+H1007*VLOOKUP(E1007,WEIGHTS!$A$2:$F$4,4,FALSE)+I1007*VLOOKUP(E1007,WEIGHTS!$A$2:$F$4,5,FALSE)+J1007*VLOOKUP(E1007,WEIGHTS!$A$2:$F$4,6,FALSE))</f>
        <v/>
      </c>
      <c r="N1007" s="2" t="str">
        <f t="shared" si="4"/>
        <v/>
      </c>
    </row>
    <row r="1008" ht="15.75" customHeight="1">
      <c r="A1008" s="3"/>
      <c r="B1008" s="2" t="str">
        <f t="shared" si="1"/>
        <v/>
      </c>
      <c r="E1008" s="2"/>
      <c r="F1008" s="2"/>
      <c r="G1008" s="2"/>
      <c r="H1008" s="2"/>
      <c r="I1008" s="2"/>
      <c r="J1008" s="2"/>
      <c r="K1008" s="2" t="str">
        <f t="shared" si="2"/>
        <v/>
      </c>
      <c r="L1008" s="2" t="str">
        <f t="shared" si="3"/>
        <v>No</v>
      </c>
      <c r="M1008" s="2" t="str">
        <f>IF(K1008="","",F1008*VLOOKUP(E1008,WEIGHTS!$A$2:$F$4,2,FALSE)+G1008*VLOOKUP(E1008,WEIGHTS!$A$2:$F$4,3,FALSE)+H1008*VLOOKUP(E1008,WEIGHTS!$A$2:$F$4,4,FALSE)+I1008*VLOOKUP(E1008,WEIGHTS!$A$2:$F$4,5,FALSE)+J1008*VLOOKUP(E1008,WEIGHTS!$A$2:$F$4,6,FALSE))</f>
        <v/>
      </c>
      <c r="N1008" s="2" t="str">
        <f t="shared" si="4"/>
        <v/>
      </c>
    </row>
    <row r="1009" ht="15.75" customHeight="1">
      <c r="A1009" s="3"/>
      <c r="B1009" s="2" t="str">
        <f t="shared" si="1"/>
        <v/>
      </c>
      <c r="E1009" s="2"/>
      <c r="F1009" s="2"/>
      <c r="G1009" s="2"/>
      <c r="H1009" s="2"/>
      <c r="I1009" s="2"/>
      <c r="J1009" s="2"/>
      <c r="K1009" s="2" t="str">
        <f t="shared" si="2"/>
        <v/>
      </c>
      <c r="L1009" s="2" t="str">
        <f t="shared" si="3"/>
        <v>No</v>
      </c>
      <c r="M1009" s="2" t="str">
        <f>IF(K1009="","",F1009*VLOOKUP(E1009,WEIGHTS!$A$2:$F$4,2,FALSE)+G1009*VLOOKUP(E1009,WEIGHTS!$A$2:$F$4,3,FALSE)+H1009*VLOOKUP(E1009,WEIGHTS!$A$2:$F$4,4,FALSE)+I1009*VLOOKUP(E1009,WEIGHTS!$A$2:$F$4,5,FALSE)+J1009*VLOOKUP(E1009,WEIGHTS!$A$2:$F$4,6,FALSE))</f>
        <v/>
      </c>
      <c r="N1009" s="2" t="str">
        <f t="shared" si="4"/>
        <v/>
      </c>
    </row>
    <row r="1010" ht="15.75" customHeight="1">
      <c r="A1010" s="3"/>
      <c r="B1010" s="2" t="str">
        <f t="shared" si="1"/>
        <v/>
      </c>
      <c r="E1010" s="2"/>
      <c r="F1010" s="2"/>
      <c r="G1010" s="2"/>
      <c r="H1010" s="2"/>
      <c r="I1010" s="2"/>
      <c r="J1010" s="2"/>
      <c r="K1010" s="2" t="str">
        <f t="shared" si="2"/>
        <v/>
      </c>
      <c r="L1010" s="2" t="str">
        <f t="shared" si="3"/>
        <v>No</v>
      </c>
      <c r="M1010" s="2" t="str">
        <f>IF(K1010="","",F1010*VLOOKUP(E1010,WEIGHTS!$A$2:$F$4,2,FALSE)+G1010*VLOOKUP(E1010,WEIGHTS!$A$2:$F$4,3,FALSE)+H1010*VLOOKUP(E1010,WEIGHTS!$A$2:$F$4,4,FALSE)+I1010*VLOOKUP(E1010,WEIGHTS!$A$2:$F$4,5,FALSE)+J1010*VLOOKUP(E1010,WEIGHTS!$A$2:$F$4,6,FALSE))</f>
        <v/>
      </c>
      <c r="N1010" s="2" t="str">
        <f t="shared" si="4"/>
        <v/>
      </c>
    </row>
    <row r="1011" ht="15.75" customHeight="1">
      <c r="A1011" s="3"/>
      <c r="B1011" s="2" t="str">
        <f t="shared" si="1"/>
        <v/>
      </c>
      <c r="E1011" s="2"/>
      <c r="F1011" s="2"/>
      <c r="G1011" s="2"/>
      <c r="H1011" s="2"/>
      <c r="I1011" s="2"/>
      <c r="J1011" s="2"/>
      <c r="K1011" s="2" t="str">
        <f t="shared" si="2"/>
        <v/>
      </c>
      <c r="L1011" s="2" t="str">
        <f t="shared" si="3"/>
        <v>No</v>
      </c>
      <c r="M1011" s="2" t="str">
        <f>IF(K1011="","",F1011*VLOOKUP(E1011,WEIGHTS!$A$2:$F$4,2,FALSE)+G1011*VLOOKUP(E1011,WEIGHTS!$A$2:$F$4,3,FALSE)+H1011*VLOOKUP(E1011,WEIGHTS!$A$2:$F$4,4,FALSE)+I1011*VLOOKUP(E1011,WEIGHTS!$A$2:$F$4,5,FALSE)+J1011*VLOOKUP(E1011,WEIGHTS!$A$2:$F$4,6,FALSE))</f>
        <v/>
      </c>
      <c r="N1011" s="2" t="str">
        <f t="shared" si="4"/>
        <v/>
      </c>
    </row>
    <row r="1012" ht="15.75" customHeight="1">
      <c r="A1012" s="3"/>
      <c r="B1012" s="2" t="str">
        <f t="shared" si="1"/>
        <v/>
      </c>
      <c r="E1012" s="2"/>
      <c r="F1012" s="2"/>
      <c r="G1012" s="2"/>
      <c r="H1012" s="2"/>
      <c r="I1012" s="2"/>
      <c r="J1012" s="2"/>
      <c r="K1012" s="2" t="str">
        <f t="shared" si="2"/>
        <v/>
      </c>
      <c r="L1012" s="2" t="str">
        <f t="shared" si="3"/>
        <v>No</v>
      </c>
      <c r="M1012" s="2" t="str">
        <f>IF(K1012="","",F1012*VLOOKUP(E1012,WEIGHTS!$A$2:$F$4,2,FALSE)+G1012*VLOOKUP(E1012,WEIGHTS!$A$2:$F$4,3,FALSE)+H1012*VLOOKUP(E1012,WEIGHTS!$A$2:$F$4,4,FALSE)+I1012*VLOOKUP(E1012,WEIGHTS!$A$2:$F$4,5,FALSE)+J1012*VLOOKUP(E1012,WEIGHTS!$A$2:$F$4,6,FALSE))</f>
        <v/>
      </c>
      <c r="N1012" s="2" t="str">
        <f t="shared" si="4"/>
        <v/>
      </c>
    </row>
    <row r="1013" ht="15.75" customHeight="1">
      <c r="A1013" s="3"/>
      <c r="B1013" s="2" t="str">
        <f t="shared" si="1"/>
        <v/>
      </c>
      <c r="E1013" s="2"/>
      <c r="F1013" s="2"/>
      <c r="G1013" s="2"/>
      <c r="H1013" s="2"/>
      <c r="I1013" s="2"/>
      <c r="J1013" s="2"/>
      <c r="K1013" s="2" t="str">
        <f t="shared" si="2"/>
        <v/>
      </c>
      <c r="L1013" s="2" t="str">
        <f t="shared" si="3"/>
        <v>No</v>
      </c>
      <c r="M1013" s="2" t="str">
        <f>IF(K1013="","",F1013*VLOOKUP(E1013,WEIGHTS!$A$2:$F$4,2,FALSE)+G1013*VLOOKUP(E1013,WEIGHTS!$A$2:$F$4,3,FALSE)+H1013*VLOOKUP(E1013,WEIGHTS!$A$2:$F$4,4,FALSE)+I1013*VLOOKUP(E1013,WEIGHTS!$A$2:$F$4,5,FALSE)+J1013*VLOOKUP(E1013,WEIGHTS!$A$2:$F$4,6,FALSE))</f>
        <v/>
      </c>
      <c r="N1013" s="2" t="str">
        <f t="shared" si="4"/>
        <v/>
      </c>
    </row>
    <row r="1014" ht="15.75" customHeight="1">
      <c r="A1014" s="3"/>
      <c r="B1014" s="2" t="str">
        <f t="shared" si="1"/>
        <v/>
      </c>
      <c r="E1014" s="2"/>
      <c r="F1014" s="2"/>
      <c r="G1014" s="2"/>
      <c r="H1014" s="2"/>
      <c r="I1014" s="2"/>
      <c r="J1014" s="2"/>
      <c r="K1014" s="2" t="str">
        <f t="shared" si="2"/>
        <v/>
      </c>
      <c r="L1014" s="2" t="str">
        <f t="shared" si="3"/>
        <v>No</v>
      </c>
      <c r="M1014" s="2" t="str">
        <f>IF(K1014="","",F1014*VLOOKUP(E1014,WEIGHTS!$A$2:$F$4,2,FALSE)+G1014*VLOOKUP(E1014,WEIGHTS!$A$2:$F$4,3,FALSE)+H1014*VLOOKUP(E1014,WEIGHTS!$A$2:$F$4,4,FALSE)+I1014*VLOOKUP(E1014,WEIGHTS!$A$2:$F$4,5,FALSE)+J1014*VLOOKUP(E1014,WEIGHTS!$A$2:$F$4,6,FALSE))</f>
        <v/>
      </c>
      <c r="N1014" s="2" t="str">
        <f t="shared" si="4"/>
        <v/>
      </c>
    </row>
    <row r="1015" ht="15.75" customHeight="1">
      <c r="A1015" s="3"/>
      <c r="B1015" s="2" t="str">
        <f t="shared" si="1"/>
        <v/>
      </c>
      <c r="E1015" s="2"/>
      <c r="F1015" s="2"/>
      <c r="G1015" s="2"/>
      <c r="H1015" s="2"/>
      <c r="I1015" s="2"/>
      <c r="J1015" s="2"/>
      <c r="K1015" s="2" t="str">
        <f t="shared" si="2"/>
        <v/>
      </c>
      <c r="L1015" s="2" t="str">
        <f t="shared" si="3"/>
        <v>No</v>
      </c>
      <c r="M1015" s="2" t="str">
        <f>IF(K1015="","",F1015*VLOOKUP(E1015,WEIGHTS!$A$2:$F$4,2,FALSE)+G1015*VLOOKUP(E1015,WEIGHTS!$A$2:$F$4,3,FALSE)+H1015*VLOOKUP(E1015,WEIGHTS!$A$2:$F$4,4,FALSE)+I1015*VLOOKUP(E1015,WEIGHTS!$A$2:$F$4,5,FALSE)+J1015*VLOOKUP(E1015,WEIGHTS!$A$2:$F$4,6,FALSE))</f>
        <v/>
      </c>
      <c r="N1015" s="2" t="str">
        <f t="shared" si="4"/>
        <v/>
      </c>
    </row>
    <row r="1016" ht="15.75" customHeight="1">
      <c r="A1016" s="3"/>
      <c r="B1016" s="2" t="str">
        <f t="shared" si="1"/>
        <v/>
      </c>
      <c r="E1016" s="2"/>
      <c r="F1016" s="2"/>
      <c r="G1016" s="2"/>
      <c r="H1016" s="2"/>
      <c r="I1016" s="2"/>
      <c r="J1016" s="2"/>
      <c r="K1016" s="2" t="str">
        <f t="shared" si="2"/>
        <v/>
      </c>
      <c r="L1016" s="2" t="str">
        <f t="shared" si="3"/>
        <v>No</v>
      </c>
      <c r="M1016" s="2" t="str">
        <f>IF(K1016="","",F1016*VLOOKUP(E1016,WEIGHTS!$A$2:$F$4,2,FALSE)+G1016*VLOOKUP(E1016,WEIGHTS!$A$2:$F$4,3,FALSE)+H1016*VLOOKUP(E1016,WEIGHTS!$A$2:$F$4,4,FALSE)+I1016*VLOOKUP(E1016,WEIGHTS!$A$2:$F$4,5,FALSE)+J1016*VLOOKUP(E1016,WEIGHTS!$A$2:$F$4,6,FALSE))</f>
        <v/>
      </c>
      <c r="N1016" s="2" t="str">
        <f t="shared" si="4"/>
        <v/>
      </c>
    </row>
    <row r="1017" ht="15.75" customHeight="1">
      <c r="A1017" s="3"/>
      <c r="B1017" s="2" t="str">
        <f t="shared" si="1"/>
        <v/>
      </c>
      <c r="E1017" s="2"/>
      <c r="F1017" s="2"/>
      <c r="G1017" s="2"/>
      <c r="H1017" s="2"/>
      <c r="I1017" s="2"/>
      <c r="J1017" s="2"/>
      <c r="K1017" s="2" t="str">
        <f t="shared" si="2"/>
        <v/>
      </c>
      <c r="L1017" s="2" t="str">
        <f t="shared" si="3"/>
        <v>No</v>
      </c>
      <c r="M1017" s="2" t="str">
        <f>IF(K1017="","",F1017*VLOOKUP(E1017,WEIGHTS!$A$2:$F$4,2,FALSE)+G1017*VLOOKUP(E1017,WEIGHTS!$A$2:$F$4,3,FALSE)+H1017*VLOOKUP(E1017,WEIGHTS!$A$2:$F$4,4,FALSE)+I1017*VLOOKUP(E1017,WEIGHTS!$A$2:$F$4,5,FALSE)+J1017*VLOOKUP(E1017,WEIGHTS!$A$2:$F$4,6,FALSE))</f>
        <v/>
      </c>
      <c r="N1017" s="2" t="str">
        <f t="shared" si="4"/>
        <v/>
      </c>
    </row>
    <row r="1018" ht="15.75" customHeight="1">
      <c r="A1018" s="3"/>
      <c r="B1018" s="2" t="str">
        <f t="shared" si="1"/>
        <v/>
      </c>
      <c r="E1018" s="2"/>
      <c r="F1018" s="2"/>
      <c r="G1018" s="2"/>
      <c r="H1018" s="2"/>
      <c r="I1018" s="2"/>
      <c r="J1018" s="2"/>
      <c r="K1018" s="2" t="str">
        <f t="shared" si="2"/>
        <v/>
      </c>
      <c r="L1018" s="2" t="str">
        <f t="shared" si="3"/>
        <v>No</v>
      </c>
      <c r="M1018" s="2" t="str">
        <f>IF(K1018="","",F1018*VLOOKUP(E1018,WEIGHTS!$A$2:$F$4,2,FALSE)+G1018*VLOOKUP(E1018,WEIGHTS!$A$2:$F$4,3,FALSE)+H1018*VLOOKUP(E1018,WEIGHTS!$A$2:$F$4,4,FALSE)+I1018*VLOOKUP(E1018,WEIGHTS!$A$2:$F$4,5,FALSE)+J1018*VLOOKUP(E1018,WEIGHTS!$A$2:$F$4,6,FALSE))</f>
        <v/>
      </c>
      <c r="N1018" s="2" t="str">
        <f t="shared" si="4"/>
        <v/>
      </c>
    </row>
    <row r="1019" ht="15.75" customHeight="1">
      <c r="A1019" s="3"/>
      <c r="B1019" s="2" t="str">
        <f t="shared" si="1"/>
        <v/>
      </c>
      <c r="E1019" s="2"/>
      <c r="F1019" s="2"/>
      <c r="G1019" s="2"/>
      <c r="H1019" s="2"/>
      <c r="I1019" s="2"/>
      <c r="J1019" s="2"/>
      <c r="K1019" s="2" t="str">
        <f t="shared" si="2"/>
        <v/>
      </c>
      <c r="L1019" s="2" t="str">
        <f t="shared" si="3"/>
        <v>No</v>
      </c>
      <c r="M1019" s="2" t="str">
        <f>IF(K1019="","",F1019*VLOOKUP(E1019,WEIGHTS!$A$2:$F$4,2,FALSE)+G1019*VLOOKUP(E1019,WEIGHTS!$A$2:$F$4,3,FALSE)+H1019*VLOOKUP(E1019,WEIGHTS!$A$2:$F$4,4,FALSE)+I1019*VLOOKUP(E1019,WEIGHTS!$A$2:$F$4,5,FALSE)+J1019*VLOOKUP(E1019,WEIGHTS!$A$2:$F$4,6,FALSE))</f>
        <v/>
      </c>
      <c r="N1019" s="2" t="str">
        <f t="shared" si="4"/>
        <v/>
      </c>
    </row>
    <row r="1020" ht="15.75" customHeight="1">
      <c r="A1020" s="3"/>
      <c r="B1020" s="2" t="str">
        <f t="shared" si="1"/>
        <v/>
      </c>
      <c r="E1020" s="2"/>
      <c r="F1020" s="2"/>
      <c r="G1020" s="2"/>
      <c r="H1020" s="2"/>
      <c r="I1020" s="2"/>
      <c r="J1020" s="2"/>
      <c r="K1020" s="2" t="str">
        <f t="shared" si="2"/>
        <v/>
      </c>
      <c r="L1020" s="2" t="str">
        <f t="shared" si="3"/>
        <v>No</v>
      </c>
      <c r="M1020" s="2" t="str">
        <f>IF(K1020="","",F1020*VLOOKUP(E1020,WEIGHTS!$A$2:$F$4,2,FALSE)+G1020*VLOOKUP(E1020,WEIGHTS!$A$2:$F$4,3,FALSE)+H1020*VLOOKUP(E1020,WEIGHTS!$A$2:$F$4,4,FALSE)+I1020*VLOOKUP(E1020,WEIGHTS!$A$2:$F$4,5,FALSE)+J1020*VLOOKUP(E1020,WEIGHTS!$A$2:$F$4,6,FALSE))</f>
        <v/>
      </c>
      <c r="N1020" s="2" t="str">
        <f t="shared" si="4"/>
        <v/>
      </c>
    </row>
    <row r="1021" ht="15.75" customHeight="1">
      <c r="A1021" s="3"/>
      <c r="B1021" s="2" t="str">
        <f t="shared" si="1"/>
        <v/>
      </c>
      <c r="E1021" s="2"/>
      <c r="F1021" s="2"/>
      <c r="G1021" s="2"/>
      <c r="H1021" s="2"/>
      <c r="I1021" s="2"/>
      <c r="J1021" s="2"/>
      <c r="K1021" s="2" t="str">
        <f t="shared" si="2"/>
        <v/>
      </c>
      <c r="L1021" s="2" t="str">
        <f t="shared" si="3"/>
        <v>No</v>
      </c>
      <c r="M1021" s="2" t="str">
        <f>IF(K1021="","",F1021*VLOOKUP(E1021,WEIGHTS!$A$2:$F$4,2,FALSE)+G1021*VLOOKUP(E1021,WEIGHTS!$A$2:$F$4,3,FALSE)+H1021*VLOOKUP(E1021,WEIGHTS!$A$2:$F$4,4,FALSE)+I1021*VLOOKUP(E1021,WEIGHTS!$A$2:$F$4,5,FALSE)+J1021*VLOOKUP(E1021,WEIGHTS!$A$2:$F$4,6,FALSE))</f>
        <v/>
      </c>
      <c r="N1021" s="2" t="str">
        <f t="shared" si="4"/>
        <v/>
      </c>
    </row>
    <row r="1022" ht="15.75" customHeight="1">
      <c r="A1022" s="3"/>
      <c r="B1022" s="2" t="str">
        <f t="shared" si="1"/>
        <v/>
      </c>
      <c r="E1022" s="2"/>
      <c r="F1022" s="2"/>
      <c r="G1022" s="2"/>
      <c r="H1022" s="2"/>
      <c r="I1022" s="2"/>
      <c r="J1022" s="2"/>
      <c r="K1022" s="2" t="str">
        <f t="shared" si="2"/>
        <v/>
      </c>
      <c r="L1022" s="2" t="str">
        <f t="shared" si="3"/>
        <v>No</v>
      </c>
      <c r="M1022" s="2" t="str">
        <f>IF(K1022="","",F1022*VLOOKUP(E1022,WEIGHTS!$A$2:$F$4,2,FALSE)+G1022*VLOOKUP(E1022,WEIGHTS!$A$2:$F$4,3,FALSE)+H1022*VLOOKUP(E1022,WEIGHTS!$A$2:$F$4,4,FALSE)+I1022*VLOOKUP(E1022,WEIGHTS!$A$2:$F$4,5,FALSE)+J1022*VLOOKUP(E1022,WEIGHTS!$A$2:$F$4,6,FALSE))</f>
        <v/>
      </c>
      <c r="N1022" s="2" t="str">
        <f t="shared" si="4"/>
        <v/>
      </c>
    </row>
    <row r="1023" ht="15.75" customHeight="1">
      <c r="A1023" s="3"/>
      <c r="B1023" s="2" t="str">
        <f t="shared" si="1"/>
        <v/>
      </c>
      <c r="E1023" s="2"/>
      <c r="F1023" s="2"/>
      <c r="G1023" s="2"/>
      <c r="H1023" s="2"/>
      <c r="I1023" s="2"/>
      <c r="J1023" s="2"/>
      <c r="K1023" s="2" t="str">
        <f t="shared" si="2"/>
        <v/>
      </c>
      <c r="L1023" s="2" t="str">
        <f t="shared" si="3"/>
        <v>No</v>
      </c>
      <c r="M1023" s="2" t="str">
        <f>IF(K1023="","",F1023*VLOOKUP(E1023,WEIGHTS!$A$2:$F$4,2,FALSE)+G1023*VLOOKUP(E1023,WEIGHTS!$A$2:$F$4,3,FALSE)+H1023*VLOOKUP(E1023,WEIGHTS!$A$2:$F$4,4,FALSE)+I1023*VLOOKUP(E1023,WEIGHTS!$A$2:$F$4,5,FALSE)+J1023*VLOOKUP(E1023,WEIGHTS!$A$2:$F$4,6,FALSE))</f>
        <v/>
      </c>
      <c r="N1023" s="2" t="str">
        <f t="shared" si="4"/>
        <v/>
      </c>
    </row>
    <row r="1024" ht="15.75" customHeight="1">
      <c r="A1024" s="3"/>
      <c r="B1024" s="2" t="str">
        <f t="shared" si="1"/>
        <v/>
      </c>
      <c r="E1024" s="2"/>
      <c r="F1024" s="2"/>
      <c r="G1024" s="2"/>
      <c r="H1024" s="2"/>
      <c r="I1024" s="2"/>
      <c r="J1024" s="2"/>
      <c r="K1024" s="2" t="str">
        <f t="shared" si="2"/>
        <v/>
      </c>
      <c r="L1024" s="2" t="str">
        <f t="shared" si="3"/>
        <v>No</v>
      </c>
      <c r="M1024" s="2" t="str">
        <f>IF(K1024="","",F1024*VLOOKUP(E1024,WEIGHTS!$A$2:$F$4,2,FALSE)+G1024*VLOOKUP(E1024,WEIGHTS!$A$2:$F$4,3,FALSE)+H1024*VLOOKUP(E1024,WEIGHTS!$A$2:$F$4,4,FALSE)+I1024*VLOOKUP(E1024,WEIGHTS!$A$2:$F$4,5,FALSE)+J1024*VLOOKUP(E1024,WEIGHTS!$A$2:$F$4,6,FALSE))</f>
        <v/>
      </c>
      <c r="N1024" s="2" t="str">
        <f t="shared" si="4"/>
        <v/>
      </c>
    </row>
    <row r="1025" ht="15.75" customHeight="1">
      <c r="A1025" s="3"/>
      <c r="B1025" s="2" t="str">
        <f t="shared" si="1"/>
        <v/>
      </c>
      <c r="E1025" s="2"/>
      <c r="F1025" s="2"/>
      <c r="G1025" s="2"/>
      <c r="H1025" s="2"/>
      <c r="I1025" s="2"/>
      <c r="J1025" s="2"/>
      <c r="K1025" s="2" t="str">
        <f t="shared" si="2"/>
        <v/>
      </c>
      <c r="L1025" s="2" t="str">
        <f t="shared" si="3"/>
        <v>No</v>
      </c>
      <c r="M1025" s="2" t="str">
        <f>IF(K1025="","",F1025*VLOOKUP(E1025,WEIGHTS!$A$2:$F$4,2,FALSE)+G1025*VLOOKUP(E1025,WEIGHTS!$A$2:$F$4,3,FALSE)+H1025*VLOOKUP(E1025,WEIGHTS!$A$2:$F$4,4,FALSE)+I1025*VLOOKUP(E1025,WEIGHTS!$A$2:$F$4,5,FALSE)+J1025*VLOOKUP(E1025,WEIGHTS!$A$2:$F$4,6,FALSE))</f>
        <v/>
      </c>
      <c r="N1025" s="2" t="str">
        <f t="shared" si="4"/>
        <v/>
      </c>
    </row>
    <row r="1026" ht="15.75" customHeight="1">
      <c r="A1026" s="3"/>
      <c r="B1026" s="2" t="str">
        <f t="shared" si="1"/>
        <v/>
      </c>
      <c r="E1026" s="2"/>
      <c r="F1026" s="2"/>
      <c r="G1026" s="2"/>
      <c r="H1026" s="2"/>
      <c r="I1026" s="2"/>
      <c r="J1026" s="2"/>
      <c r="K1026" s="2" t="str">
        <f t="shared" si="2"/>
        <v/>
      </c>
      <c r="L1026" s="2" t="str">
        <f t="shared" si="3"/>
        <v>No</v>
      </c>
      <c r="M1026" s="2" t="str">
        <f>IF(K1026="","",F1026*VLOOKUP(E1026,WEIGHTS!$A$2:$F$4,2,FALSE)+G1026*VLOOKUP(E1026,WEIGHTS!$A$2:$F$4,3,FALSE)+H1026*VLOOKUP(E1026,WEIGHTS!$A$2:$F$4,4,FALSE)+I1026*VLOOKUP(E1026,WEIGHTS!$A$2:$F$4,5,FALSE)+J1026*VLOOKUP(E1026,WEIGHTS!$A$2:$F$4,6,FALSE))</f>
        <v/>
      </c>
      <c r="N1026" s="2" t="str">
        <f t="shared" si="4"/>
        <v/>
      </c>
    </row>
    <row r="1027" ht="15.75" customHeight="1">
      <c r="A1027" s="3"/>
      <c r="B1027" s="2" t="str">
        <f t="shared" si="1"/>
        <v/>
      </c>
      <c r="E1027" s="2"/>
      <c r="F1027" s="2"/>
      <c r="G1027" s="2"/>
      <c r="H1027" s="2"/>
      <c r="I1027" s="2"/>
      <c r="J1027" s="2"/>
      <c r="K1027" s="2" t="str">
        <f t="shared" si="2"/>
        <v/>
      </c>
      <c r="L1027" s="2" t="str">
        <f t="shared" si="3"/>
        <v>No</v>
      </c>
      <c r="M1027" s="2" t="str">
        <f>IF(K1027="","",F1027*VLOOKUP(E1027,WEIGHTS!$A$2:$F$4,2,FALSE)+G1027*VLOOKUP(E1027,WEIGHTS!$A$2:$F$4,3,FALSE)+H1027*VLOOKUP(E1027,WEIGHTS!$A$2:$F$4,4,FALSE)+I1027*VLOOKUP(E1027,WEIGHTS!$A$2:$F$4,5,FALSE)+J1027*VLOOKUP(E1027,WEIGHTS!$A$2:$F$4,6,FALSE))</f>
        <v/>
      </c>
      <c r="N1027" s="2" t="str">
        <f t="shared" si="4"/>
        <v/>
      </c>
    </row>
    <row r="1028" ht="15.75" customHeight="1">
      <c r="A1028" s="3"/>
      <c r="B1028" s="2" t="str">
        <f t="shared" si="1"/>
        <v/>
      </c>
      <c r="E1028" s="2"/>
      <c r="F1028" s="2"/>
      <c r="G1028" s="2"/>
      <c r="H1028" s="2"/>
      <c r="I1028" s="2"/>
      <c r="J1028" s="2"/>
      <c r="K1028" s="2" t="str">
        <f t="shared" si="2"/>
        <v/>
      </c>
      <c r="L1028" s="2" t="str">
        <f t="shared" si="3"/>
        <v>No</v>
      </c>
      <c r="M1028" s="2" t="str">
        <f>IF(K1028="","",F1028*VLOOKUP(E1028,WEIGHTS!$A$2:$F$4,2,FALSE)+G1028*VLOOKUP(E1028,WEIGHTS!$A$2:$F$4,3,FALSE)+H1028*VLOOKUP(E1028,WEIGHTS!$A$2:$F$4,4,FALSE)+I1028*VLOOKUP(E1028,WEIGHTS!$A$2:$F$4,5,FALSE)+J1028*VLOOKUP(E1028,WEIGHTS!$A$2:$F$4,6,FALSE))</f>
        <v/>
      </c>
      <c r="N1028" s="2" t="str">
        <f t="shared" si="4"/>
        <v/>
      </c>
    </row>
    <row r="1029" ht="15.75" customHeight="1">
      <c r="A1029" s="3"/>
      <c r="B1029" s="2" t="str">
        <f t="shared" si="1"/>
        <v/>
      </c>
      <c r="E1029" s="2"/>
      <c r="F1029" s="2"/>
      <c r="G1029" s="2"/>
      <c r="H1029" s="2"/>
      <c r="I1029" s="2"/>
      <c r="J1029" s="2"/>
      <c r="K1029" s="2" t="str">
        <f t="shared" si="2"/>
        <v/>
      </c>
      <c r="L1029" s="2" t="str">
        <f t="shared" si="3"/>
        <v>No</v>
      </c>
      <c r="M1029" s="2" t="str">
        <f>IF(K1029="","",F1029*VLOOKUP(E1029,WEIGHTS!$A$2:$F$4,2,FALSE)+G1029*VLOOKUP(E1029,WEIGHTS!$A$2:$F$4,3,FALSE)+H1029*VLOOKUP(E1029,WEIGHTS!$A$2:$F$4,4,FALSE)+I1029*VLOOKUP(E1029,WEIGHTS!$A$2:$F$4,5,FALSE)+J1029*VLOOKUP(E1029,WEIGHTS!$A$2:$F$4,6,FALSE))</f>
        <v/>
      </c>
      <c r="N1029" s="2" t="str">
        <f t="shared" si="4"/>
        <v/>
      </c>
    </row>
    <row r="1030" ht="15.75" customHeight="1">
      <c r="A1030" s="3"/>
      <c r="B1030" s="2" t="str">
        <f t="shared" si="1"/>
        <v/>
      </c>
      <c r="E1030" s="2"/>
      <c r="F1030" s="2"/>
      <c r="G1030" s="2"/>
      <c r="H1030" s="2"/>
      <c r="I1030" s="2"/>
      <c r="J1030" s="2"/>
      <c r="K1030" s="2" t="str">
        <f t="shared" si="2"/>
        <v/>
      </c>
      <c r="L1030" s="2" t="str">
        <f t="shared" si="3"/>
        <v>No</v>
      </c>
      <c r="M1030" s="2" t="str">
        <f>IF(K1030="","",F1030*VLOOKUP(E1030,WEIGHTS!$A$2:$F$4,2,FALSE)+G1030*VLOOKUP(E1030,WEIGHTS!$A$2:$F$4,3,FALSE)+H1030*VLOOKUP(E1030,WEIGHTS!$A$2:$F$4,4,FALSE)+I1030*VLOOKUP(E1030,WEIGHTS!$A$2:$F$4,5,FALSE)+J1030*VLOOKUP(E1030,WEIGHTS!$A$2:$F$4,6,FALSE))</f>
        <v/>
      </c>
      <c r="N1030" s="2" t="str">
        <f t="shared" si="4"/>
        <v/>
      </c>
    </row>
    <row r="1031" ht="15.75" customHeight="1">
      <c r="A1031" s="3"/>
      <c r="B1031" s="2" t="str">
        <f t="shared" si="1"/>
        <v/>
      </c>
      <c r="E1031" s="2"/>
      <c r="F1031" s="2"/>
      <c r="G1031" s="2"/>
      <c r="H1031" s="2"/>
      <c r="I1031" s="2"/>
      <c r="J1031" s="2"/>
      <c r="K1031" s="2" t="str">
        <f t="shared" si="2"/>
        <v/>
      </c>
      <c r="L1031" s="2" t="str">
        <f t="shared" si="3"/>
        <v>No</v>
      </c>
      <c r="M1031" s="2" t="str">
        <f>IF(K1031="","",F1031*VLOOKUP(E1031,WEIGHTS!$A$2:$F$4,2,FALSE)+G1031*VLOOKUP(E1031,WEIGHTS!$A$2:$F$4,3,FALSE)+H1031*VLOOKUP(E1031,WEIGHTS!$A$2:$F$4,4,FALSE)+I1031*VLOOKUP(E1031,WEIGHTS!$A$2:$F$4,5,FALSE)+J1031*VLOOKUP(E1031,WEIGHTS!$A$2:$F$4,6,FALSE))</f>
        <v/>
      </c>
      <c r="N1031" s="2" t="str">
        <f t="shared" si="4"/>
        <v/>
      </c>
    </row>
    <row r="1032" ht="15.75" customHeight="1">
      <c r="A1032" s="3"/>
      <c r="B1032" s="2" t="str">
        <f t="shared" si="1"/>
        <v/>
      </c>
      <c r="E1032" s="2"/>
      <c r="F1032" s="2"/>
      <c r="G1032" s="2"/>
      <c r="H1032" s="2"/>
      <c r="I1032" s="2"/>
      <c r="J1032" s="2"/>
      <c r="K1032" s="2" t="str">
        <f t="shared" si="2"/>
        <v/>
      </c>
      <c r="L1032" s="2" t="str">
        <f t="shared" si="3"/>
        <v>No</v>
      </c>
      <c r="M1032" s="2" t="str">
        <f>IF(K1032="","",F1032*VLOOKUP(E1032,WEIGHTS!$A$2:$F$4,2,FALSE)+G1032*VLOOKUP(E1032,WEIGHTS!$A$2:$F$4,3,FALSE)+H1032*VLOOKUP(E1032,WEIGHTS!$A$2:$F$4,4,FALSE)+I1032*VLOOKUP(E1032,WEIGHTS!$A$2:$F$4,5,FALSE)+J1032*VLOOKUP(E1032,WEIGHTS!$A$2:$F$4,6,FALSE))</f>
        <v/>
      </c>
      <c r="N1032" s="2" t="str">
        <f t="shared" si="4"/>
        <v/>
      </c>
    </row>
    <row r="1033" ht="15.75" customHeight="1">
      <c r="A1033" s="3"/>
      <c r="B1033" s="2" t="str">
        <f t="shared" si="1"/>
        <v/>
      </c>
      <c r="E1033" s="2"/>
      <c r="F1033" s="2"/>
      <c r="G1033" s="2"/>
      <c r="H1033" s="2"/>
      <c r="I1033" s="2"/>
      <c r="J1033" s="2"/>
      <c r="K1033" s="2" t="str">
        <f t="shared" si="2"/>
        <v/>
      </c>
      <c r="L1033" s="2" t="str">
        <f t="shared" si="3"/>
        <v>No</v>
      </c>
      <c r="M1033" s="2" t="str">
        <f>IF(K1033="","",F1033*VLOOKUP(E1033,WEIGHTS!$A$2:$F$4,2,FALSE)+G1033*VLOOKUP(E1033,WEIGHTS!$A$2:$F$4,3,FALSE)+H1033*VLOOKUP(E1033,WEIGHTS!$A$2:$F$4,4,FALSE)+I1033*VLOOKUP(E1033,WEIGHTS!$A$2:$F$4,5,FALSE)+J1033*VLOOKUP(E1033,WEIGHTS!$A$2:$F$4,6,FALSE))</f>
        <v/>
      </c>
      <c r="N1033" s="2" t="str">
        <f t="shared" si="4"/>
        <v/>
      </c>
    </row>
    <row r="1034" ht="15.75" customHeight="1">
      <c r="A1034" s="3"/>
      <c r="B1034" s="2" t="str">
        <f t="shared" si="1"/>
        <v/>
      </c>
      <c r="E1034" s="2"/>
      <c r="F1034" s="2"/>
      <c r="G1034" s="2"/>
      <c r="H1034" s="2"/>
      <c r="I1034" s="2"/>
      <c r="J1034" s="2"/>
      <c r="K1034" s="2" t="str">
        <f t="shared" si="2"/>
        <v/>
      </c>
      <c r="L1034" s="2" t="str">
        <f t="shared" si="3"/>
        <v>No</v>
      </c>
      <c r="M1034" s="2" t="str">
        <f>IF(K1034="","",F1034*VLOOKUP(E1034,WEIGHTS!$A$2:$F$4,2,FALSE)+G1034*VLOOKUP(E1034,WEIGHTS!$A$2:$F$4,3,FALSE)+H1034*VLOOKUP(E1034,WEIGHTS!$A$2:$F$4,4,FALSE)+I1034*VLOOKUP(E1034,WEIGHTS!$A$2:$F$4,5,FALSE)+J1034*VLOOKUP(E1034,WEIGHTS!$A$2:$F$4,6,FALSE))</f>
        <v/>
      </c>
      <c r="N1034" s="2" t="str">
        <f t="shared" si="4"/>
        <v/>
      </c>
    </row>
    <row r="1035" ht="15.75" customHeight="1">
      <c r="A1035" s="3"/>
      <c r="B1035" s="2" t="str">
        <f t="shared" si="1"/>
        <v/>
      </c>
      <c r="E1035" s="2"/>
      <c r="F1035" s="2"/>
      <c r="G1035" s="2"/>
      <c r="H1035" s="2"/>
      <c r="I1035" s="2"/>
      <c r="J1035" s="2"/>
      <c r="K1035" s="2" t="str">
        <f t="shared" si="2"/>
        <v/>
      </c>
      <c r="L1035" s="2" t="str">
        <f t="shared" si="3"/>
        <v>No</v>
      </c>
      <c r="M1035" s="2" t="str">
        <f>IF(K1035="","",F1035*VLOOKUP(E1035,WEIGHTS!$A$2:$F$4,2,FALSE)+G1035*VLOOKUP(E1035,WEIGHTS!$A$2:$F$4,3,FALSE)+H1035*VLOOKUP(E1035,WEIGHTS!$A$2:$F$4,4,FALSE)+I1035*VLOOKUP(E1035,WEIGHTS!$A$2:$F$4,5,FALSE)+J1035*VLOOKUP(E1035,WEIGHTS!$A$2:$F$4,6,FALSE))</f>
        <v/>
      </c>
      <c r="N1035" s="2" t="str">
        <f t="shared" si="4"/>
        <v/>
      </c>
    </row>
    <row r="1036" ht="15.75" customHeight="1">
      <c r="A1036" s="3"/>
      <c r="B1036" s="2" t="str">
        <f t="shared" si="1"/>
        <v/>
      </c>
      <c r="E1036" s="2"/>
      <c r="F1036" s="2"/>
      <c r="G1036" s="2"/>
      <c r="H1036" s="2"/>
      <c r="I1036" s="2"/>
      <c r="J1036" s="2"/>
      <c r="K1036" s="2" t="str">
        <f t="shared" si="2"/>
        <v/>
      </c>
      <c r="L1036" s="2" t="str">
        <f t="shared" si="3"/>
        <v>No</v>
      </c>
      <c r="M1036" s="2" t="str">
        <f>IF(K1036="","",F1036*VLOOKUP(E1036,WEIGHTS!$A$2:$F$4,2,FALSE)+G1036*VLOOKUP(E1036,WEIGHTS!$A$2:$F$4,3,FALSE)+H1036*VLOOKUP(E1036,WEIGHTS!$A$2:$F$4,4,FALSE)+I1036*VLOOKUP(E1036,WEIGHTS!$A$2:$F$4,5,FALSE)+J1036*VLOOKUP(E1036,WEIGHTS!$A$2:$F$4,6,FALSE))</f>
        <v/>
      </c>
      <c r="N1036" s="2" t="str">
        <f t="shared" si="4"/>
        <v/>
      </c>
    </row>
    <row r="1037" ht="15.75" customHeight="1">
      <c r="A1037" s="3"/>
      <c r="B1037" s="2" t="str">
        <f t="shared" si="1"/>
        <v/>
      </c>
      <c r="E1037" s="2"/>
      <c r="F1037" s="2"/>
      <c r="G1037" s="2"/>
      <c r="H1037" s="2"/>
      <c r="I1037" s="2"/>
      <c r="J1037" s="2"/>
      <c r="K1037" s="2" t="str">
        <f t="shared" si="2"/>
        <v/>
      </c>
      <c r="L1037" s="2" t="str">
        <f t="shared" si="3"/>
        <v>No</v>
      </c>
      <c r="M1037" s="2" t="str">
        <f>IF(K1037="","",F1037*VLOOKUP(E1037,WEIGHTS!$A$2:$F$4,2,FALSE)+G1037*VLOOKUP(E1037,WEIGHTS!$A$2:$F$4,3,FALSE)+H1037*VLOOKUP(E1037,WEIGHTS!$A$2:$F$4,4,FALSE)+I1037*VLOOKUP(E1037,WEIGHTS!$A$2:$F$4,5,FALSE)+J1037*VLOOKUP(E1037,WEIGHTS!$A$2:$F$4,6,FALSE))</f>
        <v/>
      </c>
      <c r="N1037" s="2" t="str">
        <f t="shared" si="4"/>
        <v/>
      </c>
    </row>
    <row r="1038" ht="15.75" customHeight="1">
      <c r="A1038" s="3"/>
      <c r="B1038" s="2" t="str">
        <f t="shared" si="1"/>
        <v/>
      </c>
      <c r="E1038" s="2"/>
      <c r="F1038" s="2"/>
      <c r="G1038" s="2"/>
      <c r="H1038" s="2"/>
      <c r="I1038" s="2"/>
      <c r="J1038" s="2"/>
      <c r="K1038" s="2" t="str">
        <f t="shared" si="2"/>
        <v/>
      </c>
      <c r="L1038" s="2" t="str">
        <f t="shared" si="3"/>
        <v>No</v>
      </c>
      <c r="M1038" s="2" t="str">
        <f>IF(K1038="","",F1038*VLOOKUP(E1038,WEIGHTS!$A$2:$F$4,2,FALSE)+G1038*VLOOKUP(E1038,WEIGHTS!$A$2:$F$4,3,FALSE)+H1038*VLOOKUP(E1038,WEIGHTS!$A$2:$F$4,4,FALSE)+I1038*VLOOKUP(E1038,WEIGHTS!$A$2:$F$4,5,FALSE)+J1038*VLOOKUP(E1038,WEIGHTS!$A$2:$F$4,6,FALSE))</f>
        <v/>
      </c>
      <c r="N1038" s="2" t="str">
        <f t="shared" si="4"/>
        <v/>
      </c>
    </row>
    <row r="1039" ht="15.75" customHeight="1">
      <c r="A1039" s="3"/>
      <c r="B1039" s="2" t="str">
        <f t="shared" si="1"/>
        <v/>
      </c>
      <c r="E1039" s="2"/>
      <c r="F1039" s="2"/>
      <c r="G1039" s="2"/>
      <c r="H1039" s="2"/>
      <c r="I1039" s="2"/>
      <c r="J1039" s="2"/>
      <c r="K1039" s="2" t="str">
        <f t="shared" si="2"/>
        <v/>
      </c>
      <c r="L1039" s="2" t="str">
        <f t="shared" si="3"/>
        <v>No</v>
      </c>
      <c r="M1039" s="2" t="str">
        <f>IF(K1039="","",F1039*VLOOKUP(E1039,WEIGHTS!$A$2:$F$4,2,FALSE)+G1039*VLOOKUP(E1039,WEIGHTS!$A$2:$F$4,3,FALSE)+H1039*VLOOKUP(E1039,WEIGHTS!$A$2:$F$4,4,FALSE)+I1039*VLOOKUP(E1039,WEIGHTS!$A$2:$F$4,5,FALSE)+J1039*VLOOKUP(E1039,WEIGHTS!$A$2:$F$4,6,FALSE))</f>
        <v/>
      </c>
      <c r="N1039" s="2" t="str">
        <f t="shared" si="4"/>
        <v/>
      </c>
    </row>
    <row r="1040" ht="15.75" customHeight="1">
      <c r="A1040" s="3"/>
      <c r="B1040" s="2" t="str">
        <f t="shared" si="1"/>
        <v/>
      </c>
      <c r="E1040" s="2"/>
      <c r="F1040" s="2"/>
      <c r="G1040" s="2"/>
      <c r="H1040" s="2"/>
      <c r="I1040" s="2"/>
      <c r="J1040" s="2"/>
      <c r="K1040" s="2" t="str">
        <f t="shared" si="2"/>
        <v/>
      </c>
      <c r="L1040" s="2" t="str">
        <f t="shared" si="3"/>
        <v>No</v>
      </c>
      <c r="M1040" s="2" t="str">
        <f>IF(K1040="","",F1040*VLOOKUP(E1040,WEIGHTS!$A$2:$F$4,2,FALSE)+G1040*VLOOKUP(E1040,WEIGHTS!$A$2:$F$4,3,FALSE)+H1040*VLOOKUP(E1040,WEIGHTS!$A$2:$F$4,4,FALSE)+I1040*VLOOKUP(E1040,WEIGHTS!$A$2:$F$4,5,FALSE)+J1040*VLOOKUP(E1040,WEIGHTS!$A$2:$F$4,6,FALSE))</f>
        <v/>
      </c>
      <c r="N1040" s="2" t="str">
        <f t="shared" si="4"/>
        <v/>
      </c>
    </row>
    <row r="1041" ht="15.75" customHeight="1">
      <c r="A1041" s="3"/>
      <c r="B1041" s="2" t="str">
        <f t="shared" si="1"/>
        <v/>
      </c>
      <c r="E1041" s="2"/>
      <c r="F1041" s="2"/>
      <c r="G1041" s="2"/>
      <c r="H1041" s="2"/>
      <c r="I1041" s="2"/>
      <c r="J1041" s="2"/>
      <c r="K1041" s="2" t="str">
        <f t="shared" si="2"/>
        <v/>
      </c>
      <c r="L1041" s="2" t="str">
        <f t="shared" si="3"/>
        <v>No</v>
      </c>
      <c r="M1041" s="2" t="str">
        <f>IF(K1041="","",F1041*VLOOKUP(E1041,WEIGHTS!$A$2:$F$4,2,FALSE)+G1041*VLOOKUP(E1041,WEIGHTS!$A$2:$F$4,3,FALSE)+H1041*VLOOKUP(E1041,WEIGHTS!$A$2:$F$4,4,FALSE)+I1041*VLOOKUP(E1041,WEIGHTS!$A$2:$F$4,5,FALSE)+J1041*VLOOKUP(E1041,WEIGHTS!$A$2:$F$4,6,FALSE))</f>
        <v/>
      </c>
      <c r="N1041" s="2" t="str">
        <f t="shared" si="4"/>
        <v/>
      </c>
    </row>
    <row r="1042" ht="15.75" customHeight="1">
      <c r="A1042" s="3"/>
      <c r="B1042" s="2" t="str">
        <f t="shared" si="1"/>
        <v/>
      </c>
      <c r="E1042" s="2"/>
      <c r="F1042" s="2"/>
      <c r="G1042" s="2"/>
      <c r="H1042" s="2"/>
      <c r="I1042" s="2"/>
      <c r="J1042" s="2"/>
      <c r="K1042" s="2" t="str">
        <f t="shared" si="2"/>
        <v/>
      </c>
      <c r="L1042" s="2" t="str">
        <f t="shared" si="3"/>
        <v>No</v>
      </c>
      <c r="M1042" s="2" t="str">
        <f>IF(K1042="","",F1042*VLOOKUP(E1042,WEIGHTS!$A$2:$F$4,2,FALSE)+G1042*VLOOKUP(E1042,WEIGHTS!$A$2:$F$4,3,FALSE)+H1042*VLOOKUP(E1042,WEIGHTS!$A$2:$F$4,4,FALSE)+I1042*VLOOKUP(E1042,WEIGHTS!$A$2:$F$4,5,FALSE)+J1042*VLOOKUP(E1042,WEIGHTS!$A$2:$F$4,6,FALSE))</f>
        <v/>
      </c>
      <c r="N1042" s="2" t="str">
        <f t="shared" si="4"/>
        <v/>
      </c>
    </row>
    <row r="1043" ht="15.75" customHeight="1">
      <c r="A1043" s="3"/>
      <c r="B1043" s="2" t="str">
        <f t="shared" si="1"/>
        <v/>
      </c>
      <c r="E1043" s="2"/>
      <c r="F1043" s="2"/>
      <c r="G1043" s="2"/>
      <c r="H1043" s="2"/>
      <c r="I1043" s="2"/>
      <c r="J1043" s="2"/>
      <c r="K1043" s="2" t="str">
        <f t="shared" si="2"/>
        <v/>
      </c>
      <c r="L1043" s="2" t="str">
        <f t="shared" si="3"/>
        <v>No</v>
      </c>
      <c r="M1043" s="2" t="str">
        <f>IF(K1043="","",F1043*VLOOKUP(E1043,WEIGHTS!$A$2:$F$4,2,FALSE)+G1043*VLOOKUP(E1043,WEIGHTS!$A$2:$F$4,3,FALSE)+H1043*VLOOKUP(E1043,WEIGHTS!$A$2:$F$4,4,FALSE)+I1043*VLOOKUP(E1043,WEIGHTS!$A$2:$F$4,5,FALSE)+J1043*VLOOKUP(E1043,WEIGHTS!$A$2:$F$4,6,FALSE))</f>
        <v/>
      </c>
      <c r="N1043" s="2" t="str">
        <f t="shared" si="4"/>
        <v/>
      </c>
    </row>
    <row r="1044" ht="15.75" customHeight="1">
      <c r="A1044" s="3"/>
      <c r="B1044" s="2" t="str">
        <f t="shared" si="1"/>
        <v/>
      </c>
      <c r="E1044" s="2"/>
      <c r="F1044" s="2"/>
      <c r="G1044" s="2"/>
      <c r="H1044" s="2"/>
      <c r="I1044" s="2"/>
      <c r="J1044" s="2"/>
      <c r="K1044" s="2" t="str">
        <f t="shared" si="2"/>
        <v/>
      </c>
      <c r="L1044" s="2" t="str">
        <f t="shared" si="3"/>
        <v>No</v>
      </c>
      <c r="M1044" s="2" t="str">
        <f>IF(K1044="","",F1044*VLOOKUP(E1044,WEIGHTS!$A$2:$F$4,2,FALSE)+G1044*VLOOKUP(E1044,WEIGHTS!$A$2:$F$4,3,FALSE)+H1044*VLOOKUP(E1044,WEIGHTS!$A$2:$F$4,4,FALSE)+I1044*VLOOKUP(E1044,WEIGHTS!$A$2:$F$4,5,FALSE)+J1044*VLOOKUP(E1044,WEIGHTS!$A$2:$F$4,6,FALSE))</f>
        <v/>
      </c>
      <c r="N1044" s="2" t="str">
        <f t="shared" si="4"/>
        <v/>
      </c>
    </row>
    <row r="1045" ht="15.75" customHeight="1">
      <c r="A1045" s="3"/>
      <c r="B1045" s="2" t="str">
        <f t="shared" si="1"/>
        <v/>
      </c>
      <c r="E1045" s="2"/>
      <c r="F1045" s="2"/>
      <c r="G1045" s="2"/>
      <c r="H1045" s="2"/>
      <c r="I1045" s="2"/>
      <c r="J1045" s="2"/>
      <c r="K1045" s="2" t="str">
        <f t="shared" si="2"/>
        <v/>
      </c>
      <c r="L1045" s="2" t="str">
        <f t="shared" si="3"/>
        <v>No</v>
      </c>
      <c r="M1045" s="2" t="str">
        <f>IF(K1045="","",F1045*VLOOKUP(E1045,WEIGHTS!$A$2:$F$4,2,FALSE)+G1045*VLOOKUP(E1045,WEIGHTS!$A$2:$F$4,3,FALSE)+H1045*VLOOKUP(E1045,WEIGHTS!$A$2:$F$4,4,FALSE)+I1045*VLOOKUP(E1045,WEIGHTS!$A$2:$F$4,5,FALSE)+J1045*VLOOKUP(E1045,WEIGHTS!$A$2:$F$4,6,FALSE))</f>
        <v/>
      </c>
      <c r="N1045" s="2" t="str">
        <f t="shared" si="4"/>
        <v/>
      </c>
    </row>
    <row r="1046" ht="15.75" customHeight="1">
      <c r="A1046" s="3"/>
      <c r="B1046" s="2" t="str">
        <f t="shared" si="1"/>
        <v/>
      </c>
      <c r="E1046" s="2"/>
      <c r="F1046" s="2"/>
      <c r="G1046" s="2"/>
      <c r="H1046" s="2"/>
      <c r="I1046" s="2"/>
      <c r="J1046" s="2"/>
      <c r="K1046" s="2" t="str">
        <f t="shared" si="2"/>
        <v/>
      </c>
      <c r="L1046" s="2" t="str">
        <f t="shared" si="3"/>
        <v>No</v>
      </c>
      <c r="M1046" s="2" t="str">
        <f>IF(K1046="","",F1046*VLOOKUP(E1046,WEIGHTS!$A$2:$F$4,2,FALSE)+G1046*VLOOKUP(E1046,WEIGHTS!$A$2:$F$4,3,FALSE)+H1046*VLOOKUP(E1046,WEIGHTS!$A$2:$F$4,4,FALSE)+I1046*VLOOKUP(E1046,WEIGHTS!$A$2:$F$4,5,FALSE)+J1046*VLOOKUP(E1046,WEIGHTS!$A$2:$F$4,6,FALSE))</f>
        <v/>
      </c>
      <c r="N1046" s="2" t="str">
        <f t="shared" si="4"/>
        <v/>
      </c>
    </row>
    <row r="1047" ht="15.75" customHeight="1">
      <c r="A1047" s="3"/>
      <c r="B1047" s="2" t="str">
        <f t="shared" si="1"/>
        <v/>
      </c>
      <c r="E1047" s="2"/>
      <c r="F1047" s="2"/>
      <c r="G1047" s="2"/>
      <c r="H1047" s="2"/>
      <c r="I1047" s="2"/>
      <c r="J1047" s="2"/>
      <c r="K1047" s="2" t="str">
        <f t="shared" si="2"/>
        <v/>
      </c>
      <c r="L1047" s="2" t="str">
        <f t="shared" si="3"/>
        <v>No</v>
      </c>
      <c r="M1047" s="2" t="str">
        <f>IF(K1047="","",F1047*VLOOKUP(E1047,WEIGHTS!$A$2:$F$4,2,FALSE)+G1047*VLOOKUP(E1047,WEIGHTS!$A$2:$F$4,3,FALSE)+H1047*VLOOKUP(E1047,WEIGHTS!$A$2:$F$4,4,FALSE)+I1047*VLOOKUP(E1047,WEIGHTS!$A$2:$F$4,5,FALSE)+J1047*VLOOKUP(E1047,WEIGHTS!$A$2:$F$4,6,FALSE))</f>
        <v/>
      </c>
      <c r="N1047" s="2" t="str">
        <f t="shared" si="4"/>
        <v/>
      </c>
    </row>
    <row r="1048" ht="15.75" customHeight="1">
      <c r="A1048" s="3"/>
      <c r="B1048" s="2" t="str">
        <f t="shared" si="1"/>
        <v/>
      </c>
      <c r="E1048" s="2"/>
      <c r="F1048" s="2"/>
      <c r="G1048" s="2"/>
      <c r="H1048" s="2"/>
      <c r="I1048" s="2"/>
      <c r="J1048" s="2"/>
      <c r="K1048" s="2" t="str">
        <f t="shared" si="2"/>
        <v/>
      </c>
      <c r="L1048" s="2" t="str">
        <f t="shared" si="3"/>
        <v>No</v>
      </c>
      <c r="M1048" s="2" t="str">
        <f>IF(K1048="","",F1048*VLOOKUP(E1048,WEIGHTS!$A$2:$F$4,2,FALSE)+G1048*VLOOKUP(E1048,WEIGHTS!$A$2:$F$4,3,FALSE)+H1048*VLOOKUP(E1048,WEIGHTS!$A$2:$F$4,4,FALSE)+I1048*VLOOKUP(E1048,WEIGHTS!$A$2:$F$4,5,FALSE)+J1048*VLOOKUP(E1048,WEIGHTS!$A$2:$F$4,6,FALSE))</f>
        <v/>
      </c>
      <c r="N1048" s="2" t="str">
        <f t="shared" si="4"/>
        <v/>
      </c>
    </row>
    <row r="1049" ht="15.75" customHeight="1">
      <c r="A1049" s="3"/>
      <c r="B1049" s="2" t="str">
        <f t="shared" si="1"/>
        <v/>
      </c>
      <c r="E1049" s="2"/>
      <c r="F1049" s="2"/>
      <c r="G1049" s="2"/>
      <c r="H1049" s="2"/>
      <c r="I1049" s="2"/>
      <c r="J1049" s="2"/>
      <c r="K1049" s="2" t="str">
        <f t="shared" si="2"/>
        <v/>
      </c>
      <c r="L1049" s="2" t="str">
        <f t="shared" si="3"/>
        <v>No</v>
      </c>
      <c r="M1049" s="2" t="str">
        <f>IF(K1049="","",F1049*VLOOKUP(E1049,WEIGHTS!$A$2:$F$4,2,FALSE)+G1049*VLOOKUP(E1049,WEIGHTS!$A$2:$F$4,3,FALSE)+H1049*VLOOKUP(E1049,WEIGHTS!$A$2:$F$4,4,FALSE)+I1049*VLOOKUP(E1049,WEIGHTS!$A$2:$F$4,5,FALSE)+J1049*VLOOKUP(E1049,WEIGHTS!$A$2:$F$4,6,FALSE))</f>
        <v/>
      </c>
      <c r="N1049" s="2" t="str">
        <f t="shared" si="4"/>
        <v/>
      </c>
    </row>
    <row r="1050" ht="15.75" customHeight="1">
      <c r="A1050" s="3"/>
      <c r="B1050" s="2" t="str">
        <f t="shared" si="1"/>
        <v/>
      </c>
      <c r="E1050" s="2"/>
      <c r="F1050" s="2"/>
      <c r="G1050" s="2"/>
      <c r="H1050" s="2"/>
      <c r="I1050" s="2"/>
      <c r="J1050" s="2"/>
      <c r="K1050" s="2" t="str">
        <f t="shared" si="2"/>
        <v/>
      </c>
      <c r="L1050" s="2" t="str">
        <f t="shared" si="3"/>
        <v>No</v>
      </c>
      <c r="M1050" s="2" t="str">
        <f>IF(K1050="","",F1050*VLOOKUP(E1050,WEIGHTS!$A$2:$F$4,2,FALSE)+G1050*VLOOKUP(E1050,WEIGHTS!$A$2:$F$4,3,FALSE)+H1050*VLOOKUP(E1050,WEIGHTS!$A$2:$F$4,4,FALSE)+I1050*VLOOKUP(E1050,WEIGHTS!$A$2:$F$4,5,FALSE)+J1050*VLOOKUP(E1050,WEIGHTS!$A$2:$F$4,6,FALSE))</f>
        <v/>
      </c>
      <c r="N1050" s="2" t="str">
        <f t="shared" si="4"/>
        <v/>
      </c>
    </row>
    <row r="1051" ht="15.75" customHeight="1">
      <c r="A1051" s="3"/>
      <c r="B1051" s="2" t="str">
        <f t="shared" si="1"/>
        <v/>
      </c>
      <c r="E1051" s="2"/>
      <c r="F1051" s="2"/>
      <c r="G1051" s="2"/>
      <c r="H1051" s="2"/>
      <c r="I1051" s="2"/>
      <c r="J1051" s="2"/>
      <c r="K1051" s="2" t="str">
        <f t="shared" si="2"/>
        <v/>
      </c>
      <c r="L1051" s="2" t="str">
        <f t="shared" si="3"/>
        <v>No</v>
      </c>
      <c r="M1051" s="2" t="str">
        <f>IF(K1051="","",F1051*VLOOKUP(E1051,WEIGHTS!$A$2:$F$4,2,FALSE)+G1051*VLOOKUP(E1051,WEIGHTS!$A$2:$F$4,3,FALSE)+H1051*VLOOKUP(E1051,WEIGHTS!$A$2:$F$4,4,FALSE)+I1051*VLOOKUP(E1051,WEIGHTS!$A$2:$F$4,5,FALSE)+J1051*VLOOKUP(E1051,WEIGHTS!$A$2:$F$4,6,FALSE))</f>
        <v/>
      </c>
      <c r="N1051" s="2" t="str">
        <f t="shared" si="4"/>
        <v/>
      </c>
    </row>
    <row r="1052" ht="15.75" customHeight="1">
      <c r="A1052" s="3"/>
      <c r="B1052" s="2" t="str">
        <f t="shared" si="1"/>
        <v/>
      </c>
      <c r="E1052" s="2"/>
      <c r="F1052" s="2"/>
      <c r="G1052" s="2"/>
      <c r="H1052" s="2"/>
      <c r="I1052" s="2"/>
      <c r="J1052" s="2"/>
      <c r="K1052" s="2" t="str">
        <f t="shared" si="2"/>
        <v/>
      </c>
      <c r="L1052" s="2" t="str">
        <f t="shared" si="3"/>
        <v>No</v>
      </c>
      <c r="M1052" s="2" t="str">
        <f>IF(K1052="","",F1052*VLOOKUP(E1052,WEIGHTS!$A$2:$F$4,2,FALSE)+G1052*VLOOKUP(E1052,WEIGHTS!$A$2:$F$4,3,FALSE)+H1052*VLOOKUP(E1052,WEIGHTS!$A$2:$F$4,4,FALSE)+I1052*VLOOKUP(E1052,WEIGHTS!$A$2:$F$4,5,FALSE)+J1052*VLOOKUP(E1052,WEIGHTS!$A$2:$F$4,6,FALSE))</f>
        <v/>
      </c>
      <c r="N1052" s="2" t="str">
        <f t="shared" si="4"/>
        <v/>
      </c>
    </row>
    <row r="1053" ht="15.75" customHeight="1">
      <c r="A1053" s="3"/>
      <c r="B1053" s="2" t="str">
        <f t="shared" si="1"/>
        <v/>
      </c>
      <c r="E1053" s="2"/>
      <c r="F1053" s="2"/>
      <c r="G1053" s="2"/>
      <c r="H1053" s="2"/>
      <c r="I1053" s="2"/>
      <c r="J1053" s="2"/>
      <c r="K1053" s="2" t="str">
        <f t="shared" si="2"/>
        <v/>
      </c>
      <c r="L1053" s="2" t="str">
        <f t="shared" si="3"/>
        <v>No</v>
      </c>
      <c r="M1053" s="2" t="str">
        <f>IF(K1053="","",F1053*VLOOKUP(E1053,WEIGHTS!$A$2:$F$4,2,FALSE)+G1053*VLOOKUP(E1053,WEIGHTS!$A$2:$F$4,3,FALSE)+H1053*VLOOKUP(E1053,WEIGHTS!$A$2:$F$4,4,FALSE)+I1053*VLOOKUP(E1053,WEIGHTS!$A$2:$F$4,5,FALSE)+J1053*VLOOKUP(E1053,WEIGHTS!$A$2:$F$4,6,FALSE))</f>
        <v/>
      </c>
      <c r="N1053" s="2" t="str">
        <f t="shared" si="4"/>
        <v/>
      </c>
    </row>
    <row r="1054" ht="15.75" customHeight="1">
      <c r="A1054" s="3"/>
      <c r="B1054" s="2" t="str">
        <f t="shared" si="1"/>
        <v/>
      </c>
      <c r="E1054" s="2"/>
      <c r="F1054" s="2"/>
      <c r="G1054" s="2"/>
      <c r="H1054" s="2"/>
      <c r="I1054" s="2"/>
      <c r="J1054" s="2"/>
      <c r="K1054" s="2" t="str">
        <f t="shared" si="2"/>
        <v/>
      </c>
      <c r="L1054" s="2" t="str">
        <f t="shared" si="3"/>
        <v>No</v>
      </c>
      <c r="M1054" s="2" t="str">
        <f>IF(K1054="","",F1054*VLOOKUP(E1054,WEIGHTS!$A$2:$F$4,2,FALSE)+G1054*VLOOKUP(E1054,WEIGHTS!$A$2:$F$4,3,FALSE)+H1054*VLOOKUP(E1054,WEIGHTS!$A$2:$F$4,4,FALSE)+I1054*VLOOKUP(E1054,WEIGHTS!$A$2:$F$4,5,FALSE)+J1054*VLOOKUP(E1054,WEIGHTS!$A$2:$F$4,6,FALSE))</f>
        <v/>
      </c>
      <c r="N1054" s="2" t="str">
        <f t="shared" si="4"/>
        <v/>
      </c>
    </row>
    <row r="1055" ht="15.75" customHeight="1">
      <c r="A1055" s="3"/>
      <c r="B1055" s="2" t="str">
        <f t="shared" si="1"/>
        <v/>
      </c>
      <c r="E1055" s="2"/>
      <c r="F1055" s="2"/>
      <c r="G1055" s="2"/>
      <c r="H1055" s="2"/>
      <c r="I1055" s="2"/>
      <c r="J1055" s="2"/>
      <c r="K1055" s="2" t="str">
        <f t="shared" si="2"/>
        <v/>
      </c>
      <c r="L1055" s="2" t="str">
        <f t="shared" si="3"/>
        <v>No</v>
      </c>
      <c r="M1055" s="2" t="str">
        <f>IF(K1055="","",F1055*VLOOKUP(E1055,WEIGHTS!$A$2:$F$4,2,FALSE)+G1055*VLOOKUP(E1055,WEIGHTS!$A$2:$F$4,3,FALSE)+H1055*VLOOKUP(E1055,WEIGHTS!$A$2:$F$4,4,FALSE)+I1055*VLOOKUP(E1055,WEIGHTS!$A$2:$F$4,5,FALSE)+J1055*VLOOKUP(E1055,WEIGHTS!$A$2:$F$4,6,FALSE))</f>
        <v/>
      </c>
      <c r="N1055" s="2" t="str">
        <f t="shared" si="4"/>
        <v/>
      </c>
    </row>
    <row r="1056" ht="15.75" customHeight="1">
      <c r="A1056" s="3"/>
      <c r="B1056" s="2" t="str">
        <f t="shared" si="1"/>
        <v/>
      </c>
      <c r="E1056" s="2"/>
      <c r="F1056" s="2"/>
      <c r="G1056" s="2"/>
      <c r="H1056" s="2"/>
      <c r="I1056" s="2"/>
      <c r="J1056" s="2"/>
      <c r="K1056" s="2" t="str">
        <f t="shared" si="2"/>
        <v/>
      </c>
      <c r="L1056" s="2" t="str">
        <f t="shared" si="3"/>
        <v>No</v>
      </c>
      <c r="M1056" s="2" t="str">
        <f>IF(K1056="","",F1056*VLOOKUP(E1056,WEIGHTS!$A$2:$F$4,2,FALSE)+G1056*VLOOKUP(E1056,WEIGHTS!$A$2:$F$4,3,FALSE)+H1056*VLOOKUP(E1056,WEIGHTS!$A$2:$F$4,4,FALSE)+I1056*VLOOKUP(E1056,WEIGHTS!$A$2:$F$4,5,FALSE)+J1056*VLOOKUP(E1056,WEIGHTS!$A$2:$F$4,6,FALSE))</f>
        <v/>
      </c>
      <c r="N1056" s="2" t="str">
        <f t="shared" si="4"/>
        <v/>
      </c>
    </row>
    <row r="1057" ht="15.75" customHeight="1">
      <c r="A1057" s="3"/>
      <c r="B1057" s="2" t="str">
        <f t="shared" si="1"/>
        <v/>
      </c>
      <c r="E1057" s="2"/>
      <c r="F1057" s="2"/>
      <c r="G1057" s="2"/>
      <c r="H1057" s="2"/>
      <c r="I1057" s="2"/>
      <c r="J1057" s="2"/>
      <c r="K1057" s="2" t="str">
        <f t="shared" si="2"/>
        <v/>
      </c>
      <c r="L1057" s="2" t="str">
        <f t="shared" si="3"/>
        <v>No</v>
      </c>
      <c r="M1057" s="2" t="str">
        <f>IF(K1057="","",F1057*VLOOKUP(E1057,WEIGHTS!$A$2:$F$4,2,FALSE)+G1057*VLOOKUP(E1057,WEIGHTS!$A$2:$F$4,3,FALSE)+H1057*VLOOKUP(E1057,WEIGHTS!$A$2:$F$4,4,FALSE)+I1057*VLOOKUP(E1057,WEIGHTS!$A$2:$F$4,5,FALSE)+J1057*VLOOKUP(E1057,WEIGHTS!$A$2:$F$4,6,FALSE))</f>
        <v/>
      </c>
      <c r="N1057" s="2" t="str">
        <f t="shared" si="4"/>
        <v/>
      </c>
    </row>
    <row r="1058" ht="15.75" customHeight="1">
      <c r="A1058" s="3"/>
      <c r="B1058" s="2" t="str">
        <f t="shared" si="1"/>
        <v/>
      </c>
      <c r="E1058" s="2"/>
      <c r="F1058" s="2"/>
      <c r="G1058" s="2"/>
      <c r="H1058" s="2"/>
      <c r="I1058" s="2"/>
      <c r="J1058" s="2"/>
      <c r="K1058" s="2" t="str">
        <f t="shared" si="2"/>
        <v/>
      </c>
      <c r="L1058" s="2" t="str">
        <f t="shared" si="3"/>
        <v>No</v>
      </c>
      <c r="M1058" s="2" t="str">
        <f>IF(K1058="","",F1058*VLOOKUP(E1058,WEIGHTS!$A$2:$F$4,2,FALSE)+G1058*VLOOKUP(E1058,WEIGHTS!$A$2:$F$4,3,FALSE)+H1058*VLOOKUP(E1058,WEIGHTS!$A$2:$F$4,4,FALSE)+I1058*VLOOKUP(E1058,WEIGHTS!$A$2:$F$4,5,FALSE)+J1058*VLOOKUP(E1058,WEIGHTS!$A$2:$F$4,6,FALSE))</f>
        <v/>
      </c>
      <c r="N1058" s="2" t="str">
        <f t="shared" si="4"/>
        <v/>
      </c>
    </row>
    <row r="1059" ht="15.75" customHeight="1">
      <c r="A1059" s="3"/>
      <c r="B1059" s="2" t="str">
        <f t="shared" si="1"/>
        <v/>
      </c>
      <c r="E1059" s="2"/>
      <c r="F1059" s="2"/>
      <c r="G1059" s="2"/>
      <c r="H1059" s="2"/>
      <c r="I1059" s="2"/>
      <c r="J1059" s="2"/>
      <c r="K1059" s="2" t="str">
        <f t="shared" si="2"/>
        <v/>
      </c>
      <c r="L1059" s="2" t="str">
        <f t="shared" si="3"/>
        <v>No</v>
      </c>
      <c r="M1059" s="2" t="str">
        <f>IF(K1059="","",F1059*VLOOKUP(E1059,WEIGHTS!$A$2:$F$4,2,FALSE)+G1059*VLOOKUP(E1059,WEIGHTS!$A$2:$F$4,3,FALSE)+H1059*VLOOKUP(E1059,WEIGHTS!$A$2:$F$4,4,FALSE)+I1059*VLOOKUP(E1059,WEIGHTS!$A$2:$F$4,5,FALSE)+J1059*VLOOKUP(E1059,WEIGHTS!$A$2:$F$4,6,FALSE))</f>
        <v/>
      </c>
      <c r="N1059" s="2" t="str">
        <f t="shared" si="4"/>
        <v/>
      </c>
    </row>
    <row r="1060" ht="15.75" customHeight="1">
      <c r="A1060" s="3"/>
      <c r="B1060" s="2" t="str">
        <f t="shared" si="1"/>
        <v/>
      </c>
      <c r="E1060" s="2"/>
      <c r="F1060" s="2"/>
      <c r="G1060" s="2"/>
      <c r="H1060" s="2"/>
      <c r="I1060" s="2"/>
      <c r="J1060" s="2"/>
      <c r="K1060" s="2" t="str">
        <f t="shared" si="2"/>
        <v/>
      </c>
      <c r="L1060" s="2" t="str">
        <f t="shared" si="3"/>
        <v>No</v>
      </c>
      <c r="M1060" s="2" t="str">
        <f>IF(K1060="","",F1060*VLOOKUP(E1060,WEIGHTS!$A$2:$F$4,2,FALSE)+G1060*VLOOKUP(E1060,WEIGHTS!$A$2:$F$4,3,FALSE)+H1060*VLOOKUP(E1060,WEIGHTS!$A$2:$F$4,4,FALSE)+I1060*VLOOKUP(E1060,WEIGHTS!$A$2:$F$4,5,FALSE)+J1060*VLOOKUP(E1060,WEIGHTS!$A$2:$F$4,6,FALSE))</f>
        <v/>
      </c>
      <c r="N1060" s="2" t="str">
        <f t="shared" si="4"/>
        <v/>
      </c>
    </row>
    <row r="1061" ht="15.75" customHeight="1">
      <c r="A1061" s="3"/>
      <c r="B1061" s="2" t="str">
        <f t="shared" si="1"/>
        <v/>
      </c>
      <c r="E1061" s="2"/>
      <c r="F1061" s="2"/>
      <c r="G1061" s="2"/>
      <c r="H1061" s="2"/>
      <c r="I1061" s="2"/>
      <c r="J1061" s="2"/>
      <c r="K1061" s="2" t="str">
        <f t="shared" si="2"/>
        <v/>
      </c>
      <c r="L1061" s="2" t="str">
        <f t="shared" si="3"/>
        <v>No</v>
      </c>
      <c r="M1061" s="2" t="str">
        <f>IF(K1061="","",F1061*VLOOKUP(E1061,WEIGHTS!$A$2:$F$4,2,FALSE)+G1061*VLOOKUP(E1061,WEIGHTS!$A$2:$F$4,3,FALSE)+H1061*VLOOKUP(E1061,WEIGHTS!$A$2:$F$4,4,FALSE)+I1061*VLOOKUP(E1061,WEIGHTS!$A$2:$F$4,5,FALSE)+J1061*VLOOKUP(E1061,WEIGHTS!$A$2:$F$4,6,FALSE))</f>
        <v/>
      </c>
      <c r="N1061" s="2" t="str">
        <f t="shared" si="4"/>
        <v/>
      </c>
    </row>
    <row r="1062" ht="15.75" customHeight="1">
      <c r="A1062" s="3"/>
      <c r="B1062" s="2" t="str">
        <f t="shared" si="1"/>
        <v/>
      </c>
      <c r="E1062" s="2"/>
      <c r="F1062" s="2"/>
      <c r="G1062" s="2"/>
      <c r="H1062" s="2"/>
      <c r="I1062" s="2"/>
      <c r="J1062" s="2"/>
      <c r="K1062" s="2" t="str">
        <f t="shared" si="2"/>
        <v/>
      </c>
      <c r="L1062" s="2" t="str">
        <f t="shared" si="3"/>
        <v>No</v>
      </c>
      <c r="M1062" s="2" t="str">
        <f>IF(K1062="","",F1062*VLOOKUP(E1062,WEIGHTS!$A$2:$F$4,2,FALSE)+G1062*VLOOKUP(E1062,WEIGHTS!$A$2:$F$4,3,FALSE)+H1062*VLOOKUP(E1062,WEIGHTS!$A$2:$F$4,4,FALSE)+I1062*VLOOKUP(E1062,WEIGHTS!$A$2:$F$4,5,FALSE)+J1062*VLOOKUP(E1062,WEIGHTS!$A$2:$F$4,6,FALSE))</f>
        <v/>
      </c>
      <c r="N1062" s="2" t="str">
        <f t="shared" si="4"/>
        <v/>
      </c>
    </row>
    <row r="1063" ht="15.75" customHeight="1">
      <c r="A1063" s="3"/>
      <c r="B1063" s="2" t="str">
        <f t="shared" si="1"/>
        <v/>
      </c>
      <c r="E1063" s="2"/>
      <c r="F1063" s="2"/>
      <c r="G1063" s="2"/>
      <c r="H1063" s="2"/>
      <c r="I1063" s="2"/>
      <c r="J1063" s="2"/>
      <c r="K1063" s="2" t="str">
        <f t="shared" si="2"/>
        <v/>
      </c>
      <c r="L1063" s="2" t="str">
        <f t="shared" si="3"/>
        <v>No</v>
      </c>
      <c r="M1063" s="2" t="str">
        <f>IF(K1063="","",F1063*VLOOKUP(E1063,WEIGHTS!$A$2:$F$4,2,FALSE)+G1063*VLOOKUP(E1063,WEIGHTS!$A$2:$F$4,3,FALSE)+H1063*VLOOKUP(E1063,WEIGHTS!$A$2:$F$4,4,FALSE)+I1063*VLOOKUP(E1063,WEIGHTS!$A$2:$F$4,5,FALSE)+J1063*VLOOKUP(E1063,WEIGHTS!$A$2:$F$4,6,FALSE))</f>
        <v/>
      </c>
      <c r="N1063" s="2" t="str">
        <f t="shared" si="4"/>
        <v/>
      </c>
    </row>
    <row r="1064" ht="15.75" customHeight="1">
      <c r="A1064" s="3"/>
      <c r="B1064" s="2" t="str">
        <f t="shared" si="1"/>
        <v/>
      </c>
      <c r="E1064" s="2"/>
      <c r="F1064" s="2"/>
      <c r="G1064" s="2"/>
      <c r="H1064" s="2"/>
      <c r="I1064" s="2"/>
      <c r="J1064" s="2"/>
      <c r="K1064" s="2" t="str">
        <f t="shared" si="2"/>
        <v/>
      </c>
      <c r="L1064" s="2" t="str">
        <f t="shared" si="3"/>
        <v>No</v>
      </c>
      <c r="M1064" s="2" t="str">
        <f>IF(K1064="","",F1064*VLOOKUP(E1064,WEIGHTS!$A$2:$F$4,2,FALSE)+G1064*VLOOKUP(E1064,WEIGHTS!$A$2:$F$4,3,FALSE)+H1064*VLOOKUP(E1064,WEIGHTS!$A$2:$F$4,4,FALSE)+I1064*VLOOKUP(E1064,WEIGHTS!$A$2:$F$4,5,FALSE)+J1064*VLOOKUP(E1064,WEIGHTS!$A$2:$F$4,6,FALSE))</f>
        <v/>
      </c>
      <c r="N1064" s="2" t="str">
        <f t="shared" si="4"/>
        <v/>
      </c>
    </row>
    <row r="1065" ht="15.75" customHeight="1">
      <c r="A1065" s="3"/>
      <c r="B1065" s="2" t="str">
        <f t="shared" si="1"/>
        <v/>
      </c>
      <c r="E1065" s="2"/>
      <c r="F1065" s="2"/>
      <c r="G1065" s="2"/>
      <c r="H1065" s="2"/>
      <c r="I1065" s="2"/>
      <c r="J1065" s="2"/>
      <c r="K1065" s="2" t="str">
        <f t="shared" si="2"/>
        <v/>
      </c>
      <c r="L1065" s="2" t="str">
        <f t="shared" si="3"/>
        <v>No</v>
      </c>
      <c r="M1065" s="2" t="str">
        <f>IF(K1065="","",F1065*VLOOKUP(E1065,WEIGHTS!$A$2:$F$4,2,FALSE)+G1065*VLOOKUP(E1065,WEIGHTS!$A$2:$F$4,3,FALSE)+H1065*VLOOKUP(E1065,WEIGHTS!$A$2:$F$4,4,FALSE)+I1065*VLOOKUP(E1065,WEIGHTS!$A$2:$F$4,5,FALSE)+J1065*VLOOKUP(E1065,WEIGHTS!$A$2:$F$4,6,FALSE))</f>
        <v/>
      </c>
      <c r="N1065" s="2" t="str">
        <f t="shared" si="4"/>
        <v/>
      </c>
    </row>
    <row r="1066" ht="15.75" customHeight="1">
      <c r="A1066" s="3"/>
      <c r="B1066" s="2" t="str">
        <f t="shared" si="1"/>
        <v/>
      </c>
      <c r="E1066" s="2"/>
      <c r="F1066" s="2"/>
      <c r="G1066" s="2"/>
      <c r="H1066" s="2"/>
      <c r="I1066" s="2"/>
      <c r="J1066" s="2"/>
      <c r="K1066" s="2" t="str">
        <f t="shared" si="2"/>
        <v/>
      </c>
      <c r="L1066" s="2" t="str">
        <f t="shared" si="3"/>
        <v>No</v>
      </c>
      <c r="M1066" s="2" t="str">
        <f>IF(K1066="","",F1066*VLOOKUP(E1066,WEIGHTS!$A$2:$F$4,2,FALSE)+G1066*VLOOKUP(E1066,WEIGHTS!$A$2:$F$4,3,FALSE)+H1066*VLOOKUP(E1066,WEIGHTS!$A$2:$F$4,4,FALSE)+I1066*VLOOKUP(E1066,WEIGHTS!$A$2:$F$4,5,FALSE)+J1066*VLOOKUP(E1066,WEIGHTS!$A$2:$F$4,6,FALSE))</f>
        <v/>
      </c>
      <c r="N1066" s="2" t="str">
        <f t="shared" si="4"/>
        <v/>
      </c>
    </row>
    <row r="1067" ht="15.75" customHeight="1">
      <c r="A1067" s="3"/>
      <c r="B1067" s="2" t="str">
        <f t="shared" si="1"/>
        <v/>
      </c>
      <c r="E1067" s="2"/>
      <c r="F1067" s="2"/>
      <c r="G1067" s="2"/>
      <c r="H1067" s="2"/>
      <c r="I1067" s="2"/>
      <c r="J1067" s="2"/>
      <c r="K1067" s="2" t="str">
        <f t="shared" si="2"/>
        <v/>
      </c>
      <c r="L1067" s="2" t="str">
        <f t="shared" si="3"/>
        <v>No</v>
      </c>
      <c r="M1067" s="2" t="str">
        <f>IF(K1067="","",F1067*VLOOKUP(E1067,WEIGHTS!$A$2:$F$4,2,FALSE)+G1067*VLOOKUP(E1067,WEIGHTS!$A$2:$F$4,3,FALSE)+H1067*VLOOKUP(E1067,WEIGHTS!$A$2:$F$4,4,FALSE)+I1067*VLOOKUP(E1067,WEIGHTS!$A$2:$F$4,5,FALSE)+J1067*VLOOKUP(E1067,WEIGHTS!$A$2:$F$4,6,FALSE))</f>
        <v/>
      </c>
      <c r="N1067" s="2" t="str">
        <f t="shared" si="4"/>
        <v/>
      </c>
    </row>
    <row r="1068" ht="15.75" customHeight="1">
      <c r="A1068" s="3"/>
      <c r="B1068" s="2" t="str">
        <f t="shared" si="1"/>
        <v/>
      </c>
      <c r="E1068" s="2"/>
      <c r="F1068" s="2"/>
      <c r="G1068" s="2"/>
      <c r="H1068" s="2"/>
      <c r="I1068" s="2"/>
      <c r="J1068" s="2"/>
      <c r="K1068" s="2" t="str">
        <f t="shared" si="2"/>
        <v/>
      </c>
      <c r="L1068" s="2" t="str">
        <f t="shared" si="3"/>
        <v>No</v>
      </c>
      <c r="M1068" s="2" t="str">
        <f>IF(K1068="","",F1068*VLOOKUP(E1068,WEIGHTS!$A$2:$F$4,2,FALSE)+G1068*VLOOKUP(E1068,WEIGHTS!$A$2:$F$4,3,FALSE)+H1068*VLOOKUP(E1068,WEIGHTS!$A$2:$F$4,4,FALSE)+I1068*VLOOKUP(E1068,WEIGHTS!$A$2:$F$4,5,FALSE)+J1068*VLOOKUP(E1068,WEIGHTS!$A$2:$F$4,6,FALSE))</f>
        <v/>
      </c>
      <c r="N1068" s="2" t="str">
        <f t="shared" si="4"/>
        <v/>
      </c>
    </row>
    <row r="1069" ht="15.75" customHeight="1">
      <c r="A1069" s="3"/>
      <c r="B1069" s="2" t="str">
        <f t="shared" si="1"/>
        <v/>
      </c>
      <c r="E1069" s="2"/>
      <c r="F1069" s="2"/>
      <c r="G1069" s="2"/>
      <c r="H1069" s="2"/>
      <c r="I1069" s="2"/>
      <c r="J1069" s="2"/>
      <c r="K1069" s="2" t="str">
        <f t="shared" si="2"/>
        <v/>
      </c>
      <c r="L1069" s="2" t="str">
        <f t="shared" si="3"/>
        <v>No</v>
      </c>
      <c r="M1069" s="2" t="str">
        <f>IF(K1069="","",F1069*VLOOKUP(E1069,WEIGHTS!$A$2:$F$4,2,FALSE)+G1069*VLOOKUP(E1069,WEIGHTS!$A$2:$F$4,3,FALSE)+H1069*VLOOKUP(E1069,WEIGHTS!$A$2:$F$4,4,FALSE)+I1069*VLOOKUP(E1069,WEIGHTS!$A$2:$F$4,5,FALSE)+J1069*VLOOKUP(E1069,WEIGHTS!$A$2:$F$4,6,FALSE))</f>
        <v/>
      </c>
      <c r="N1069" s="2" t="str">
        <f t="shared" si="4"/>
        <v/>
      </c>
    </row>
    <row r="1070" ht="15.75" customHeight="1">
      <c r="A1070" s="3"/>
      <c r="B1070" s="2" t="str">
        <f t="shared" si="1"/>
        <v/>
      </c>
      <c r="E1070" s="2"/>
      <c r="F1070" s="2"/>
      <c r="G1070" s="2"/>
      <c r="H1070" s="2"/>
      <c r="I1070" s="2"/>
      <c r="J1070" s="2"/>
      <c r="K1070" s="2" t="str">
        <f t="shared" si="2"/>
        <v/>
      </c>
      <c r="L1070" s="2" t="str">
        <f t="shared" si="3"/>
        <v>No</v>
      </c>
      <c r="M1070" s="2" t="str">
        <f>IF(K1070="","",F1070*VLOOKUP(E1070,WEIGHTS!$A$2:$F$4,2,FALSE)+G1070*VLOOKUP(E1070,WEIGHTS!$A$2:$F$4,3,FALSE)+H1070*VLOOKUP(E1070,WEIGHTS!$A$2:$F$4,4,FALSE)+I1070*VLOOKUP(E1070,WEIGHTS!$A$2:$F$4,5,FALSE)+J1070*VLOOKUP(E1070,WEIGHTS!$A$2:$F$4,6,FALSE))</f>
        <v/>
      </c>
      <c r="N1070" s="2" t="str">
        <f t="shared" si="4"/>
        <v/>
      </c>
    </row>
    <row r="1071" ht="15.75" customHeight="1">
      <c r="A1071" s="3"/>
      <c r="B1071" s="2" t="str">
        <f t="shared" si="1"/>
        <v/>
      </c>
      <c r="E1071" s="2"/>
      <c r="F1071" s="2"/>
      <c r="G1071" s="2"/>
      <c r="H1071" s="2"/>
      <c r="I1071" s="2"/>
      <c r="J1071" s="2"/>
      <c r="K1071" s="2" t="str">
        <f t="shared" si="2"/>
        <v/>
      </c>
      <c r="L1071" s="2" t="str">
        <f t="shared" si="3"/>
        <v>No</v>
      </c>
      <c r="M1071" s="2" t="str">
        <f>IF(K1071="","",F1071*VLOOKUP(E1071,WEIGHTS!$A$2:$F$4,2,FALSE)+G1071*VLOOKUP(E1071,WEIGHTS!$A$2:$F$4,3,FALSE)+H1071*VLOOKUP(E1071,WEIGHTS!$A$2:$F$4,4,FALSE)+I1071*VLOOKUP(E1071,WEIGHTS!$A$2:$F$4,5,FALSE)+J1071*VLOOKUP(E1071,WEIGHTS!$A$2:$F$4,6,FALSE))</f>
        <v/>
      </c>
      <c r="N1071" s="2" t="str">
        <f t="shared" si="4"/>
        <v/>
      </c>
    </row>
    <row r="1072" ht="15.75" customHeight="1">
      <c r="A1072" s="3"/>
      <c r="B1072" s="2" t="str">
        <f t="shared" si="1"/>
        <v/>
      </c>
      <c r="E1072" s="2"/>
      <c r="F1072" s="2"/>
      <c r="G1072" s="2"/>
      <c r="H1072" s="2"/>
      <c r="I1072" s="2"/>
      <c r="J1072" s="2"/>
      <c r="K1072" s="2" t="str">
        <f t="shared" si="2"/>
        <v/>
      </c>
      <c r="L1072" s="2" t="str">
        <f t="shared" si="3"/>
        <v>No</v>
      </c>
      <c r="M1072" s="2" t="str">
        <f>IF(K1072="","",F1072*VLOOKUP(E1072,WEIGHTS!$A$2:$F$4,2,FALSE)+G1072*VLOOKUP(E1072,WEIGHTS!$A$2:$F$4,3,FALSE)+H1072*VLOOKUP(E1072,WEIGHTS!$A$2:$F$4,4,FALSE)+I1072*VLOOKUP(E1072,WEIGHTS!$A$2:$F$4,5,FALSE)+J1072*VLOOKUP(E1072,WEIGHTS!$A$2:$F$4,6,FALSE))</f>
        <v/>
      </c>
      <c r="N1072" s="2" t="str">
        <f t="shared" si="4"/>
        <v/>
      </c>
    </row>
    <row r="1073" ht="15.75" customHeight="1">
      <c r="A1073" s="3"/>
      <c r="B1073" s="2" t="str">
        <f t="shared" si="1"/>
        <v/>
      </c>
      <c r="E1073" s="2"/>
      <c r="F1073" s="2"/>
      <c r="G1073" s="2"/>
      <c r="H1073" s="2"/>
      <c r="I1073" s="2"/>
      <c r="J1073" s="2"/>
      <c r="K1073" s="2" t="str">
        <f t="shared" si="2"/>
        <v/>
      </c>
      <c r="L1073" s="2" t="str">
        <f t="shared" si="3"/>
        <v>No</v>
      </c>
      <c r="M1073" s="2" t="str">
        <f>IF(K1073="","",F1073*VLOOKUP(E1073,WEIGHTS!$A$2:$F$4,2,FALSE)+G1073*VLOOKUP(E1073,WEIGHTS!$A$2:$F$4,3,FALSE)+H1073*VLOOKUP(E1073,WEIGHTS!$A$2:$F$4,4,FALSE)+I1073*VLOOKUP(E1073,WEIGHTS!$A$2:$F$4,5,FALSE)+J1073*VLOOKUP(E1073,WEIGHTS!$A$2:$F$4,6,FALSE))</f>
        <v/>
      </c>
      <c r="N1073" s="2" t="str">
        <f t="shared" si="4"/>
        <v/>
      </c>
    </row>
    <row r="1074" ht="15.75" customHeight="1">
      <c r="A1074" s="3"/>
      <c r="B1074" s="2" t="str">
        <f t="shared" si="1"/>
        <v/>
      </c>
      <c r="E1074" s="2"/>
      <c r="F1074" s="2"/>
      <c r="G1074" s="2"/>
      <c r="H1074" s="2"/>
      <c r="I1074" s="2"/>
      <c r="J1074" s="2"/>
      <c r="K1074" s="2" t="str">
        <f t="shared" si="2"/>
        <v/>
      </c>
      <c r="L1074" s="2" t="str">
        <f t="shared" si="3"/>
        <v>No</v>
      </c>
      <c r="M1074" s="2" t="str">
        <f>IF(K1074="","",F1074*VLOOKUP(E1074,WEIGHTS!$A$2:$F$4,2,FALSE)+G1074*VLOOKUP(E1074,WEIGHTS!$A$2:$F$4,3,FALSE)+H1074*VLOOKUP(E1074,WEIGHTS!$A$2:$F$4,4,FALSE)+I1074*VLOOKUP(E1074,WEIGHTS!$A$2:$F$4,5,FALSE)+J1074*VLOOKUP(E1074,WEIGHTS!$A$2:$F$4,6,FALSE))</f>
        <v/>
      </c>
      <c r="N1074" s="2" t="str">
        <f t="shared" si="4"/>
        <v/>
      </c>
    </row>
    <row r="1075" ht="15.75" customHeight="1">
      <c r="A1075" s="3"/>
      <c r="B1075" s="2" t="str">
        <f t="shared" si="1"/>
        <v/>
      </c>
      <c r="E1075" s="2"/>
      <c r="F1075" s="2"/>
      <c r="G1075" s="2"/>
      <c r="H1075" s="2"/>
      <c r="I1075" s="2"/>
      <c r="J1075" s="2"/>
      <c r="K1075" s="2" t="str">
        <f t="shared" si="2"/>
        <v/>
      </c>
      <c r="L1075" s="2" t="str">
        <f t="shared" si="3"/>
        <v>No</v>
      </c>
      <c r="M1075" s="2" t="str">
        <f>IF(K1075="","",F1075*VLOOKUP(E1075,WEIGHTS!$A$2:$F$4,2,FALSE)+G1075*VLOOKUP(E1075,WEIGHTS!$A$2:$F$4,3,FALSE)+H1075*VLOOKUP(E1075,WEIGHTS!$A$2:$F$4,4,FALSE)+I1075*VLOOKUP(E1075,WEIGHTS!$A$2:$F$4,5,FALSE)+J1075*VLOOKUP(E1075,WEIGHTS!$A$2:$F$4,6,FALSE))</f>
        <v/>
      </c>
      <c r="N1075" s="2" t="str">
        <f t="shared" si="4"/>
        <v/>
      </c>
    </row>
    <row r="1076" ht="15.75" customHeight="1">
      <c r="A1076" s="3"/>
      <c r="B1076" s="2" t="str">
        <f t="shared" si="1"/>
        <v/>
      </c>
      <c r="E1076" s="2"/>
      <c r="F1076" s="2"/>
      <c r="G1076" s="2"/>
      <c r="H1076" s="2"/>
      <c r="I1076" s="2"/>
      <c r="J1076" s="2"/>
      <c r="K1076" s="2" t="str">
        <f t="shared" si="2"/>
        <v/>
      </c>
      <c r="L1076" s="2" t="str">
        <f t="shared" si="3"/>
        <v>No</v>
      </c>
      <c r="M1076" s="2" t="str">
        <f>IF(K1076="","",F1076*VLOOKUP(E1076,WEIGHTS!$A$2:$F$4,2,FALSE)+G1076*VLOOKUP(E1076,WEIGHTS!$A$2:$F$4,3,FALSE)+H1076*VLOOKUP(E1076,WEIGHTS!$A$2:$F$4,4,FALSE)+I1076*VLOOKUP(E1076,WEIGHTS!$A$2:$F$4,5,FALSE)+J1076*VLOOKUP(E1076,WEIGHTS!$A$2:$F$4,6,FALSE))</f>
        <v/>
      </c>
      <c r="N1076" s="2" t="str">
        <f t="shared" si="4"/>
        <v/>
      </c>
    </row>
    <row r="1077" ht="15.75" customHeight="1">
      <c r="A1077" s="3"/>
      <c r="B1077" s="2" t="str">
        <f t="shared" si="1"/>
        <v/>
      </c>
      <c r="E1077" s="2"/>
      <c r="F1077" s="2"/>
      <c r="G1077" s="2"/>
      <c r="H1077" s="2"/>
      <c r="I1077" s="2"/>
      <c r="J1077" s="2"/>
      <c r="K1077" s="2" t="str">
        <f t="shared" si="2"/>
        <v/>
      </c>
      <c r="L1077" s="2" t="str">
        <f t="shared" si="3"/>
        <v>No</v>
      </c>
      <c r="M1077" s="2" t="str">
        <f>IF(K1077="","",F1077*VLOOKUP(E1077,WEIGHTS!$A$2:$F$4,2,FALSE)+G1077*VLOOKUP(E1077,WEIGHTS!$A$2:$F$4,3,FALSE)+H1077*VLOOKUP(E1077,WEIGHTS!$A$2:$F$4,4,FALSE)+I1077*VLOOKUP(E1077,WEIGHTS!$A$2:$F$4,5,FALSE)+J1077*VLOOKUP(E1077,WEIGHTS!$A$2:$F$4,6,FALSE))</f>
        <v/>
      </c>
      <c r="N1077" s="2" t="str">
        <f t="shared" si="4"/>
        <v/>
      </c>
    </row>
    <row r="1078" ht="15.75" customHeight="1">
      <c r="A1078" s="3"/>
      <c r="B1078" s="2" t="str">
        <f t="shared" si="1"/>
        <v/>
      </c>
      <c r="E1078" s="2"/>
      <c r="F1078" s="2"/>
      <c r="G1078" s="2"/>
      <c r="H1078" s="2"/>
      <c r="I1078" s="2"/>
      <c r="J1078" s="2"/>
      <c r="K1078" s="2" t="str">
        <f t="shared" si="2"/>
        <v/>
      </c>
      <c r="L1078" s="2" t="str">
        <f t="shared" si="3"/>
        <v>No</v>
      </c>
      <c r="M1078" s="2" t="str">
        <f>IF(K1078="","",F1078*VLOOKUP(E1078,WEIGHTS!$A$2:$F$4,2,FALSE)+G1078*VLOOKUP(E1078,WEIGHTS!$A$2:$F$4,3,FALSE)+H1078*VLOOKUP(E1078,WEIGHTS!$A$2:$F$4,4,FALSE)+I1078*VLOOKUP(E1078,WEIGHTS!$A$2:$F$4,5,FALSE)+J1078*VLOOKUP(E1078,WEIGHTS!$A$2:$F$4,6,FALSE))</f>
        <v/>
      </c>
      <c r="N1078" s="2" t="str">
        <f t="shared" si="4"/>
        <v/>
      </c>
    </row>
    <row r="1079" ht="15.75" customHeight="1">
      <c r="A1079" s="3"/>
      <c r="B1079" s="2" t="str">
        <f t="shared" si="1"/>
        <v/>
      </c>
      <c r="E1079" s="2"/>
      <c r="F1079" s="2"/>
      <c r="G1079" s="2"/>
      <c r="H1079" s="2"/>
      <c r="I1079" s="2"/>
      <c r="J1079" s="2"/>
      <c r="K1079" s="2" t="str">
        <f t="shared" si="2"/>
        <v/>
      </c>
      <c r="L1079" s="2" t="str">
        <f t="shared" si="3"/>
        <v>No</v>
      </c>
      <c r="M1079" s="2" t="str">
        <f>IF(K1079="","",F1079*VLOOKUP(E1079,WEIGHTS!$A$2:$F$4,2,FALSE)+G1079*VLOOKUP(E1079,WEIGHTS!$A$2:$F$4,3,FALSE)+H1079*VLOOKUP(E1079,WEIGHTS!$A$2:$F$4,4,FALSE)+I1079*VLOOKUP(E1079,WEIGHTS!$A$2:$F$4,5,FALSE)+J1079*VLOOKUP(E1079,WEIGHTS!$A$2:$F$4,6,FALSE))</f>
        <v/>
      </c>
      <c r="N1079" s="2" t="str">
        <f t="shared" si="4"/>
        <v/>
      </c>
    </row>
    <row r="1080" ht="15.75" customHeight="1">
      <c r="A1080" s="3"/>
      <c r="B1080" s="2" t="str">
        <f t="shared" si="1"/>
        <v/>
      </c>
      <c r="E1080" s="2"/>
      <c r="F1080" s="2"/>
      <c r="G1080" s="2"/>
      <c r="H1080" s="2"/>
      <c r="I1080" s="2"/>
      <c r="J1080" s="2"/>
      <c r="K1080" s="2" t="str">
        <f t="shared" si="2"/>
        <v/>
      </c>
      <c r="L1080" s="2" t="str">
        <f t="shared" si="3"/>
        <v>No</v>
      </c>
      <c r="M1080" s="2" t="str">
        <f>IF(K1080="","",F1080*VLOOKUP(E1080,WEIGHTS!$A$2:$F$4,2,FALSE)+G1080*VLOOKUP(E1080,WEIGHTS!$A$2:$F$4,3,FALSE)+H1080*VLOOKUP(E1080,WEIGHTS!$A$2:$F$4,4,FALSE)+I1080*VLOOKUP(E1080,WEIGHTS!$A$2:$F$4,5,FALSE)+J1080*VLOOKUP(E1080,WEIGHTS!$A$2:$F$4,6,FALSE))</f>
        <v/>
      </c>
      <c r="N1080" s="2" t="str">
        <f t="shared" si="4"/>
        <v/>
      </c>
    </row>
    <row r="1081" ht="15.75" customHeight="1">
      <c r="A1081" s="3"/>
      <c r="B1081" s="2" t="str">
        <f t="shared" si="1"/>
        <v/>
      </c>
      <c r="E1081" s="2"/>
      <c r="F1081" s="2"/>
      <c r="G1081" s="2"/>
      <c r="H1081" s="2"/>
      <c r="I1081" s="2"/>
      <c r="J1081" s="2"/>
      <c r="K1081" s="2" t="str">
        <f t="shared" si="2"/>
        <v/>
      </c>
      <c r="L1081" s="2" t="str">
        <f t="shared" si="3"/>
        <v>No</v>
      </c>
      <c r="M1081" s="2" t="str">
        <f>IF(K1081="","",F1081*VLOOKUP(E1081,WEIGHTS!$A$2:$F$4,2,FALSE)+G1081*VLOOKUP(E1081,WEIGHTS!$A$2:$F$4,3,FALSE)+H1081*VLOOKUP(E1081,WEIGHTS!$A$2:$F$4,4,FALSE)+I1081*VLOOKUP(E1081,WEIGHTS!$A$2:$F$4,5,FALSE)+J1081*VLOOKUP(E1081,WEIGHTS!$A$2:$F$4,6,FALSE))</f>
        <v/>
      </c>
      <c r="N1081" s="2" t="str">
        <f t="shared" si="4"/>
        <v/>
      </c>
    </row>
    <row r="1082" ht="15.75" customHeight="1">
      <c r="A1082" s="3"/>
      <c r="B1082" s="2" t="str">
        <f t="shared" si="1"/>
        <v/>
      </c>
      <c r="E1082" s="2"/>
      <c r="F1082" s="2"/>
      <c r="G1082" s="2"/>
      <c r="H1082" s="2"/>
      <c r="I1082" s="2"/>
      <c r="J1082" s="2"/>
      <c r="K1082" s="2" t="str">
        <f t="shared" si="2"/>
        <v/>
      </c>
      <c r="L1082" s="2" t="str">
        <f t="shared" si="3"/>
        <v>No</v>
      </c>
      <c r="M1082" s="2" t="str">
        <f>IF(K1082="","",F1082*VLOOKUP(E1082,WEIGHTS!$A$2:$F$4,2,FALSE)+G1082*VLOOKUP(E1082,WEIGHTS!$A$2:$F$4,3,FALSE)+H1082*VLOOKUP(E1082,WEIGHTS!$A$2:$F$4,4,FALSE)+I1082*VLOOKUP(E1082,WEIGHTS!$A$2:$F$4,5,FALSE)+J1082*VLOOKUP(E1082,WEIGHTS!$A$2:$F$4,6,FALSE))</f>
        <v/>
      </c>
      <c r="N1082" s="2" t="str">
        <f t="shared" si="4"/>
        <v/>
      </c>
    </row>
    <row r="1083" ht="15.75" customHeight="1">
      <c r="A1083" s="3"/>
      <c r="B1083" s="2" t="str">
        <f t="shared" si="1"/>
        <v/>
      </c>
      <c r="E1083" s="2"/>
      <c r="F1083" s="2"/>
      <c r="G1083" s="2"/>
      <c r="H1083" s="2"/>
      <c r="I1083" s="2"/>
      <c r="J1083" s="2"/>
      <c r="K1083" s="2" t="str">
        <f t="shared" si="2"/>
        <v/>
      </c>
      <c r="L1083" s="2" t="str">
        <f t="shared" si="3"/>
        <v>No</v>
      </c>
      <c r="M1083" s="2" t="str">
        <f>IF(K1083="","",F1083*VLOOKUP(E1083,WEIGHTS!$A$2:$F$4,2,FALSE)+G1083*VLOOKUP(E1083,WEIGHTS!$A$2:$F$4,3,FALSE)+H1083*VLOOKUP(E1083,WEIGHTS!$A$2:$F$4,4,FALSE)+I1083*VLOOKUP(E1083,WEIGHTS!$A$2:$F$4,5,FALSE)+J1083*VLOOKUP(E1083,WEIGHTS!$A$2:$F$4,6,FALSE))</f>
        <v/>
      </c>
      <c r="N1083" s="2" t="str">
        <f t="shared" si="4"/>
        <v/>
      </c>
    </row>
    <row r="1084" ht="15.75" customHeight="1">
      <c r="A1084" s="3"/>
      <c r="B1084" s="2" t="str">
        <f t="shared" si="1"/>
        <v/>
      </c>
      <c r="E1084" s="2"/>
      <c r="F1084" s="2"/>
      <c r="G1084" s="2"/>
      <c r="H1084" s="2"/>
      <c r="I1084" s="2"/>
      <c r="J1084" s="2"/>
      <c r="K1084" s="2" t="str">
        <f t="shared" si="2"/>
        <v/>
      </c>
      <c r="L1084" s="2" t="str">
        <f t="shared" si="3"/>
        <v>No</v>
      </c>
      <c r="M1084" s="2" t="str">
        <f>IF(K1084="","",F1084*VLOOKUP(E1084,WEIGHTS!$A$2:$F$4,2,FALSE)+G1084*VLOOKUP(E1084,WEIGHTS!$A$2:$F$4,3,FALSE)+H1084*VLOOKUP(E1084,WEIGHTS!$A$2:$F$4,4,FALSE)+I1084*VLOOKUP(E1084,WEIGHTS!$A$2:$F$4,5,FALSE)+J1084*VLOOKUP(E1084,WEIGHTS!$A$2:$F$4,6,FALSE))</f>
        <v/>
      </c>
      <c r="N1084" s="2" t="str">
        <f t="shared" si="4"/>
        <v/>
      </c>
    </row>
    <row r="1085" ht="15.75" customHeight="1">
      <c r="A1085" s="3"/>
      <c r="B1085" s="2" t="str">
        <f t="shared" si="1"/>
        <v/>
      </c>
      <c r="E1085" s="2"/>
      <c r="F1085" s="2"/>
      <c r="G1085" s="2"/>
      <c r="H1085" s="2"/>
      <c r="I1085" s="2"/>
      <c r="J1085" s="2"/>
      <c r="K1085" s="2" t="str">
        <f t="shared" si="2"/>
        <v/>
      </c>
      <c r="L1085" s="2" t="str">
        <f t="shared" si="3"/>
        <v>No</v>
      </c>
      <c r="M1085" s="2" t="str">
        <f>IF(K1085="","",F1085*VLOOKUP(E1085,WEIGHTS!$A$2:$F$4,2,FALSE)+G1085*VLOOKUP(E1085,WEIGHTS!$A$2:$F$4,3,FALSE)+H1085*VLOOKUP(E1085,WEIGHTS!$A$2:$F$4,4,FALSE)+I1085*VLOOKUP(E1085,WEIGHTS!$A$2:$F$4,5,FALSE)+J1085*VLOOKUP(E1085,WEIGHTS!$A$2:$F$4,6,FALSE))</f>
        <v/>
      </c>
      <c r="N1085" s="2" t="str">
        <f t="shared" si="4"/>
        <v/>
      </c>
    </row>
    <row r="1086" ht="15.75" customHeight="1">
      <c r="A1086" s="3"/>
      <c r="B1086" s="2" t="str">
        <f t="shared" si="1"/>
        <v/>
      </c>
      <c r="E1086" s="2"/>
      <c r="F1086" s="2"/>
      <c r="G1086" s="2"/>
      <c r="H1086" s="2"/>
      <c r="I1086" s="2"/>
      <c r="J1086" s="2"/>
      <c r="K1086" s="2" t="str">
        <f t="shared" si="2"/>
        <v/>
      </c>
      <c r="L1086" s="2" t="str">
        <f t="shared" si="3"/>
        <v>No</v>
      </c>
      <c r="M1086" s="2" t="str">
        <f>IF(K1086="","",F1086*VLOOKUP(E1086,WEIGHTS!$A$2:$F$4,2,FALSE)+G1086*VLOOKUP(E1086,WEIGHTS!$A$2:$F$4,3,FALSE)+H1086*VLOOKUP(E1086,WEIGHTS!$A$2:$F$4,4,FALSE)+I1086*VLOOKUP(E1086,WEIGHTS!$A$2:$F$4,5,FALSE)+J1086*VLOOKUP(E1086,WEIGHTS!$A$2:$F$4,6,FALSE))</f>
        <v/>
      </c>
      <c r="N1086" s="2" t="str">
        <f t="shared" si="4"/>
        <v/>
      </c>
    </row>
    <row r="1087" ht="15.75" customHeight="1">
      <c r="A1087" s="3"/>
      <c r="B1087" s="2" t="str">
        <f t="shared" si="1"/>
        <v/>
      </c>
      <c r="E1087" s="2"/>
      <c r="F1087" s="2"/>
      <c r="G1087" s="2"/>
      <c r="H1087" s="2"/>
      <c r="I1087" s="2"/>
      <c r="J1087" s="2"/>
      <c r="K1087" s="2" t="str">
        <f t="shared" si="2"/>
        <v/>
      </c>
      <c r="L1087" s="2" t="str">
        <f t="shared" si="3"/>
        <v>No</v>
      </c>
      <c r="M1087" s="2" t="str">
        <f>IF(K1087="","",F1087*VLOOKUP(E1087,WEIGHTS!$A$2:$F$4,2,FALSE)+G1087*VLOOKUP(E1087,WEIGHTS!$A$2:$F$4,3,FALSE)+H1087*VLOOKUP(E1087,WEIGHTS!$A$2:$F$4,4,FALSE)+I1087*VLOOKUP(E1087,WEIGHTS!$A$2:$F$4,5,FALSE)+J1087*VLOOKUP(E1087,WEIGHTS!$A$2:$F$4,6,FALSE))</f>
        <v/>
      </c>
      <c r="N1087" s="2" t="str">
        <f t="shared" si="4"/>
        <v/>
      </c>
    </row>
    <row r="1088" ht="15.75" customHeight="1">
      <c r="A1088" s="3"/>
      <c r="B1088" s="2" t="str">
        <f t="shared" si="1"/>
        <v/>
      </c>
      <c r="E1088" s="2"/>
      <c r="F1088" s="2"/>
      <c r="G1088" s="2"/>
      <c r="H1088" s="2"/>
      <c r="I1088" s="2"/>
      <c r="J1088" s="2"/>
      <c r="K1088" s="2" t="str">
        <f t="shared" si="2"/>
        <v/>
      </c>
      <c r="L1088" s="2" t="str">
        <f t="shared" si="3"/>
        <v>No</v>
      </c>
      <c r="M1088" s="2" t="str">
        <f>IF(K1088="","",F1088*VLOOKUP(E1088,WEIGHTS!$A$2:$F$4,2,FALSE)+G1088*VLOOKUP(E1088,WEIGHTS!$A$2:$F$4,3,FALSE)+H1088*VLOOKUP(E1088,WEIGHTS!$A$2:$F$4,4,FALSE)+I1088*VLOOKUP(E1088,WEIGHTS!$A$2:$F$4,5,FALSE)+J1088*VLOOKUP(E1088,WEIGHTS!$A$2:$F$4,6,FALSE))</f>
        <v/>
      </c>
      <c r="N1088" s="2" t="str">
        <f t="shared" si="4"/>
        <v/>
      </c>
    </row>
    <row r="1089" ht="15.75" customHeight="1">
      <c r="A1089" s="3"/>
      <c r="B1089" s="2" t="str">
        <f t="shared" si="1"/>
        <v/>
      </c>
      <c r="E1089" s="2"/>
      <c r="F1089" s="2"/>
      <c r="G1089" s="2"/>
      <c r="H1089" s="2"/>
      <c r="I1089" s="2"/>
      <c r="J1089" s="2"/>
      <c r="K1089" s="2" t="str">
        <f t="shared" si="2"/>
        <v/>
      </c>
      <c r="L1089" s="2" t="str">
        <f t="shared" si="3"/>
        <v>No</v>
      </c>
      <c r="M1089" s="2" t="str">
        <f>IF(K1089="","",F1089*VLOOKUP(E1089,WEIGHTS!$A$2:$F$4,2,FALSE)+G1089*VLOOKUP(E1089,WEIGHTS!$A$2:$F$4,3,FALSE)+H1089*VLOOKUP(E1089,WEIGHTS!$A$2:$F$4,4,FALSE)+I1089*VLOOKUP(E1089,WEIGHTS!$A$2:$F$4,5,FALSE)+J1089*VLOOKUP(E1089,WEIGHTS!$A$2:$F$4,6,FALSE))</f>
        <v/>
      </c>
      <c r="N1089" s="2" t="str">
        <f t="shared" si="4"/>
        <v/>
      </c>
    </row>
    <row r="1090" ht="15.75" customHeight="1">
      <c r="A1090" s="3"/>
      <c r="B1090" s="2" t="str">
        <f t="shared" si="1"/>
        <v/>
      </c>
      <c r="E1090" s="2"/>
      <c r="F1090" s="2"/>
      <c r="G1090" s="2"/>
      <c r="H1090" s="2"/>
      <c r="I1090" s="2"/>
      <c r="J1090" s="2"/>
      <c r="K1090" s="2" t="str">
        <f t="shared" si="2"/>
        <v/>
      </c>
      <c r="L1090" s="2" t="str">
        <f t="shared" si="3"/>
        <v>No</v>
      </c>
      <c r="M1090" s="2" t="str">
        <f>IF(K1090="","",F1090*VLOOKUP(E1090,WEIGHTS!$A$2:$F$4,2,FALSE)+G1090*VLOOKUP(E1090,WEIGHTS!$A$2:$F$4,3,FALSE)+H1090*VLOOKUP(E1090,WEIGHTS!$A$2:$F$4,4,FALSE)+I1090*VLOOKUP(E1090,WEIGHTS!$A$2:$F$4,5,FALSE)+J1090*VLOOKUP(E1090,WEIGHTS!$A$2:$F$4,6,FALSE))</f>
        <v/>
      </c>
      <c r="N1090" s="2" t="str">
        <f t="shared" si="4"/>
        <v/>
      </c>
    </row>
    <row r="1091" ht="15.75" customHeight="1">
      <c r="A1091" s="3"/>
      <c r="B1091" s="2" t="str">
        <f t="shared" si="1"/>
        <v/>
      </c>
      <c r="E1091" s="2"/>
      <c r="F1091" s="2"/>
      <c r="G1091" s="2"/>
      <c r="H1091" s="2"/>
      <c r="I1091" s="2"/>
      <c r="J1091" s="2"/>
      <c r="K1091" s="2" t="str">
        <f t="shared" si="2"/>
        <v/>
      </c>
      <c r="L1091" s="2" t="str">
        <f t="shared" si="3"/>
        <v>No</v>
      </c>
      <c r="M1091" s="2" t="str">
        <f>IF(K1091="","",F1091*VLOOKUP(E1091,WEIGHTS!$A$2:$F$4,2,FALSE)+G1091*VLOOKUP(E1091,WEIGHTS!$A$2:$F$4,3,FALSE)+H1091*VLOOKUP(E1091,WEIGHTS!$A$2:$F$4,4,FALSE)+I1091*VLOOKUP(E1091,WEIGHTS!$A$2:$F$4,5,FALSE)+J1091*VLOOKUP(E1091,WEIGHTS!$A$2:$F$4,6,FALSE))</f>
        <v/>
      </c>
      <c r="N1091" s="2" t="str">
        <f t="shared" si="4"/>
        <v/>
      </c>
    </row>
    <row r="1092" ht="15.75" customHeight="1">
      <c r="A1092" s="3"/>
      <c r="B1092" s="2" t="str">
        <f t="shared" si="1"/>
        <v/>
      </c>
      <c r="E1092" s="2"/>
      <c r="F1092" s="2"/>
      <c r="G1092" s="2"/>
      <c r="H1092" s="2"/>
      <c r="I1092" s="2"/>
      <c r="J1092" s="2"/>
      <c r="K1092" s="2" t="str">
        <f t="shared" si="2"/>
        <v/>
      </c>
      <c r="L1092" s="2" t="str">
        <f t="shared" si="3"/>
        <v>No</v>
      </c>
      <c r="M1092" s="2" t="str">
        <f>IF(K1092="","",F1092*VLOOKUP(E1092,WEIGHTS!$A$2:$F$4,2,FALSE)+G1092*VLOOKUP(E1092,WEIGHTS!$A$2:$F$4,3,FALSE)+H1092*VLOOKUP(E1092,WEIGHTS!$A$2:$F$4,4,FALSE)+I1092*VLOOKUP(E1092,WEIGHTS!$A$2:$F$4,5,FALSE)+J1092*VLOOKUP(E1092,WEIGHTS!$A$2:$F$4,6,FALSE))</f>
        <v/>
      </c>
      <c r="N1092" s="2" t="str">
        <f t="shared" si="4"/>
        <v/>
      </c>
    </row>
    <row r="1093" ht="15.75" customHeight="1">
      <c r="A1093" s="3"/>
      <c r="B1093" s="2" t="str">
        <f t="shared" si="1"/>
        <v/>
      </c>
      <c r="E1093" s="2"/>
      <c r="F1093" s="2"/>
      <c r="G1093" s="2"/>
      <c r="H1093" s="2"/>
      <c r="I1093" s="2"/>
      <c r="J1093" s="2"/>
      <c r="K1093" s="2" t="str">
        <f t="shared" si="2"/>
        <v/>
      </c>
      <c r="L1093" s="2" t="str">
        <f t="shared" si="3"/>
        <v>No</v>
      </c>
      <c r="M1093" s="2" t="str">
        <f>IF(K1093="","",F1093*VLOOKUP(E1093,WEIGHTS!$A$2:$F$4,2,FALSE)+G1093*VLOOKUP(E1093,WEIGHTS!$A$2:$F$4,3,FALSE)+H1093*VLOOKUP(E1093,WEIGHTS!$A$2:$F$4,4,FALSE)+I1093*VLOOKUP(E1093,WEIGHTS!$A$2:$F$4,5,FALSE)+J1093*VLOOKUP(E1093,WEIGHTS!$A$2:$F$4,6,FALSE))</f>
        <v/>
      </c>
      <c r="N1093" s="2" t="str">
        <f t="shared" si="4"/>
        <v/>
      </c>
    </row>
    <row r="1094" ht="15.75" customHeight="1">
      <c r="A1094" s="3"/>
      <c r="B1094" s="2" t="str">
        <f t="shared" si="1"/>
        <v/>
      </c>
      <c r="E1094" s="2"/>
      <c r="F1094" s="2"/>
      <c r="G1094" s="2"/>
      <c r="H1094" s="2"/>
      <c r="I1094" s="2"/>
      <c r="J1094" s="2"/>
      <c r="K1094" s="2" t="str">
        <f t="shared" si="2"/>
        <v/>
      </c>
      <c r="L1094" s="2" t="str">
        <f t="shared" si="3"/>
        <v>No</v>
      </c>
      <c r="M1094" s="2" t="str">
        <f>IF(K1094="","",F1094*VLOOKUP(E1094,WEIGHTS!$A$2:$F$4,2,FALSE)+G1094*VLOOKUP(E1094,WEIGHTS!$A$2:$F$4,3,FALSE)+H1094*VLOOKUP(E1094,WEIGHTS!$A$2:$F$4,4,FALSE)+I1094*VLOOKUP(E1094,WEIGHTS!$A$2:$F$4,5,FALSE)+J1094*VLOOKUP(E1094,WEIGHTS!$A$2:$F$4,6,FALSE))</f>
        <v/>
      </c>
      <c r="N1094" s="2" t="str">
        <f t="shared" si="4"/>
        <v/>
      </c>
    </row>
    <row r="1095" ht="15.75" customHeight="1">
      <c r="A1095" s="3"/>
      <c r="B1095" s="2" t="str">
        <f t="shared" si="1"/>
        <v/>
      </c>
      <c r="E1095" s="2"/>
      <c r="F1095" s="2"/>
      <c r="G1095" s="2"/>
      <c r="H1095" s="2"/>
      <c r="I1095" s="2"/>
      <c r="J1095" s="2"/>
      <c r="K1095" s="2" t="str">
        <f t="shared" si="2"/>
        <v/>
      </c>
      <c r="L1095" s="2" t="str">
        <f t="shared" si="3"/>
        <v>No</v>
      </c>
      <c r="M1095" s="2" t="str">
        <f>IF(K1095="","",F1095*VLOOKUP(E1095,WEIGHTS!$A$2:$F$4,2,FALSE)+G1095*VLOOKUP(E1095,WEIGHTS!$A$2:$F$4,3,FALSE)+H1095*VLOOKUP(E1095,WEIGHTS!$A$2:$F$4,4,FALSE)+I1095*VLOOKUP(E1095,WEIGHTS!$A$2:$F$4,5,FALSE)+J1095*VLOOKUP(E1095,WEIGHTS!$A$2:$F$4,6,FALSE))</f>
        <v/>
      </c>
      <c r="N1095" s="2" t="str">
        <f t="shared" si="4"/>
        <v/>
      </c>
    </row>
    <row r="1096" ht="15.75" customHeight="1">
      <c r="A1096" s="3"/>
      <c r="B1096" s="2" t="str">
        <f t="shared" si="1"/>
        <v/>
      </c>
      <c r="E1096" s="2"/>
      <c r="F1096" s="2"/>
      <c r="G1096" s="2"/>
      <c r="H1096" s="2"/>
      <c r="I1096" s="2"/>
      <c r="J1096" s="2"/>
      <c r="K1096" s="2" t="str">
        <f t="shared" si="2"/>
        <v/>
      </c>
      <c r="L1096" s="2" t="str">
        <f t="shared" si="3"/>
        <v>No</v>
      </c>
      <c r="M1096" s="2" t="str">
        <f>IF(K1096="","",F1096*VLOOKUP(E1096,WEIGHTS!$A$2:$F$4,2,FALSE)+G1096*VLOOKUP(E1096,WEIGHTS!$A$2:$F$4,3,FALSE)+H1096*VLOOKUP(E1096,WEIGHTS!$A$2:$F$4,4,FALSE)+I1096*VLOOKUP(E1096,WEIGHTS!$A$2:$F$4,5,FALSE)+J1096*VLOOKUP(E1096,WEIGHTS!$A$2:$F$4,6,FALSE))</f>
        <v/>
      </c>
      <c r="N1096" s="2" t="str">
        <f t="shared" si="4"/>
        <v/>
      </c>
    </row>
    <row r="1097" ht="15.75" customHeight="1">
      <c r="A1097" s="3"/>
      <c r="B1097" s="2" t="str">
        <f t="shared" si="1"/>
        <v/>
      </c>
      <c r="E1097" s="2"/>
      <c r="F1097" s="2"/>
      <c r="G1097" s="2"/>
      <c r="H1097" s="2"/>
      <c r="I1097" s="2"/>
      <c r="J1097" s="2"/>
      <c r="K1097" s="2" t="str">
        <f t="shared" si="2"/>
        <v/>
      </c>
      <c r="L1097" s="2" t="str">
        <f t="shared" si="3"/>
        <v>No</v>
      </c>
      <c r="M1097" s="2" t="str">
        <f>IF(K1097="","",F1097*VLOOKUP(E1097,WEIGHTS!$A$2:$F$4,2,FALSE)+G1097*VLOOKUP(E1097,WEIGHTS!$A$2:$F$4,3,FALSE)+H1097*VLOOKUP(E1097,WEIGHTS!$A$2:$F$4,4,FALSE)+I1097*VLOOKUP(E1097,WEIGHTS!$A$2:$F$4,5,FALSE)+J1097*VLOOKUP(E1097,WEIGHTS!$A$2:$F$4,6,FALSE))</f>
        <v/>
      </c>
      <c r="N1097" s="2" t="str">
        <f t="shared" si="4"/>
        <v/>
      </c>
    </row>
    <row r="1098" ht="15.75" customHeight="1">
      <c r="A1098" s="3"/>
      <c r="B1098" s="2" t="str">
        <f t="shared" si="1"/>
        <v/>
      </c>
      <c r="E1098" s="2"/>
      <c r="F1098" s="2"/>
      <c r="G1098" s="2"/>
      <c r="H1098" s="2"/>
      <c r="I1098" s="2"/>
      <c r="J1098" s="2"/>
      <c r="K1098" s="2" t="str">
        <f t="shared" si="2"/>
        <v/>
      </c>
      <c r="L1098" s="2" t="str">
        <f t="shared" si="3"/>
        <v>No</v>
      </c>
      <c r="M1098" s="2" t="str">
        <f>IF(K1098="","",F1098*VLOOKUP(E1098,WEIGHTS!$A$2:$F$4,2,FALSE)+G1098*VLOOKUP(E1098,WEIGHTS!$A$2:$F$4,3,FALSE)+H1098*VLOOKUP(E1098,WEIGHTS!$A$2:$F$4,4,FALSE)+I1098*VLOOKUP(E1098,WEIGHTS!$A$2:$F$4,5,FALSE)+J1098*VLOOKUP(E1098,WEIGHTS!$A$2:$F$4,6,FALSE))</f>
        <v/>
      </c>
      <c r="N1098" s="2" t="str">
        <f t="shared" si="4"/>
        <v/>
      </c>
    </row>
    <row r="1099" ht="15.75" customHeight="1">
      <c r="A1099" s="3"/>
      <c r="B1099" s="2" t="str">
        <f t="shared" si="1"/>
        <v/>
      </c>
      <c r="E1099" s="2"/>
      <c r="F1099" s="2"/>
      <c r="G1099" s="2"/>
      <c r="H1099" s="2"/>
      <c r="I1099" s="2"/>
      <c r="J1099" s="2"/>
      <c r="K1099" s="2" t="str">
        <f t="shared" si="2"/>
        <v/>
      </c>
      <c r="L1099" s="2" t="str">
        <f t="shared" si="3"/>
        <v>No</v>
      </c>
      <c r="M1099" s="2" t="str">
        <f>IF(K1099="","",F1099*VLOOKUP(E1099,WEIGHTS!$A$2:$F$4,2,FALSE)+G1099*VLOOKUP(E1099,WEIGHTS!$A$2:$F$4,3,FALSE)+H1099*VLOOKUP(E1099,WEIGHTS!$A$2:$F$4,4,FALSE)+I1099*VLOOKUP(E1099,WEIGHTS!$A$2:$F$4,5,FALSE)+J1099*VLOOKUP(E1099,WEIGHTS!$A$2:$F$4,6,FALSE))</f>
        <v/>
      </c>
      <c r="N1099" s="2" t="str">
        <f t="shared" si="4"/>
        <v/>
      </c>
    </row>
    <row r="1100" ht="15.75" customHeight="1">
      <c r="A1100" s="3"/>
      <c r="B1100" s="2" t="str">
        <f t="shared" si="1"/>
        <v/>
      </c>
      <c r="E1100" s="2"/>
      <c r="F1100" s="2"/>
      <c r="G1100" s="2"/>
      <c r="H1100" s="2"/>
      <c r="I1100" s="2"/>
      <c r="J1100" s="2"/>
      <c r="K1100" s="2" t="str">
        <f t="shared" si="2"/>
        <v/>
      </c>
      <c r="L1100" s="2" t="str">
        <f t="shared" si="3"/>
        <v>No</v>
      </c>
      <c r="M1100" s="2" t="str">
        <f>IF(K1100="","",F1100*VLOOKUP(E1100,WEIGHTS!$A$2:$F$4,2,FALSE)+G1100*VLOOKUP(E1100,WEIGHTS!$A$2:$F$4,3,FALSE)+H1100*VLOOKUP(E1100,WEIGHTS!$A$2:$F$4,4,FALSE)+I1100*VLOOKUP(E1100,WEIGHTS!$A$2:$F$4,5,FALSE)+J1100*VLOOKUP(E1100,WEIGHTS!$A$2:$F$4,6,FALSE))</f>
        <v/>
      </c>
      <c r="N1100" s="2" t="str">
        <f t="shared" si="4"/>
        <v/>
      </c>
    </row>
    <row r="1101" ht="15.75" customHeight="1">
      <c r="A1101" s="3"/>
      <c r="B1101" s="2" t="str">
        <f t="shared" si="1"/>
        <v/>
      </c>
      <c r="E1101" s="2"/>
      <c r="F1101" s="2"/>
      <c r="G1101" s="2"/>
      <c r="H1101" s="2"/>
      <c r="I1101" s="2"/>
      <c r="J1101" s="2"/>
      <c r="K1101" s="2" t="str">
        <f t="shared" si="2"/>
        <v/>
      </c>
      <c r="L1101" s="2" t="str">
        <f t="shared" si="3"/>
        <v>No</v>
      </c>
      <c r="M1101" s="2" t="str">
        <f>IF(K1101="","",F1101*VLOOKUP(E1101,WEIGHTS!$A$2:$F$4,2,FALSE)+G1101*VLOOKUP(E1101,WEIGHTS!$A$2:$F$4,3,FALSE)+H1101*VLOOKUP(E1101,WEIGHTS!$A$2:$F$4,4,FALSE)+I1101*VLOOKUP(E1101,WEIGHTS!$A$2:$F$4,5,FALSE)+J1101*VLOOKUP(E1101,WEIGHTS!$A$2:$F$4,6,FALSE))</f>
        <v/>
      </c>
      <c r="N1101" s="2" t="str">
        <f t="shared" si="4"/>
        <v/>
      </c>
    </row>
    <row r="1102" ht="15.75" customHeight="1">
      <c r="A1102" s="3"/>
      <c r="B1102" s="2" t="str">
        <f t="shared" si="1"/>
        <v/>
      </c>
      <c r="E1102" s="2"/>
      <c r="F1102" s="2"/>
      <c r="G1102" s="2"/>
      <c r="H1102" s="2"/>
      <c r="I1102" s="2"/>
      <c r="J1102" s="2"/>
      <c r="K1102" s="2" t="str">
        <f t="shared" si="2"/>
        <v/>
      </c>
      <c r="L1102" s="2" t="str">
        <f t="shared" si="3"/>
        <v>No</v>
      </c>
      <c r="M1102" s="2" t="str">
        <f>IF(K1102="","",F1102*VLOOKUP(E1102,WEIGHTS!$A$2:$F$4,2,FALSE)+G1102*VLOOKUP(E1102,WEIGHTS!$A$2:$F$4,3,FALSE)+H1102*VLOOKUP(E1102,WEIGHTS!$A$2:$F$4,4,FALSE)+I1102*VLOOKUP(E1102,WEIGHTS!$A$2:$F$4,5,FALSE)+J1102*VLOOKUP(E1102,WEIGHTS!$A$2:$F$4,6,FALSE))</f>
        <v/>
      </c>
      <c r="N1102" s="2" t="str">
        <f t="shared" si="4"/>
        <v/>
      </c>
    </row>
    <row r="1103" ht="15.75" customHeight="1">
      <c r="A1103" s="3"/>
      <c r="B1103" s="2" t="str">
        <f t="shared" si="1"/>
        <v/>
      </c>
      <c r="E1103" s="2"/>
      <c r="F1103" s="2"/>
      <c r="G1103" s="2"/>
      <c r="H1103" s="2"/>
      <c r="I1103" s="2"/>
      <c r="J1103" s="2"/>
      <c r="K1103" s="2" t="str">
        <f t="shared" si="2"/>
        <v/>
      </c>
      <c r="L1103" s="2" t="str">
        <f t="shared" si="3"/>
        <v>No</v>
      </c>
      <c r="M1103" s="2" t="str">
        <f>IF(K1103="","",F1103*VLOOKUP(E1103,WEIGHTS!$A$2:$F$4,2,FALSE)+G1103*VLOOKUP(E1103,WEIGHTS!$A$2:$F$4,3,FALSE)+H1103*VLOOKUP(E1103,WEIGHTS!$A$2:$F$4,4,FALSE)+I1103*VLOOKUP(E1103,WEIGHTS!$A$2:$F$4,5,FALSE)+J1103*VLOOKUP(E1103,WEIGHTS!$A$2:$F$4,6,FALSE))</f>
        <v/>
      </c>
      <c r="N1103" s="2" t="str">
        <f t="shared" si="4"/>
        <v/>
      </c>
    </row>
    <row r="1104" ht="15.75" customHeight="1">
      <c r="A1104" s="3"/>
      <c r="B1104" s="2" t="str">
        <f t="shared" si="1"/>
        <v/>
      </c>
      <c r="E1104" s="2"/>
      <c r="F1104" s="2"/>
      <c r="G1104" s="2"/>
      <c r="H1104" s="2"/>
      <c r="I1104" s="2"/>
      <c r="J1104" s="2"/>
      <c r="K1104" s="2" t="str">
        <f t="shared" si="2"/>
        <v/>
      </c>
      <c r="L1104" s="2" t="str">
        <f t="shared" si="3"/>
        <v>No</v>
      </c>
      <c r="M1104" s="2" t="str">
        <f>IF(K1104="","",F1104*VLOOKUP(E1104,WEIGHTS!$A$2:$F$4,2,FALSE)+G1104*VLOOKUP(E1104,WEIGHTS!$A$2:$F$4,3,FALSE)+H1104*VLOOKUP(E1104,WEIGHTS!$A$2:$F$4,4,FALSE)+I1104*VLOOKUP(E1104,WEIGHTS!$A$2:$F$4,5,FALSE)+J1104*VLOOKUP(E1104,WEIGHTS!$A$2:$F$4,6,FALSE))</f>
        <v/>
      </c>
      <c r="N1104" s="2" t="str">
        <f t="shared" si="4"/>
        <v/>
      </c>
    </row>
    <row r="1105" ht="15.75" customHeight="1">
      <c r="A1105" s="3"/>
      <c r="B1105" s="2" t="str">
        <f t="shared" si="1"/>
        <v/>
      </c>
      <c r="E1105" s="2"/>
      <c r="F1105" s="2"/>
      <c r="G1105" s="2"/>
      <c r="H1105" s="2"/>
      <c r="I1105" s="2"/>
      <c r="J1105" s="2"/>
      <c r="K1105" s="2" t="str">
        <f t="shared" si="2"/>
        <v/>
      </c>
      <c r="L1105" s="2" t="str">
        <f t="shared" si="3"/>
        <v>No</v>
      </c>
      <c r="M1105" s="2" t="str">
        <f>IF(K1105="","",F1105*VLOOKUP(E1105,WEIGHTS!$A$2:$F$4,2,FALSE)+G1105*VLOOKUP(E1105,WEIGHTS!$A$2:$F$4,3,FALSE)+H1105*VLOOKUP(E1105,WEIGHTS!$A$2:$F$4,4,FALSE)+I1105*VLOOKUP(E1105,WEIGHTS!$A$2:$F$4,5,FALSE)+J1105*VLOOKUP(E1105,WEIGHTS!$A$2:$F$4,6,FALSE))</f>
        <v/>
      </c>
      <c r="N1105" s="2" t="str">
        <f t="shared" si="4"/>
        <v/>
      </c>
    </row>
    <row r="1106" ht="15.75" customHeight="1">
      <c r="A1106" s="3"/>
      <c r="B1106" s="2" t="str">
        <f t="shared" si="1"/>
        <v/>
      </c>
      <c r="E1106" s="2"/>
      <c r="F1106" s="2"/>
      <c r="G1106" s="2"/>
      <c r="H1106" s="2"/>
      <c r="I1106" s="2"/>
      <c r="J1106" s="2"/>
      <c r="K1106" s="2" t="str">
        <f t="shared" si="2"/>
        <v/>
      </c>
      <c r="L1106" s="2" t="str">
        <f t="shared" si="3"/>
        <v>No</v>
      </c>
      <c r="M1106" s="2" t="str">
        <f>IF(K1106="","",F1106*VLOOKUP(E1106,WEIGHTS!$A$2:$F$4,2,FALSE)+G1106*VLOOKUP(E1106,WEIGHTS!$A$2:$F$4,3,FALSE)+H1106*VLOOKUP(E1106,WEIGHTS!$A$2:$F$4,4,FALSE)+I1106*VLOOKUP(E1106,WEIGHTS!$A$2:$F$4,5,FALSE)+J1106*VLOOKUP(E1106,WEIGHTS!$A$2:$F$4,6,FALSE))</f>
        <v/>
      </c>
      <c r="N1106" s="2" t="str">
        <f t="shared" si="4"/>
        <v/>
      </c>
    </row>
    <row r="1107" ht="15.75" customHeight="1">
      <c r="A1107" s="3"/>
      <c r="B1107" s="2" t="str">
        <f t="shared" si="1"/>
        <v/>
      </c>
      <c r="E1107" s="2"/>
      <c r="F1107" s="2"/>
      <c r="G1107" s="2"/>
      <c r="H1107" s="2"/>
      <c r="I1107" s="2"/>
      <c r="J1107" s="2"/>
      <c r="K1107" s="2" t="str">
        <f t="shared" si="2"/>
        <v/>
      </c>
      <c r="L1107" s="2" t="str">
        <f t="shared" si="3"/>
        <v>No</v>
      </c>
      <c r="M1107" s="2" t="str">
        <f>IF(K1107="","",F1107*VLOOKUP(E1107,WEIGHTS!$A$2:$F$4,2,FALSE)+G1107*VLOOKUP(E1107,WEIGHTS!$A$2:$F$4,3,FALSE)+H1107*VLOOKUP(E1107,WEIGHTS!$A$2:$F$4,4,FALSE)+I1107*VLOOKUP(E1107,WEIGHTS!$A$2:$F$4,5,FALSE)+J1107*VLOOKUP(E1107,WEIGHTS!$A$2:$F$4,6,FALSE))</f>
        <v/>
      </c>
      <c r="N1107" s="2" t="str">
        <f t="shared" si="4"/>
        <v/>
      </c>
    </row>
    <row r="1108" ht="15.75" customHeight="1">
      <c r="A1108" s="3"/>
      <c r="B1108" s="2" t="str">
        <f t="shared" si="1"/>
        <v/>
      </c>
      <c r="E1108" s="2"/>
      <c r="F1108" s="2"/>
      <c r="G1108" s="2"/>
      <c r="H1108" s="2"/>
      <c r="I1108" s="2"/>
      <c r="J1108" s="2"/>
      <c r="K1108" s="2" t="str">
        <f t="shared" si="2"/>
        <v/>
      </c>
      <c r="L1108" s="2" t="str">
        <f t="shared" si="3"/>
        <v>No</v>
      </c>
      <c r="M1108" s="2" t="str">
        <f>IF(K1108="","",F1108*VLOOKUP(E1108,WEIGHTS!$A$2:$F$4,2,FALSE)+G1108*VLOOKUP(E1108,WEIGHTS!$A$2:$F$4,3,FALSE)+H1108*VLOOKUP(E1108,WEIGHTS!$A$2:$F$4,4,FALSE)+I1108*VLOOKUP(E1108,WEIGHTS!$A$2:$F$4,5,FALSE)+J1108*VLOOKUP(E1108,WEIGHTS!$A$2:$F$4,6,FALSE))</f>
        <v/>
      </c>
      <c r="N1108" s="2" t="str">
        <f t="shared" si="4"/>
        <v/>
      </c>
    </row>
    <row r="1109" ht="15.75" customHeight="1">
      <c r="A1109" s="3"/>
      <c r="B1109" s="2" t="str">
        <f t="shared" si="1"/>
        <v/>
      </c>
      <c r="E1109" s="2"/>
      <c r="F1109" s="2"/>
      <c r="G1109" s="2"/>
      <c r="H1109" s="2"/>
      <c r="I1109" s="2"/>
      <c r="J1109" s="2"/>
      <c r="K1109" s="2" t="str">
        <f t="shared" si="2"/>
        <v/>
      </c>
      <c r="L1109" s="2" t="str">
        <f t="shared" si="3"/>
        <v>No</v>
      </c>
      <c r="M1109" s="2" t="str">
        <f>IF(K1109="","",F1109*VLOOKUP(E1109,WEIGHTS!$A$2:$F$4,2,FALSE)+G1109*VLOOKUP(E1109,WEIGHTS!$A$2:$F$4,3,FALSE)+H1109*VLOOKUP(E1109,WEIGHTS!$A$2:$F$4,4,FALSE)+I1109*VLOOKUP(E1109,WEIGHTS!$A$2:$F$4,5,FALSE)+J1109*VLOOKUP(E1109,WEIGHTS!$A$2:$F$4,6,FALSE))</f>
        <v/>
      </c>
      <c r="N1109" s="2" t="str">
        <f t="shared" si="4"/>
        <v/>
      </c>
    </row>
    <row r="1110" ht="15.75" customHeight="1">
      <c r="A1110" s="3"/>
      <c r="B1110" s="2" t="str">
        <f t="shared" si="1"/>
        <v/>
      </c>
      <c r="E1110" s="2"/>
      <c r="F1110" s="2"/>
      <c r="G1110" s="2"/>
      <c r="H1110" s="2"/>
      <c r="I1110" s="2"/>
      <c r="J1110" s="2"/>
      <c r="K1110" s="2" t="str">
        <f t="shared" si="2"/>
        <v/>
      </c>
      <c r="L1110" s="2" t="str">
        <f t="shared" si="3"/>
        <v>No</v>
      </c>
      <c r="M1110" s="2" t="str">
        <f>IF(K1110="","",F1110*VLOOKUP(E1110,WEIGHTS!$A$2:$F$4,2,FALSE)+G1110*VLOOKUP(E1110,WEIGHTS!$A$2:$F$4,3,FALSE)+H1110*VLOOKUP(E1110,WEIGHTS!$A$2:$F$4,4,FALSE)+I1110*VLOOKUP(E1110,WEIGHTS!$A$2:$F$4,5,FALSE)+J1110*VLOOKUP(E1110,WEIGHTS!$A$2:$F$4,6,FALSE))</f>
        <v/>
      </c>
      <c r="N1110" s="2" t="str">
        <f t="shared" si="4"/>
        <v/>
      </c>
    </row>
    <row r="1111" ht="15.75" customHeight="1">
      <c r="A1111" s="3"/>
      <c r="B1111" s="2" t="str">
        <f t="shared" si="1"/>
        <v/>
      </c>
      <c r="E1111" s="2"/>
      <c r="F1111" s="2"/>
      <c r="G1111" s="2"/>
      <c r="H1111" s="2"/>
      <c r="I1111" s="2"/>
      <c r="J1111" s="2"/>
      <c r="K1111" s="2" t="str">
        <f t="shared" si="2"/>
        <v/>
      </c>
      <c r="L1111" s="2" t="str">
        <f t="shared" si="3"/>
        <v>No</v>
      </c>
      <c r="M1111" s="2" t="str">
        <f>IF(K1111="","",F1111*VLOOKUP(E1111,WEIGHTS!$A$2:$F$4,2,FALSE)+G1111*VLOOKUP(E1111,WEIGHTS!$A$2:$F$4,3,FALSE)+H1111*VLOOKUP(E1111,WEIGHTS!$A$2:$F$4,4,FALSE)+I1111*VLOOKUP(E1111,WEIGHTS!$A$2:$F$4,5,FALSE)+J1111*VLOOKUP(E1111,WEIGHTS!$A$2:$F$4,6,FALSE))</f>
        <v/>
      </c>
      <c r="N1111" s="2" t="str">
        <f t="shared" si="4"/>
        <v/>
      </c>
    </row>
    <row r="1112" ht="15.75" customHeight="1">
      <c r="A1112" s="3"/>
      <c r="B1112" s="2" t="str">
        <f t="shared" si="1"/>
        <v/>
      </c>
      <c r="E1112" s="2"/>
      <c r="F1112" s="2"/>
      <c r="G1112" s="2"/>
      <c r="H1112" s="2"/>
      <c r="I1112" s="2"/>
      <c r="J1112" s="2"/>
      <c r="K1112" s="2" t="str">
        <f t="shared" si="2"/>
        <v/>
      </c>
      <c r="L1112" s="2" t="str">
        <f t="shared" si="3"/>
        <v>No</v>
      </c>
      <c r="M1112" s="2" t="str">
        <f>IF(K1112="","",F1112*VLOOKUP(E1112,WEIGHTS!$A$2:$F$4,2,FALSE)+G1112*VLOOKUP(E1112,WEIGHTS!$A$2:$F$4,3,FALSE)+H1112*VLOOKUP(E1112,WEIGHTS!$A$2:$F$4,4,FALSE)+I1112*VLOOKUP(E1112,WEIGHTS!$A$2:$F$4,5,FALSE)+J1112*VLOOKUP(E1112,WEIGHTS!$A$2:$F$4,6,FALSE))</f>
        <v/>
      </c>
      <c r="N1112" s="2" t="str">
        <f t="shared" si="4"/>
        <v/>
      </c>
    </row>
    <row r="1113" ht="15.75" customHeight="1">
      <c r="A1113" s="3"/>
      <c r="B1113" s="2" t="str">
        <f t="shared" si="1"/>
        <v/>
      </c>
      <c r="E1113" s="2"/>
      <c r="F1113" s="2"/>
      <c r="G1113" s="2"/>
      <c r="H1113" s="2"/>
      <c r="I1113" s="2"/>
      <c r="J1113" s="2"/>
      <c r="K1113" s="2" t="str">
        <f t="shared" si="2"/>
        <v/>
      </c>
      <c r="L1113" s="2" t="str">
        <f t="shared" si="3"/>
        <v>No</v>
      </c>
      <c r="M1113" s="2" t="str">
        <f>IF(K1113="","",F1113*VLOOKUP(E1113,WEIGHTS!$A$2:$F$4,2,FALSE)+G1113*VLOOKUP(E1113,WEIGHTS!$A$2:$F$4,3,FALSE)+H1113*VLOOKUP(E1113,WEIGHTS!$A$2:$F$4,4,FALSE)+I1113*VLOOKUP(E1113,WEIGHTS!$A$2:$F$4,5,FALSE)+J1113*VLOOKUP(E1113,WEIGHTS!$A$2:$F$4,6,FALSE))</f>
        <v/>
      </c>
      <c r="N1113" s="2" t="str">
        <f t="shared" si="4"/>
        <v/>
      </c>
    </row>
    <row r="1114" ht="15.75" customHeight="1">
      <c r="A1114" s="3"/>
      <c r="B1114" s="2" t="str">
        <f t="shared" si="1"/>
        <v/>
      </c>
      <c r="E1114" s="2"/>
      <c r="F1114" s="2"/>
      <c r="G1114" s="2"/>
      <c r="H1114" s="2"/>
      <c r="I1114" s="2"/>
      <c r="J1114" s="2"/>
      <c r="K1114" s="2" t="str">
        <f t="shared" si="2"/>
        <v/>
      </c>
      <c r="L1114" s="2" t="str">
        <f t="shared" si="3"/>
        <v>No</v>
      </c>
      <c r="M1114" s="2" t="str">
        <f>IF(K1114="","",F1114*VLOOKUP(E1114,WEIGHTS!$A$2:$F$4,2,FALSE)+G1114*VLOOKUP(E1114,WEIGHTS!$A$2:$F$4,3,FALSE)+H1114*VLOOKUP(E1114,WEIGHTS!$A$2:$F$4,4,FALSE)+I1114*VLOOKUP(E1114,WEIGHTS!$A$2:$F$4,5,FALSE)+J1114*VLOOKUP(E1114,WEIGHTS!$A$2:$F$4,6,FALSE))</f>
        <v/>
      </c>
      <c r="N1114" s="2" t="str">
        <f t="shared" si="4"/>
        <v/>
      </c>
    </row>
    <row r="1115" ht="15.75" customHeight="1">
      <c r="A1115" s="3"/>
      <c r="B1115" s="2" t="str">
        <f t="shared" si="1"/>
        <v/>
      </c>
      <c r="E1115" s="2"/>
      <c r="F1115" s="2"/>
      <c r="G1115" s="2"/>
      <c r="H1115" s="2"/>
      <c r="I1115" s="2"/>
      <c r="J1115" s="2"/>
      <c r="K1115" s="2" t="str">
        <f t="shared" si="2"/>
        <v/>
      </c>
      <c r="L1115" s="2" t="str">
        <f t="shared" si="3"/>
        <v>No</v>
      </c>
      <c r="M1115" s="2" t="str">
        <f>IF(K1115="","",F1115*VLOOKUP(E1115,WEIGHTS!$A$2:$F$4,2,FALSE)+G1115*VLOOKUP(E1115,WEIGHTS!$A$2:$F$4,3,FALSE)+H1115*VLOOKUP(E1115,WEIGHTS!$A$2:$F$4,4,FALSE)+I1115*VLOOKUP(E1115,WEIGHTS!$A$2:$F$4,5,FALSE)+J1115*VLOOKUP(E1115,WEIGHTS!$A$2:$F$4,6,FALSE))</f>
        <v/>
      </c>
      <c r="N1115" s="2" t="str">
        <f t="shared" si="4"/>
        <v/>
      </c>
    </row>
    <row r="1116" ht="15.75" customHeight="1">
      <c r="A1116" s="3"/>
      <c r="B1116" s="2" t="str">
        <f t="shared" si="1"/>
        <v/>
      </c>
      <c r="E1116" s="2"/>
      <c r="F1116" s="2"/>
      <c r="G1116" s="2"/>
      <c r="H1116" s="2"/>
      <c r="I1116" s="2"/>
      <c r="J1116" s="2"/>
      <c r="K1116" s="2" t="str">
        <f t="shared" si="2"/>
        <v/>
      </c>
      <c r="L1116" s="2" t="str">
        <f t="shared" si="3"/>
        <v>No</v>
      </c>
      <c r="M1116" s="2" t="str">
        <f>IF(K1116="","",F1116*VLOOKUP(E1116,WEIGHTS!$A$2:$F$4,2,FALSE)+G1116*VLOOKUP(E1116,WEIGHTS!$A$2:$F$4,3,FALSE)+H1116*VLOOKUP(E1116,WEIGHTS!$A$2:$F$4,4,FALSE)+I1116*VLOOKUP(E1116,WEIGHTS!$A$2:$F$4,5,FALSE)+J1116*VLOOKUP(E1116,WEIGHTS!$A$2:$F$4,6,FALSE))</f>
        <v/>
      </c>
      <c r="N1116" s="2" t="str">
        <f t="shared" si="4"/>
        <v/>
      </c>
    </row>
    <row r="1117" ht="15.75" customHeight="1">
      <c r="A1117" s="3"/>
      <c r="B1117" s="2" t="str">
        <f t="shared" si="1"/>
        <v/>
      </c>
      <c r="E1117" s="2"/>
      <c r="F1117" s="2"/>
      <c r="G1117" s="2"/>
      <c r="H1117" s="2"/>
      <c r="I1117" s="2"/>
      <c r="J1117" s="2"/>
      <c r="K1117" s="2" t="str">
        <f t="shared" si="2"/>
        <v/>
      </c>
      <c r="L1117" s="2" t="str">
        <f t="shared" si="3"/>
        <v>No</v>
      </c>
      <c r="M1117" s="2" t="str">
        <f>IF(K1117="","",F1117*VLOOKUP(E1117,WEIGHTS!$A$2:$F$4,2,FALSE)+G1117*VLOOKUP(E1117,WEIGHTS!$A$2:$F$4,3,FALSE)+H1117*VLOOKUP(E1117,WEIGHTS!$A$2:$F$4,4,FALSE)+I1117*VLOOKUP(E1117,WEIGHTS!$A$2:$F$4,5,FALSE)+J1117*VLOOKUP(E1117,WEIGHTS!$A$2:$F$4,6,FALSE))</f>
        <v/>
      </c>
      <c r="N1117" s="2" t="str">
        <f t="shared" si="4"/>
        <v/>
      </c>
    </row>
    <row r="1118" ht="15.75" customHeight="1">
      <c r="A1118" s="3"/>
      <c r="B1118" s="2" t="str">
        <f t="shared" si="1"/>
        <v/>
      </c>
      <c r="E1118" s="2"/>
      <c r="F1118" s="2"/>
      <c r="G1118" s="2"/>
      <c r="H1118" s="2"/>
      <c r="I1118" s="2"/>
      <c r="J1118" s="2"/>
      <c r="K1118" s="2" t="str">
        <f t="shared" si="2"/>
        <v/>
      </c>
      <c r="L1118" s="2" t="str">
        <f t="shared" si="3"/>
        <v>No</v>
      </c>
      <c r="M1118" s="2" t="str">
        <f>IF(K1118="","",F1118*VLOOKUP(E1118,WEIGHTS!$A$2:$F$4,2,FALSE)+G1118*VLOOKUP(E1118,WEIGHTS!$A$2:$F$4,3,FALSE)+H1118*VLOOKUP(E1118,WEIGHTS!$A$2:$F$4,4,FALSE)+I1118*VLOOKUP(E1118,WEIGHTS!$A$2:$F$4,5,FALSE)+J1118*VLOOKUP(E1118,WEIGHTS!$A$2:$F$4,6,FALSE))</f>
        <v/>
      </c>
      <c r="N1118" s="2" t="str">
        <f t="shared" si="4"/>
        <v/>
      </c>
    </row>
    <row r="1119" ht="15.75" customHeight="1">
      <c r="A1119" s="3"/>
      <c r="B1119" s="2" t="str">
        <f t="shared" si="1"/>
        <v/>
      </c>
      <c r="E1119" s="2"/>
      <c r="F1119" s="2"/>
      <c r="G1119" s="2"/>
      <c r="H1119" s="2"/>
      <c r="I1119" s="2"/>
      <c r="J1119" s="2"/>
      <c r="K1119" s="2" t="str">
        <f t="shared" si="2"/>
        <v/>
      </c>
      <c r="L1119" s="2" t="str">
        <f t="shared" si="3"/>
        <v>No</v>
      </c>
      <c r="M1119" s="2" t="str">
        <f>IF(K1119="","",F1119*VLOOKUP(E1119,WEIGHTS!$A$2:$F$4,2,FALSE)+G1119*VLOOKUP(E1119,WEIGHTS!$A$2:$F$4,3,FALSE)+H1119*VLOOKUP(E1119,WEIGHTS!$A$2:$F$4,4,FALSE)+I1119*VLOOKUP(E1119,WEIGHTS!$A$2:$F$4,5,FALSE)+J1119*VLOOKUP(E1119,WEIGHTS!$A$2:$F$4,6,FALSE))</f>
        <v/>
      </c>
      <c r="N1119" s="2" t="str">
        <f t="shared" si="4"/>
        <v/>
      </c>
    </row>
    <row r="1120" ht="15.75" customHeight="1">
      <c r="A1120" s="3"/>
      <c r="B1120" s="2" t="str">
        <f t="shared" si="1"/>
        <v/>
      </c>
      <c r="E1120" s="2"/>
      <c r="F1120" s="2"/>
      <c r="G1120" s="2"/>
      <c r="H1120" s="2"/>
      <c r="I1120" s="2"/>
      <c r="J1120" s="2"/>
      <c r="K1120" s="2" t="str">
        <f t="shared" si="2"/>
        <v/>
      </c>
      <c r="L1120" s="2" t="str">
        <f t="shared" si="3"/>
        <v>No</v>
      </c>
      <c r="M1120" s="2" t="str">
        <f>IF(K1120="","",F1120*VLOOKUP(E1120,WEIGHTS!$A$2:$F$4,2,FALSE)+G1120*VLOOKUP(E1120,WEIGHTS!$A$2:$F$4,3,FALSE)+H1120*VLOOKUP(E1120,WEIGHTS!$A$2:$F$4,4,FALSE)+I1120*VLOOKUP(E1120,WEIGHTS!$A$2:$F$4,5,FALSE)+J1120*VLOOKUP(E1120,WEIGHTS!$A$2:$F$4,6,FALSE))</f>
        <v/>
      </c>
      <c r="N1120" s="2" t="str">
        <f t="shared" si="4"/>
        <v/>
      </c>
    </row>
    <row r="1121" ht="15.75" customHeight="1">
      <c r="A1121" s="3"/>
      <c r="B1121" s="2" t="str">
        <f t="shared" si="1"/>
        <v/>
      </c>
      <c r="E1121" s="2"/>
      <c r="F1121" s="2"/>
      <c r="G1121" s="2"/>
      <c r="H1121" s="2"/>
      <c r="I1121" s="2"/>
      <c r="J1121" s="2"/>
      <c r="K1121" s="2" t="str">
        <f t="shared" si="2"/>
        <v/>
      </c>
      <c r="L1121" s="2" t="str">
        <f t="shared" si="3"/>
        <v>No</v>
      </c>
      <c r="M1121" s="2" t="str">
        <f>IF(K1121="","",F1121*VLOOKUP(E1121,WEIGHTS!$A$2:$F$4,2,FALSE)+G1121*VLOOKUP(E1121,WEIGHTS!$A$2:$F$4,3,FALSE)+H1121*VLOOKUP(E1121,WEIGHTS!$A$2:$F$4,4,FALSE)+I1121*VLOOKUP(E1121,WEIGHTS!$A$2:$F$4,5,FALSE)+J1121*VLOOKUP(E1121,WEIGHTS!$A$2:$F$4,6,FALSE))</f>
        <v/>
      </c>
      <c r="N1121" s="2" t="str">
        <f t="shared" si="4"/>
        <v/>
      </c>
    </row>
    <row r="1122" ht="15.75" customHeight="1">
      <c r="A1122" s="3"/>
      <c r="B1122" s="2" t="str">
        <f t="shared" si="1"/>
        <v/>
      </c>
      <c r="E1122" s="2"/>
      <c r="F1122" s="2"/>
      <c r="G1122" s="2"/>
      <c r="H1122" s="2"/>
      <c r="I1122" s="2"/>
      <c r="J1122" s="2"/>
      <c r="K1122" s="2" t="str">
        <f t="shared" si="2"/>
        <v/>
      </c>
      <c r="L1122" s="2" t="str">
        <f t="shared" si="3"/>
        <v>No</v>
      </c>
      <c r="M1122" s="2" t="str">
        <f>IF(K1122="","",F1122*VLOOKUP(E1122,WEIGHTS!$A$2:$F$4,2,FALSE)+G1122*VLOOKUP(E1122,WEIGHTS!$A$2:$F$4,3,FALSE)+H1122*VLOOKUP(E1122,WEIGHTS!$A$2:$F$4,4,FALSE)+I1122*VLOOKUP(E1122,WEIGHTS!$A$2:$F$4,5,FALSE)+J1122*VLOOKUP(E1122,WEIGHTS!$A$2:$F$4,6,FALSE))</f>
        <v/>
      </c>
      <c r="N1122" s="2" t="str">
        <f t="shared" si="4"/>
        <v/>
      </c>
    </row>
    <row r="1123" ht="15.75" customHeight="1">
      <c r="A1123" s="3"/>
      <c r="B1123" s="2" t="str">
        <f t="shared" si="1"/>
        <v/>
      </c>
      <c r="E1123" s="2"/>
      <c r="F1123" s="2"/>
      <c r="G1123" s="2"/>
      <c r="H1123" s="2"/>
      <c r="I1123" s="2"/>
      <c r="J1123" s="2"/>
      <c r="K1123" s="2" t="str">
        <f t="shared" si="2"/>
        <v/>
      </c>
      <c r="L1123" s="2" t="str">
        <f t="shared" si="3"/>
        <v>No</v>
      </c>
      <c r="M1123" s="2" t="str">
        <f>IF(K1123="","",F1123*VLOOKUP(E1123,WEIGHTS!$A$2:$F$4,2,FALSE)+G1123*VLOOKUP(E1123,WEIGHTS!$A$2:$F$4,3,FALSE)+H1123*VLOOKUP(E1123,WEIGHTS!$A$2:$F$4,4,FALSE)+I1123*VLOOKUP(E1123,WEIGHTS!$A$2:$F$4,5,FALSE)+J1123*VLOOKUP(E1123,WEIGHTS!$A$2:$F$4,6,FALSE))</f>
        <v/>
      </c>
      <c r="N1123" s="2" t="str">
        <f t="shared" si="4"/>
        <v/>
      </c>
    </row>
    <row r="1124" ht="15.75" customHeight="1">
      <c r="A1124" s="3"/>
      <c r="B1124" s="2" t="str">
        <f t="shared" si="1"/>
        <v/>
      </c>
      <c r="E1124" s="2"/>
      <c r="F1124" s="2"/>
      <c r="G1124" s="2"/>
      <c r="H1124" s="2"/>
      <c r="I1124" s="2"/>
      <c r="J1124" s="2"/>
      <c r="K1124" s="2" t="str">
        <f t="shared" si="2"/>
        <v/>
      </c>
      <c r="L1124" s="2" t="str">
        <f t="shared" si="3"/>
        <v>No</v>
      </c>
      <c r="M1124" s="2" t="str">
        <f>IF(K1124="","",F1124*VLOOKUP(E1124,WEIGHTS!$A$2:$F$4,2,FALSE)+G1124*VLOOKUP(E1124,WEIGHTS!$A$2:$F$4,3,FALSE)+H1124*VLOOKUP(E1124,WEIGHTS!$A$2:$F$4,4,FALSE)+I1124*VLOOKUP(E1124,WEIGHTS!$A$2:$F$4,5,FALSE)+J1124*VLOOKUP(E1124,WEIGHTS!$A$2:$F$4,6,FALSE))</f>
        <v/>
      </c>
      <c r="N1124" s="2" t="str">
        <f t="shared" si="4"/>
        <v/>
      </c>
    </row>
    <row r="1125" ht="15.75" customHeight="1">
      <c r="A1125" s="3"/>
      <c r="B1125" s="2" t="str">
        <f t="shared" si="1"/>
        <v/>
      </c>
      <c r="E1125" s="2"/>
      <c r="F1125" s="2"/>
      <c r="G1125" s="2"/>
      <c r="H1125" s="2"/>
      <c r="I1125" s="2"/>
      <c r="J1125" s="2"/>
      <c r="K1125" s="2" t="str">
        <f t="shared" si="2"/>
        <v/>
      </c>
      <c r="L1125" s="2" t="str">
        <f t="shared" si="3"/>
        <v>No</v>
      </c>
      <c r="M1125" s="2" t="str">
        <f>IF(K1125="","",F1125*VLOOKUP(E1125,WEIGHTS!$A$2:$F$4,2,FALSE)+G1125*VLOOKUP(E1125,WEIGHTS!$A$2:$F$4,3,FALSE)+H1125*VLOOKUP(E1125,WEIGHTS!$A$2:$F$4,4,FALSE)+I1125*VLOOKUP(E1125,WEIGHTS!$A$2:$F$4,5,FALSE)+J1125*VLOOKUP(E1125,WEIGHTS!$A$2:$F$4,6,FALSE))</f>
        <v/>
      </c>
      <c r="N1125" s="2" t="str">
        <f t="shared" si="4"/>
        <v/>
      </c>
    </row>
    <row r="1126" ht="15.75" customHeight="1">
      <c r="A1126" s="3"/>
      <c r="B1126" s="2" t="str">
        <f t="shared" si="1"/>
        <v/>
      </c>
      <c r="E1126" s="2"/>
      <c r="F1126" s="2"/>
      <c r="G1126" s="2"/>
      <c r="H1126" s="2"/>
      <c r="I1126" s="2"/>
      <c r="J1126" s="2"/>
      <c r="K1126" s="2" t="str">
        <f t="shared" si="2"/>
        <v/>
      </c>
      <c r="L1126" s="2" t="str">
        <f t="shared" si="3"/>
        <v>No</v>
      </c>
      <c r="M1126" s="2" t="str">
        <f>IF(K1126="","",F1126*VLOOKUP(E1126,WEIGHTS!$A$2:$F$4,2,FALSE)+G1126*VLOOKUP(E1126,WEIGHTS!$A$2:$F$4,3,FALSE)+H1126*VLOOKUP(E1126,WEIGHTS!$A$2:$F$4,4,FALSE)+I1126*VLOOKUP(E1126,WEIGHTS!$A$2:$F$4,5,FALSE)+J1126*VLOOKUP(E1126,WEIGHTS!$A$2:$F$4,6,FALSE))</f>
        <v/>
      </c>
      <c r="N1126" s="2" t="str">
        <f t="shared" si="4"/>
        <v/>
      </c>
    </row>
    <row r="1127" ht="15.75" customHeight="1">
      <c r="A1127" s="3"/>
      <c r="B1127" s="2" t="str">
        <f t="shared" si="1"/>
        <v/>
      </c>
      <c r="E1127" s="2"/>
      <c r="F1127" s="2"/>
      <c r="G1127" s="2"/>
      <c r="H1127" s="2"/>
      <c r="I1127" s="2"/>
      <c r="J1127" s="2"/>
      <c r="K1127" s="2" t="str">
        <f t="shared" si="2"/>
        <v/>
      </c>
      <c r="L1127" s="2" t="str">
        <f t="shared" si="3"/>
        <v>No</v>
      </c>
      <c r="M1127" s="2" t="str">
        <f>IF(K1127="","",F1127*VLOOKUP(E1127,WEIGHTS!$A$2:$F$4,2,FALSE)+G1127*VLOOKUP(E1127,WEIGHTS!$A$2:$F$4,3,FALSE)+H1127*VLOOKUP(E1127,WEIGHTS!$A$2:$F$4,4,FALSE)+I1127*VLOOKUP(E1127,WEIGHTS!$A$2:$F$4,5,FALSE)+J1127*VLOOKUP(E1127,WEIGHTS!$A$2:$F$4,6,FALSE))</f>
        <v/>
      </c>
      <c r="N1127" s="2" t="str">
        <f t="shared" si="4"/>
        <v/>
      </c>
    </row>
    <row r="1128" ht="15.75" customHeight="1">
      <c r="A1128" s="3"/>
      <c r="B1128" s="2" t="str">
        <f t="shared" si="1"/>
        <v/>
      </c>
      <c r="E1128" s="2"/>
      <c r="F1128" s="2"/>
      <c r="G1128" s="2"/>
      <c r="H1128" s="2"/>
      <c r="I1128" s="2"/>
      <c r="J1128" s="2"/>
      <c r="K1128" s="2" t="str">
        <f t="shared" si="2"/>
        <v/>
      </c>
      <c r="L1128" s="2" t="str">
        <f t="shared" si="3"/>
        <v>No</v>
      </c>
      <c r="M1128" s="2" t="str">
        <f>IF(K1128="","",F1128*VLOOKUP(E1128,WEIGHTS!$A$2:$F$4,2,FALSE)+G1128*VLOOKUP(E1128,WEIGHTS!$A$2:$F$4,3,FALSE)+H1128*VLOOKUP(E1128,WEIGHTS!$A$2:$F$4,4,FALSE)+I1128*VLOOKUP(E1128,WEIGHTS!$A$2:$F$4,5,FALSE)+J1128*VLOOKUP(E1128,WEIGHTS!$A$2:$F$4,6,FALSE))</f>
        <v/>
      </c>
      <c r="N1128" s="2" t="str">
        <f t="shared" si="4"/>
        <v/>
      </c>
    </row>
    <row r="1129" ht="15.75" customHeight="1">
      <c r="A1129" s="3"/>
      <c r="B1129" s="2" t="str">
        <f t="shared" si="1"/>
        <v/>
      </c>
      <c r="E1129" s="2"/>
      <c r="F1129" s="2"/>
      <c r="G1129" s="2"/>
      <c r="H1129" s="2"/>
      <c r="I1129" s="2"/>
      <c r="J1129" s="2"/>
      <c r="K1129" s="2" t="str">
        <f t="shared" si="2"/>
        <v/>
      </c>
      <c r="L1129" s="2" t="str">
        <f t="shared" si="3"/>
        <v>No</v>
      </c>
      <c r="M1129" s="2" t="str">
        <f>IF(K1129="","",F1129*VLOOKUP(E1129,WEIGHTS!$A$2:$F$4,2,FALSE)+G1129*VLOOKUP(E1129,WEIGHTS!$A$2:$F$4,3,FALSE)+H1129*VLOOKUP(E1129,WEIGHTS!$A$2:$F$4,4,FALSE)+I1129*VLOOKUP(E1129,WEIGHTS!$A$2:$F$4,5,FALSE)+J1129*VLOOKUP(E1129,WEIGHTS!$A$2:$F$4,6,FALSE))</f>
        <v/>
      </c>
      <c r="N1129" s="2" t="str">
        <f t="shared" si="4"/>
        <v/>
      </c>
    </row>
    <row r="1130" ht="15.75" customHeight="1">
      <c r="A1130" s="3"/>
      <c r="B1130" s="2" t="str">
        <f t="shared" si="1"/>
        <v/>
      </c>
      <c r="E1130" s="2"/>
      <c r="F1130" s="2"/>
      <c r="G1130" s="2"/>
      <c r="H1130" s="2"/>
      <c r="I1130" s="2"/>
      <c r="J1130" s="2"/>
      <c r="K1130" s="2" t="str">
        <f t="shared" si="2"/>
        <v/>
      </c>
      <c r="L1130" s="2" t="str">
        <f t="shared" si="3"/>
        <v>No</v>
      </c>
      <c r="M1130" s="2" t="str">
        <f>IF(K1130="","",F1130*VLOOKUP(E1130,WEIGHTS!$A$2:$F$4,2,FALSE)+G1130*VLOOKUP(E1130,WEIGHTS!$A$2:$F$4,3,FALSE)+H1130*VLOOKUP(E1130,WEIGHTS!$A$2:$F$4,4,FALSE)+I1130*VLOOKUP(E1130,WEIGHTS!$A$2:$F$4,5,FALSE)+J1130*VLOOKUP(E1130,WEIGHTS!$A$2:$F$4,6,FALSE))</f>
        <v/>
      </c>
      <c r="N1130" s="2" t="str">
        <f t="shared" si="4"/>
        <v/>
      </c>
    </row>
    <row r="1131" ht="15.75" customHeight="1">
      <c r="A1131" s="3"/>
      <c r="B1131" s="2" t="str">
        <f t="shared" si="1"/>
        <v/>
      </c>
      <c r="E1131" s="2"/>
      <c r="F1131" s="2"/>
      <c r="G1131" s="2"/>
      <c r="H1131" s="2"/>
      <c r="I1131" s="2"/>
      <c r="J1131" s="2"/>
      <c r="K1131" s="2" t="str">
        <f t="shared" si="2"/>
        <v/>
      </c>
      <c r="L1131" s="2" t="str">
        <f t="shared" si="3"/>
        <v>No</v>
      </c>
      <c r="M1131" s="2" t="str">
        <f>IF(K1131="","",F1131*VLOOKUP(E1131,WEIGHTS!$A$2:$F$4,2,FALSE)+G1131*VLOOKUP(E1131,WEIGHTS!$A$2:$F$4,3,FALSE)+H1131*VLOOKUP(E1131,WEIGHTS!$A$2:$F$4,4,FALSE)+I1131*VLOOKUP(E1131,WEIGHTS!$A$2:$F$4,5,FALSE)+J1131*VLOOKUP(E1131,WEIGHTS!$A$2:$F$4,6,FALSE))</f>
        <v/>
      </c>
      <c r="N1131" s="2" t="str">
        <f t="shared" si="4"/>
        <v/>
      </c>
    </row>
    <row r="1132" ht="15.75" customHeight="1">
      <c r="A1132" s="3"/>
      <c r="B1132" s="2" t="str">
        <f t="shared" si="1"/>
        <v/>
      </c>
      <c r="E1132" s="2"/>
      <c r="F1132" s="2"/>
      <c r="G1132" s="2"/>
      <c r="H1132" s="2"/>
      <c r="I1132" s="2"/>
      <c r="J1132" s="2"/>
      <c r="K1132" s="2" t="str">
        <f t="shared" si="2"/>
        <v/>
      </c>
      <c r="L1132" s="2" t="str">
        <f t="shared" si="3"/>
        <v>No</v>
      </c>
      <c r="M1132" s="2" t="str">
        <f>IF(K1132="","",F1132*VLOOKUP(E1132,WEIGHTS!$A$2:$F$4,2,FALSE)+G1132*VLOOKUP(E1132,WEIGHTS!$A$2:$F$4,3,FALSE)+H1132*VLOOKUP(E1132,WEIGHTS!$A$2:$F$4,4,FALSE)+I1132*VLOOKUP(E1132,WEIGHTS!$A$2:$F$4,5,FALSE)+J1132*VLOOKUP(E1132,WEIGHTS!$A$2:$F$4,6,FALSE))</f>
        <v/>
      </c>
      <c r="N1132" s="2" t="str">
        <f t="shared" si="4"/>
        <v/>
      </c>
    </row>
    <row r="1133" ht="15.75" customHeight="1">
      <c r="A1133" s="3"/>
      <c r="B1133" s="2" t="str">
        <f t="shared" si="1"/>
        <v/>
      </c>
      <c r="E1133" s="2"/>
      <c r="F1133" s="2"/>
      <c r="G1133" s="2"/>
      <c r="H1133" s="2"/>
      <c r="I1133" s="2"/>
      <c r="J1133" s="2"/>
      <c r="K1133" s="2" t="str">
        <f t="shared" si="2"/>
        <v/>
      </c>
      <c r="L1133" s="2" t="str">
        <f t="shared" si="3"/>
        <v>No</v>
      </c>
      <c r="M1133" s="2" t="str">
        <f>IF(K1133="","",F1133*VLOOKUP(E1133,WEIGHTS!$A$2:$F$4,2,FALSE)+G1133*VLOOKUP(E1133,WEIGHTS!$A$2:$F$4,3,FALSE)+H1133*VLOOKUP(E1133,WEIGHTS!$A$2:$F$4,4,FALSE)+I1133*VLOOKUP(E1133,WEIGHTS!$A$2:$F$4,5,FALSE)+J1133*VLOOKUP(E1133,WEIGHTS!$A$2:$F$4,6,FALSE))</f>
        <v/>
      </c>
      <c r="N1133" s="2" t="str">
        <f t="shared" si="4"/>
        <v/>
      </c>
    </row>
    <row r="1134" ht="15.75" customHeight="1">
      <c r="A1134" s="3"/>
      <c r="B1134" s="2" t="str">
        <f t="shared" si="1"/>
        <v/>
      </c>
      <c r="E1134" s="2"/>
      <c r="F1134" s="2"/>
      <c r="G1134" s="2"/>
      <c r="H1134" s="2"/>
      <c r="I1134" s="2"/>
      <c r="J1134" s="2"/>
      <c r="K1134" s="2" t="str">
        <f t="shared" si="2"/>
        <v/>
      </c>
      <c r="L1134" s="2" t="str">
        <f t="shared" si="3"/>
        <v>No</v>
      </c>
      <c r="M1134" s="2" t="str">
        <f>IF(K1134="","",F1134*VLOOKUP(E1134,WEIGHTS!$A$2:$F$4,2,FALSE)+G1134*VLOOKUP(E1134,WEIGHTS!$A$2:$F$4,3,FALSE)+H1134*VLOOKUP(E1134,WEIGHTS!$A$2:$F$4,4,FALSE)+I1134*VLOOKUP(E1134,WEIGHTS!$A$2:$F$4,5,FALSE)+J1134*VLOOKUP(E1134,WEIGHTS!$A$2:$F$4,6,FALSE))</f>
        <v/>
      </c>
      <c r="N1134" s="2" t="str">
        <f t="shared" si="4"/>
        <v/>
      </c>
    </row>
    <row r="1135" ht="15.75" customHeight="1">
      <c r="A1135" s="3"/>
      <c r="B1135" s="2" t="str">
        <f t="shared" si="1"/>
        <v/>
      </c>
      <c r="E1135" s="2"/>
      <c r="F1135" s="2"/>
      <c r="G1135" s="2"/>
      <c r="H1135" s="2"/>
      <c r="I1135" s="2"/>
      <c r="J1135" s="2"/>
      <c r="K1135" s="2" t="str">
        <f t="shared" si="2"/>
        <v/>
      </c>
      <c r="L1135" s="2" t="str">
        <f t="shared" si="3"/>
        <v>No</v>
      </c>
      <c r="M1135" s="2" t="str">
        <f>IF(K1135="","",F1135*VLOOKUP(E1135,WEIGHTS!$A$2:$F$4,2,FALSE)+G1135*VLOOKUP(E1135,WEIGHTS!$A$2:$F$4,3,FALSE)+H1135*VLOOKUP(E1135,WEIGHTS!$A$2:$F$4,4,FALSE)+I1135*VLOOKUP(E1135,WEIGHTS!$A$2:$F$4,5,FALSE)+J1135*VLOOKUP(E1135,WEIGHTS!$A$2:$F$4,6,FALSE))</f>
        <v/>
      </c>
      <c r="N1135" s="2" t="str">
        <f t="shared" si="4"/>
        <v/>
      </c>
    </row>
    <row r="1136" ht="15.75" customHeight="1">
      <c r="A1136" s="3"/>
      <c r="B1136" s="2" t="str">
        <f t="shared" si="1"/>
        <v/>
      </c>
      <c r="E1136" s="2"/>
      <c r="F1136" s="2"/>
      <c r="G1136" s="2"/>
      <c r="H1136" s="2"/>
      <c r="I1136" s="2"/>
      <c r="J1136" s="2"/>
      <c r="K1136" s="2" t="str">
        <f t="shared" si="2"/>
        <v/>
      </c>
      <c r="L1136" s="2" t="str">
        <f t="shared" si="3"/>
        <v>No</v>
      </c>
      <c r="M1136" s="2" t="str">
        <f>IF(K1136="","",F1136*VLOOKUP(E1136,WEIGHTS!$A$2:$F$4,2,FALSE)+G1136*VLOOKUP(E1136,WEIGHTS!$A$2:$F$4,3,FALSE)+H1136*VLOOKUP(E1136,WEIGHTS!$A$2:$F$4,4,FALSE)+I1136*VLOOKUP(E1136,WEIGHTS!$A$2:$F$4,5,FALSE)+J1136*VLOOKUP(E1136,WEIGHTS!$A$2:$F$4,6,FALSE))</f>
        <v/>
      </c>
      <c r="N1136" s="2" t="str">
        <f t="shared" si="4"/>
        <v/>
      </c>
    </row>
    <row r="1137" ht="15.75" customHeight="1">
      <c r="A1137" s="3"/>
      <c r="B1137" s="2" t="str">
        <f t="shared" si="1"/>
        <v/>
      </c>
      <c r="E1137" s="2"/>
      <c r="F1137" s="2"/>
      <c r="G1137" s="2"/>
      <c r="H1137" s="2"/>
      <c r="I1137" s="2"/>
      <c r="J1137" s="2"/>
      <c r="K1137" s="2" t="str">
        <f t="shared" si="2"/>
        <v/>
      </c>
      <c r="L1137" s="2" t="str">
        <f t="shared" si="3"/>
        <v>No</v>
      </c>
      <c r="M1137" s="2" t="str">
        <f>IF(K1137="","",F1137*VLOOKUP(E1137,WEIGHTS!$A$2:$F$4,2,FALSE)+G1137*VLOOKUP(E1137,WEIGHTS!$A$2:$F$4,3,FALSE)+H1137*VLOOKUP(E1137,WEIGHTS!$A$2:$F$4,4,FALSE)+I1137*VLOOKUP(E1137,WEIGHTS!$A$2:$F$4,5,FALSE)+J1137*VLOOKUP(E1137,WEIGHTS!$A$2:$F$4,6,FALSE))</f>
        <v/>
      </c>
      <c r="N1137" s="2" t="str">
        <f t="shared" si="4"/>
        <v/>
      </c>
    </row>
    <row r="1138" ht="15.75" customHeight="1">
      <c r="A1138" s="3"/>
      <c r="B1138" s="2" t="str">
        <f t="shared" si="1"/>
        <v/>
      </c>
      <c r="E1138" s="2"/>
      <c r="F1138" s="2"/>
      <c r="G1138" s="2"/>
      <c r="H1138" s="2"/>
      <c r="I1138" s="2"/>
      <c r="J1138" s="2"/>
      <c r="K1138" s="2" t="str">
        <f t="shared" si="2"/>
        <v/>
      </c>
      <c r="L1138" s="2" t="str">
        <f t="shared" si="3"/>
        <v>No</v>
      </c>
      <c r="M1138" s="2" t="str">
        <f>IF(K1138="","",F1138*VLOOKUP(E1138,WEIGHTS!$A$2:$F$4,2,FALSE)+G1138*VLOOKUP(E1138,WEIGHTS!$A$2:$F$4,3,FALSE)+H1138*VLOOKUP(E1138,WEIGHTS!$A$2:$F$4,4,FALSE)+I1138*VLOOKUP(E1138,WEIGHTS!$A$2:$F$4,5,FALSE)+J1138*VLOOKUP(E1138,WEIGHTS!$A$2:$F$4,6,FALSE))</f>
        <v/>
      </c>
      <c r="N1138" s="2" t="str">
        <f t="shared" si="4"/>
        <v/>
      </c>
    </row>
    <row r="1139" ht="15.75" customHeight="1">
      <c r="A1139" s="3"/>
      <c r="B1139" s="2" t="str">
        <f t="shared" si="1"/>
        <v/>
      </c>
      <c r="E1139" s="2"/>
      <c r="F1139" s="2"/>
      <c r="G1139" s="2"/>
      <c r="H1139" s="2"/>
      <c r="I1139" s="2"/>
      <c r="J1139" s="2"/>
      <c r="K1139" s="2" t="str">
        <f t="shared" si="2"/>
        <v/>
      </c>
      <c r="L1139" s="2" t="str">
        <f t="shared" si="3"/>
        <v>No</v>
      </c>
      <c r="M1139" s="2" t="str">
        <f>IF(K1139="","",F1139*VLOOKUP(E1139,WEIGHTS!$A$2:$F$4,2,FALSE)+G1139*VLOOKUP(E1139,WEIGHTS!$A$2:$F$4,3,FALSE)+H1139*VLOOKUP(E1139,WEIGHTS!$A$2:$F$4,4,FALSE)+I1139*VLOOKUP(E1139,WEIGHTS!$A$2:$F$4,5,FALSE)+J1139*VLOOKUP(E1139,WEIGHTS!$A$2:$F$4,6,FALSE))</f>
        <v/>
      </c>
      <c r="N1139" s="2" t="str">
        <f t="shared" si="4"/>
        <v/>
      </c>
    </row>
    <row r="1140" ht="15.75" customHeight="1">
      <c r="A1140" s="3"/>
      <c r="B1140" s="2" t="str">
        <f t="shared" si="1"/>
        <v/>
      </c>
      <c r="E1140" s="2"/>
      <c r="F1140" s="2"/>
      <c r="G1140" s="2"/>
      <c r="H1140" s="2"/>
      <c r="I1140" s="2"/>
      <c r="J1140" s="2"/>
      <c r="K1140" s="2" t="str">
        <f t="shared" si="2"/>
        <v/>
      </c>
      <c r="L1140" s="2" t="str">
        <f t="shared" si="3"/>
        <v>No</v>
      </c>
      <c r="M1140" s="2" t="str">
        <f>IF(K1140="","",F1140*VLOOKUP(E1140,WEIGHTS!$A$2:$F$4,2,FALSE)+G1140*VLOOKUP(E1140,WEIGHTS!$A$2:$F$4,3,FALSE)+H1140*VLOOKUP(E1140,WEIGHTS!$A$2:$F$4,4,FALSE)+I1140*VLOOKUP(E1140,WEIGHTS!$A$2:$F$4,5,FALSE)+J1140*VLOOKUP(E1140,WEIGHTS!$A$2:$F$4,6,FALSE))</f>
        <v/>
      </c>
      <c r="N1140" s="2" t="str">
        <f t="shared" si="4"/>
        <v/>
      </c>
    </row>
    <row r="1141" ht="15.75" customHeight="1">
      <c r="A1141" s="3"/>
      <c r="B1141" s="2" t="str">
        <f t="shared" si="1"/>
        <v/>
      </c>
      <c r="E1141" s="2"/>
      <c r="F1141" s="2"/>
      <c r="G1141" s="2"/>
      <c r="H1141" s="2"/>
      <c r="I1141" s="2"/>
      <c r="J1141" s="2"/>
      <c r="K1141" s="2" t="str">
        <f t="shared" si="2"/>
        <v/>
      </c>
      <c r="L1141" s="2" t="str">
        <f t="shared" si="3"/>
        <v>No</v>
      </c>
      <c r="M1141" s="2" t="str">
        <f>IF(K1141="","",F1141*VLOOKUP(E1141,WEIGHTS!$A$2:$F$4,2,FALSE)+G1141*VLOOKUP(E1141,WEIGHTS!$A$2:$F$4,3,FALSE)+H1141*VLOOKUP(E1141,WEIGHTS!$A$2:$F$4,4,FALSE)+I1141*VLOOKUP(E1141,WEIGHTS!$A$2:$F$4,5,FALSE)+J1141*VLOOKUP(E1141,WEIGHTS!$A$2:$F$4,6,FALSE))</f>
        <v/>
      </c>
      <c r="N1141" s="2" t="str">
        <f t="shared" si="4"/>
        <v/>
      </c>
    </row>
    <row r="1142" ht="15.75" customHeight="1">
      <c r="A1142" s="3"/>
      <c r="B1142" s="2" t="str">
        <f t="shared" si="1"/>
        <v/>
      </c>
      <c r="E1142" s="2"/>
      <c r="F1142" s="2"/>
      <c r="G1142" s="2"/>
      <c r="H1142" s="2"/>
      <c r="I1142" s="2"/>
      <c r="J1142" s="2"/>
      <c r="K1142" s="2" t="str">
        <f t="shared" si="2"/>
        <v/>
      </c>
      <c r="L1142" s="2" t="str">
        <f t="shared" si="3"/>
        <v>No</v>
      </c>
      <c r="M1142" s="2" t="str">
        <f>IF(K1142="","",F1142*VLOOKUP(E1142,WEIGHTS!$A$2:$F$4,2,FALSE)+G1142*VLOOKUP(E1142,WEIGHTS!$A$2:$F$4,3,FALSE)+H1142*VLOOKUP(E1142,WEIGHTS!$A$2:$F$4,4,FALSE)+I1142*VLOOKUP(E1142,WEIGHTS!$A$2:$F$4,5,FALSE)+J1142*VLOOKUP(E1142,WEIGHTS!$A$2:$F$4,6,FALSE))</f>
        <v/>
      </c>
      <c r="N1142" s="2" t="str">
        <f t="shared" si="4"/>
        <v/>
      </c>
    </row>
    <row r="1143" ht="15.75" customHeight="1">
      <c r="A1143" s="3"/>
      <c r="B1143" s="2" t="str">
        <f t="shared" si="1"/>
        <v/>
      </c>
      <c r="E1143" s="2"/>
      <c r="F1143" s="2"/>
      <c r="G1143" s="2"/>
      <c r="H1143" s="2"/>
      <c r="I1143" s="2"/>
      <c r="J1143" s="2"/>
      <c r="K1143" s="2" t="str">
        <f t="shared" si="2"/>
        <v/>
      </c>
      <c r="L1143" s="2" t="str">
        <f t="shared" si="3"/>
        <v>No</v>
      </c>
      <c r="M1143" s="2" t="str">
        <f>IF(K1143="","",F1143*VLOOKUP(E1143,WEIGHTS!$A$2:$F$4,2,FALSE)+G1143*VLOOKUP(E1143,WEIGHTS!$A$2:$F$4,3,FALSE)+H1143*VLOOKUP(E1143,WEIGHTS!$A$2:$F$4,4,FALSE)+I1143*VLOOKUP(E1143,WEIGHTS!$A$2:$F$4,5,FALSE)+J1143*VLOOKUP(E1143,WEIGHTS!$A$2:$F$4,6,FALSE))</f>
        <v/>
      </c>
      <c r="N1143" s="2" t="str">
        <f t="shared" si="4"/>
        <v/>
      </c>
    </row>
    <row r="1144" ht="15.75" customHeight="1">
      <c r="A1144" s="3"/>
      <c r="B1144" s="2" t="str">
        <f t="shared" si="1"/>
        <v/>
      </c>
      <c r="E1144" s="2"/>
      <c r="F1144" s="2"/>
      <c r="G1144" s="2"/>
      <c r="H1144" s="2"/>
      <c r="I1144" s="2"/>
      <c r="J1144" s="2"/>
      <c r="K1144" s="2" t="str">
        <f t="shared" si="2"/>
        <v/>
      </c>
      <c r="L1144" s="2" t="str">
        <f t="shared" si="3"/>
        <v>No</v>
      </c>
      <c r="M1144" s="2" t="str">
        <f>IF(K1144="","",F1144*VLOOKUP(E1144,WEIGHTS!$A$2:$F$4,2,FALSE)+G1144*VLOOKUP(E1144,WEIGHTS!$A$2:$F$4,3,FALSE)+H1144*VLOOKUP(E1144,WEIGHTS!$A$2:$F$4,4,FALSE)+I1144*VLOOKUP(E1144,WEIGHTS!$A$2:$F$4,5,FALSE)+J1144*VLOOKUP(E1144,WEIGHTS!$A$2:$F$4,6,FALSE))</f>
        <v/>
      </c>
      <c r="N1144" s="2" t="str">
        <f t="shared" si="4"/>
        <v/>
      </c>
    </row>
    <row r="1145" ht="15.75" customHeight="1">
      <c r="A1145" s="3"/>
      <c r="B1145" s="2" t="str">
        <f t="shared" si="1"/>
        <v/>
      </c>
      <c r="E1145" s="2"/>
      <c r="F1145" s="2"/>
      <c r="G1145" s="2"/>
      <c r="H1145" s="2"/>
      <c r="I1145" s="2"/>
      <c r="J1145" s="2"/>
      <c r="K1145" s="2" t="str">
        <f t="shared" si="2"/>
        <v/>
      </c>
      <c r="L1145" s="2" t="str">
        <f t="shared" si="3"/>
        <v>No</v>
      </c>
      <c r="M1145" s="2" t="str">
        <f>IF(K1145="","",F1145*VLOOKUP(E1145,WEIGHTS!$A$2:$F$4,2,FALSE)+G1145*VLOOKUP(E1145,WEIGHTS!$A$2:$F$4,3,FALSE)+H1145*VLOOKUP(E1145,WEIGHTS!$A$2:$F$4,4,FALSE)+I1145*VLOOKUP(E1145,WEIGHTS!$A$2:$F$4,5,FALSE)+J1145*VLOOKUP(E1145,WEIGHTS!$A$2:$F$4,6,FALSE))</f>
        <v/>
      </c>
      <c r="N1145" s="2" t="str">
        <f t="shared" si="4"/>
        <v/>
      </c>
    </row>
    <row r="1146" ht="15.75" customHeight="1">
      <c r="A1146" s="3"/>
      <c r="B1146" s="2" t="str">
        <f t="shared" si="1"/>
        <v/>
      </c>
      <c r="E1146" s="2"/>
      <c r="F1146" s="2"/>
      <c r="G1146" s="2"/>
      <c r="H1146" s="2"/>
      <c r="I1146" s="2"/>
      <c r="J1146" s="2"/>
      <c r="K1146" s="2" t="str">
        <f t="shared" si="2"/>
        <v/>
      </c>
      <c r="L1146" s="2" t="str">
        <f t="shared" si="3"/>
        <v>No</v>
      </c>
      <c r="M1146" s="2" t="str">
        <f>IF(K1146="","",F1146*VLOOKUP(E1146,WEIGHTS!$A$2:$F$4,2,FALSE)+G1146*VLOOKUP(E1146,WEIGHTS!$A$2:$F$4,3,FALSE)+H1146*VLOOKUP(E1146,WEIGHTS!$A$2:$F$4,4,FALSE)+I1146*VLOOKUP(E1146,WEIGHTS!$A$2:$F$4,5,FALSE)+J1146*VLOOKUP(E1146,WEIGHTS!$A$2:$F$4,6,FALSE))</f>
        <v/>
      </c>
      <c r="N1146" s="2" t="str">
        <f t="shared" si="4"/>
        <v/>
      </c>
    </row>
    <row r="1147" ht="15.75" customHeight="1">
      <c r="A1147" s="3"/>
      <c r="B1147" s="2" t="str">
        <f t="shared" si="1"/>
        <v/>
      </c>
      <c r="E1147" s="2"/>
      <c r="F1147" s="2"/>
      <c r="G1147" s="2"/>
      <c r="H1147" s="2"/>
      <c r="I1147" s="2"/>
      <c r="J1147" s="2"/>
      <c r="K1147" s="2" t="str">
        <f t="shared" si="2"/>
        <v/>
      </c>
      <c r="L1147" s="2" t="str">
        <f t="shared" si="3"/>
        <v>No</v>
      </c>
      <c r="M1147" s="2" t="str">
        <f>IF(K1147="","",F1147*VLOOKUP(E1147,WEIGHTS!$A$2:$F$4,2,FALSE)+G1147*VLOOKUP(E1147,WEIGHTS!$A$2:$F$4,3,FALSE)+H1147*VLOOKUP(E1147,WEIGHTS!$A$2:$F$4,4,FALSE)+I1147*VLOOKUP(E1147,WEIGHTS!$A$2:$F$4,5,FALSE)+J1147*VLOOKUP(E1147,WEIGHTS!$A$2:$F$4,6,FALSE))</f>
        <v/>
      </c>
      <c r="N1147" s="2" t="str">
        <f t="shared" si="4"/>
        <v/>
      </c>
    </row>
    <row r="1148" ht="15.75" customHeight="1">
      <c r="A1148" s="3"/>
      <c r="B1148" s="2" t="str">
        <f t="shared" si="1"/>
        <v/>
      </c>
      <c r="E1148" s="2"/>
      <c r="F1148" s="2"/>
      <c r="G1148" s="2"/>
      <c r="H1148" s="2"/>
      <c r="I1148" s="2"/>
      <c r="J1148" s="2"/>
      <c r="K1148" s="2" t="str">
        <f t="shared" si="2"/>
        <v/>
      </c>
      <c r="L1148" s="2" t="str">
        <f t="shared" si="3"/>
        <v>No</v>
      </c>
      <c r="M1148" s="2" t="str">
        <f>IF(K1148="","",F1148*VLOOKUP(E1148,WEIGHTS!$A$2:$F$4,2,FALSE)+G1148*VLOOKUP(E1148,WEIGHTS!$A$2:$F$4,3,FALSE)+H1148*VLOOKUP(E1148,WEIGHTS!$A$2:$F$4,4,FALSE)+I1148*VLOOKUP(E1148,WEIGHTS!$A$2:$F$4,5,FALSE)+J1148*VLOOKUP(E1148,WEIGHTS!$A$2:$F$4,6,FALSE))</f>
        <v/>
      </c>
      <c r="N1148" s="2" t="str">
        <f t="shared" si="4"/>
        <v/>
      </c>
    </row>
    <row r="1149" ht="15.75" customHeight="1">
      <c r="A1149" s="3"/>
      <c r="B1149" s="2" t="str">
        <f t="shared" si="1"/>
        <v/>
      </c>
      <c r="E1149" s="2"/>
      <c r="F1149" s="2"/>
      <c r="G1149" s="2"/>
      <c r="H1149" s="2"/>
      <c r="I1149" s="2"/>
      <c r="J1149" s="2"/>
      <c r="K1149" s="2" t="str">
        <f t="shared" si="2"/>
        <v/>
      </c>
      <c r="L1149" s="2" t="str">
        <f t="shared" si="3"/>
        <v>No</v>
      </c>
      <c r="M1149" s="2" t="str">
        <f>IF(K1149="","",F1149*VLOOKUP(E1149,WEIGHTS!$A$2:$F$4,2,FALSE)+G1149*VLOOKUP(E1149,WEIGHTS!$A$2:$F$4,3,FALSE)+H1149*VLOOKUP(E1149,WEIGHTS!$A$2:$F$4,4,FALSE)+I1149*VLOOKUP(E1149,WEIGHTS!$A$2:$F$4,5,FALSE)+J1149*VLOOKUP(E1149,WEIGHTS!$A$2:$F$4,6,FALSE))</f>
        <v/>
      </c>
      <c r="N1149" s="2" t="str">
        <f t="shared" si="4"/>
        <v/>
      </c>
    </row>
    <row r="1150" ht="15.75" customHeight="1">
      <c r="A1150" s="3"/>
      <c r="B1150" s="2" t="str">
        <f t="shared" si="1"/>
        <v/>
      </c>
      <c r="E1150" s="2"/>
      <c r="F1150" s="2"/>
      <c r="G1150" s="2"/>
      <c r="H1150" s="2"/>
      <c r="I1150" s="2"/>
      <c r="J1150" s="2"/>
      <c r="K1150" s="2" t="str">
        <f t="shared" si="2"/>
        <v/>
      </c>
      <c r="L1150" s="2" t="str">
        <f t="shared" si="3"/>
        <v>No</v>
      </c>
      <c r="M1150" s="2" t="str">
        <f>IF(K1150="","",F1150*VLOOKUP(E1150,WEIGHTS!$A$2:$F$4,2,FALSE)+G1150*VLOOKUP(E1150,WEIGHTS!$A$2:$F$4,3,FALSE)+H1150*VLOOKUP(E1150,WEIGHTS!$A$2:$F$4,4,FALSE)+I1150*VLOOKUP(E1150,WEIGHTS!$A$2:$F$4,5,FALSE)+J1150*VLOOKUP(E1150,WEIGHTS!$A$2:$F$4,6,FALSE))</f>
        <v/>
      </c>
      <c r="N1150" s="2" t="str">
        <f t="shared" si="4"/>
        <v/>
      </c>
    </row>
    <row r="1151" ht="15.75" customHeight="1">
      <c r="A1151" s="3"/>
      <c r="B1151" s="2" t="str">
        <f t="shared" si="1"/>
        <v/>
      </c>
      <c r="E1151" s="2"/>
      <c r="F1151" s="2"/>
      <c r="G1151" s="2"/>
      <c r="H1151" s="2"/>
      <c r="I1151" s="2"/>
      <c r="J1151" s="2"/>
      <c r="K1151" s="2" t="str">
        <f t="shared" si="2"/>
        <v/>
      </c>
      <c r="L1151" s="2" t="str">
        <f t="shared" si="3"/>
        <v>No</v>
      </c>
      <c r="M1151" s="2" t="str">
        <f>IF(K1151="","",F1151*VLOOKUP(E1151,WEIGHTS!$A$2:$F$4,2,FALSE)+G1151*VLOOKUP(E1151,WEIGHTS!$A$2:$F$4,3,FALSE)+H1151*VLOOKUP(E1151,WEIGHTS!$A$2:$F$4,4,FALSE)+I1151*VLOOKUP(E1151,WEIGHTS!$A$2:$F$4,5,FALSE)+J1151*VLOOKUP(E1151,WEIGHTS!$A$2:$F$4,6,FALSE))</f>
        <v/>
      </c>
      <c r="N1151" s="2" t="str">
        <f t="shared" si="4"/>
        <v/>
      </c>
    </row>
    <row r="1152" ht="15.75" customHeight="1">
      <c r="A1152" s="3"/>
      <c r="B1152" s="2" t="str">
        <f t="shared" si="1"/>
        <v/>
      </c>
      <c r="E1152" s="2"/>
      <c r="F1152" s="2"/>
      <c r="G1152" s="2"/>
      <c r="H1152" s="2"/>
      <c r="I1152" s="2"/>
      <c r="J1152" s="2"/>
      <c r="K1152" s="2" t="str">
        <f t="shared" si="2"/>
        <v/>
      </c>
      <c r="L1152" s="2" t="str">
        <f t="shared" si="3"/>
        <v>No</v>
      </c>
      <c r="M1152" s="2" t="str">
        <f>IF(K1152="","",F1152*VLOOKUP(E1152,WEIGHTS!$A$2:$F$4,2,FALSE)+G1152*VLOOKUP(E1152,WEIGHTS!$A$2:$F$4,3,FALSE)+H1152*VLOOKUP(E1152,WEIGHTS!$A$2:$F$4,4,FALSE)+I1152*VLOOKUP(E1152,WEIGHTS!$A$2:$F$4,5,FALSE)+J1152*VLOOKUP(E1152,WEIGHTS!$A$2:$F$4,6,FALSE))</f>
        <v/>
      </c>
      <c r="N1152" s="2" t="str">
        <f t="shared" si="4"/>
        <v/>
      </c>
    </row>
    <row r="1153" ht="15.75" customHeight="1">
      <c r="A1153" s="3"/>
      <c r="B1153" s="2" t="str">
        <f t="shared" si="1"/>
        <v/>
      </c>
      <c r="E1153" s="2"/>
      <c r="F1153" s="2"/>
      <c r="G1153" s="2"/>
      <c r="H1153" s="2"/>
      <c r="I1153" s="2"/>
      <c r="J1153" s="2"/>
      <c r="K1153" s="2" t="str">
        <f t="shared" si="2"/>
        <v/>
      </c>
      <c r="L1153" s="2" t="str">
        <f t="shared" si="3"/>
        <v>No</v>
      </c>
      <c r="M1153" s="2" t="str">
        <f>IF(K1153="","",F1153*VLOOKUP(E1153,WEIGHTS!$A$2:$F$4,2,FALSE)+G1153*VLOOKUP(E1153,WEIGHTS!$A$2:$F$4,3,FALSE)+H1153*VLOOKUP(E1153,WEIGHTS!$A$2:$F$4,4,FALSE)+I1153*VLOOKUP(E1153,WEIGHTS!$A$2:$F$4,5,FALSE)+J1153*VLOOKUP(E1153,WEIGHTS!$A$2:$F$4,6,FALSE))</f>
        <v/>
      </c>
      <c r="N1153" s="2" t="str">
        <f t="shared" si="4"/>
        <v/>
      </c>
    </row>
    <row r="1154" ht="15.75" customHeight="1">
      <c r="A1154" s="3"/>
      <c r="B1154" s="2" t="str">
        <f t="shared" si="1"/>
        <v/>
      </c>
      <c r="E1154" s="2"/>
      <c r="F1154" s="2"/>
      <c r="G1154" s="2"/>
      <c r="H1154" s="2"/>
      <c r="I1154" s="2"/>
      <c r="J1154" s="2"/>
      <c r="K1154" s="2" t="str">
        <f t="shared" si="2"/>
        <v/>
      </c>
      <c r="L1154" s="2" t="str">
        <f t="shared" si="3"/>
        <v>No</v>
      </c>
      <c r="M1154" s="2" t="str">
        <f>IF(K1154="","",F1154*VLOOKUP(E1154,WEIGHTS!$A$2:$F$4,2,FALSE)+G1154*VLOOKUP(E1154,WEIGHTS!$A$2:$F$4,3,FALSE)+H1154*VLOOKUP(E1154,WEIGHTS!$A$2:$F$4,4,FALSE)+I1154*VLOOKUP(E1154,WEIGHTS!$A$2:$F$4,5,FALSE)+J1154*VLOOKUP(E1154,WEIGHTS!$A$2:$F$4,6,FALSE))</f>
        <v/>
      </c>
      <c r="N1154" s="2" t="str">
        <f t="shared" si="4"/>
        <v/>
      </c>
    </row>
    <row r="1155" ht="15.75" customHeight="1">
      <c r="A1155" s="3"/>
      <c r="B1155" s="2" t="str">
        <f t="shared" si="1"/>
        <v/>
      </c>
      <c r="E1155" s="2"/>
      <c r="F1155" s="2"/>
      <c r="G1155" s="2"/>
      <c r="H1155" s="2"/>
      <c r="I1155" s="2"/>
      <c r="J1155" s="2"/>
      <c r="K1155" s="2" t="str">
        <f t="shared" si="2"/>
        <v/>
      </c>
      <c r="L1155" s="2" t="str">
        <f t="shared" si="3"/>
        <v>No</v>
      </c>
      <c r="M1155" s="2" t="str">
        <f>IF(K1155="","",F1155*VLOOKUP(E1155,WEIGHTS!$A$2:$F$4,2,FALSE)+G1155*VLOOKUP(E1155,WEIGHTS!$A$2:$F$4,3,FALSE)+H1155*VLOOKUP(E1155,WEIGHTS!$A$2:$F$4,4,FALSE)+I1155*VLOOKUP(E1155,WEIGHTS!$A$2:$F$4,5,FALSE)+J1155*VLOOKUP(E1155,WEIGHTS!$A$2:$F$4,6,FALSE))</f>
        <v/>
      </c>
      <c r="N1155" s="2" t="str">
        <f t="shared" si="4"/>
        <v/>
      </c>
    </row>
    <row r="1156" ht="15.75" customHeight="1">
      <c r="A1156" s="3"/>
      <c r="B1156" s="2" t="str">
        <f t="shared" si="1"/>
        <v/>
      </c>
      <c r="E1156" s="2"/>
      <c r="F1156" s="2"/>
      <c r="G1156" s="2"/>
      <c r="H1156" s="2"/>
      <c r="I1156" s="2"/>
      <c r="J1156" s="2"/>
      <c r="K1156" s="2" t="str">
        <f t="shared" si="2"/>
        <v/>
      </c>
      <c r="L1156" s="2" t="str">
        <f t="shared" si="3"/>
        <v>No</v>
      </c>
      <c r="M1156" s="2" t="str">
        <f>IF(K1156="","",F1156*VLOOKUP(E1156,WEIGHTS!$A$2:$F$4,2,FALSE)+G1156*VLOOKUP(E1156,WEIGHTS!$A$2:$F$4,3,FALSE)+H1156*VLOOKUP(E1156,WEIGHTS!$A$2:$F$4,4,FALSE)+I1156*VLOOKUP(E1156,WEIGHTS!$A$2:$F$4,5,FALSE)+J1156*VLOOKUP(E1156,WEIGHTS!$A$2:$F$4,6,FALSE))</f>
        <v/>
      </c>
      <c r="N1156" s="2" t="str">
        <f t="shared" si="4"/>
        <v/>
      </c>
    </row>
    <row r="1157" ht="15.75" customHeight="1">
      <c r="A1157" s="3"/>
      <c r="B1157" s="2" t="str">
        <f t="shared" si="1"/>
        <v/>
      </c>
      <c r="E1157" s="2"/>
      <c r="F1157" s="2"/>
      <c r="G1157" s="2"/>
      <c r="H1157" s="2"/>
      <c r="I1157" s="2"/>
      <c r="J1157" s="2"/>
      <c r="K1157" s="2" t="str">
        <f t="shared" si="2"/>
        <v/>
      </c>
      <c r="L1157" s="2" t="str">
        <f t="shared" si="3"/>
        <v>No</v>
      </c>
      <c r="M1157" s="2" t="str">
        <f>IF(K1157="","",F1157*VLOOKUP(E1157,WEIGHTS!$A$2:$F$4,2,FALSE)+G1157*VLOOKUP(E1157,WEIGHTS!$A$2:$F$4,3,FALSE)+H1157*VLOOKUP(E1157,WEIGHTS!$A$2:$F$4,4,FALSE)+I1157*VLOOKUP(E1157,WEIGHTS!$A$2:$F$4,5,FALSE)+J1157*VLOOKUP(E1157,WEIGHTS!$A$2:$F$4,6,FALSE))</f>
        <v/>
      </c>
      <c r="N1157" s="2" t="str">
        <f t="shared" si="4"/>
        <v/>
      </c>
    </row>
    <row r="1158" ht="15.75" customHeight="1">
      <c r="A1158" s="3"/>
      <c r="B1158" s="2" t="str">
        <f t="shared" si="1"/>
        <v/>
      </c>
      <c r="E1158" s="2"/>
      <c r="F1158" s="2"/>
      <c r="G1158" s="2"/>
      <c r="H1158" s="2"/>
      <c r="I1158" s="2"/>
      <c r="J1158" s="2"/>
      <c r="K1158" s="2" t="str">
        <f t="shared" si="2"/>
        <v/>
      </c>
      <c r="L1158" s="2" t="str">
        <f t="shared" si="3"/>
        <v>No</v>
      </c>
      <c r="M1158" s="2" t="str">
        <f>IF(K1158="","",F1158*VLOOKUP(E1158,WEIGHTS!$A$2:$F$4,2,FALSE)+G1158*VLOOKUP(E1158,WEIGHTS!$A$2:$F$4,3,FALSE)+H1158*VLOOKUP(E1158,WEIGHTS!$A$2:$F$4,4,FALSE)+I1158*VLOOKUP(E1158,WEIGHTS!$A$2:$F$4,5,FALSE)+J1158*VLOOKUP(E1158,WEIGHTS!$A$2:$F$4,6,FALSE))</f>
        <v/>
      </c>
      <c r="N1158" s="2" t="str">
        <f t="shared" si="4"/>
        <v/>
      </c>
    </row>
    <row r="1159" ht="15.75" customHeight="1">
      <c r="A1159" s="3"/>
      <c r="B1159" s="2" t="str">
        <f t="shared" si="1"/>
        <v/>
      </c>
      <c r="E1159" s="2"/>
      <c r="F1159" s="2"/>
      <c r="G1159" s="2"/>
      <c r="H1159" s="2"/>
      <c r="I1159" s="2"/>
      <c r="J1159" s="2"/>
      <c r="K1159" s="2" t="str">
        <f t="shared" si="2"/>
        <v/>
      </c>
      <c r="L1159" s="2" t="str">
        <f t="shared" si="3"/>
        <v>No</v>
      </c>
      <c r="M1159" s="2" t="str">
        <f>IF(K1159="","",F1159*VLOOKUP(E1159,WEIGHTS!$A$2:$F$4,2,FALSE)+G1159*VLOOKUP(E1159,WEIGHTS!$A$2:$F$4,3,FALSE)+H1159*VLOOKUP(E1159,WEIGHTS!$A$2:$F$4,4,FALSE)+I1159*VLOOKUP(E1159,WEIGHTS!$A$2:$F$4,5,FALSE)+J1159*VLOOKUP(E1159,WEIGHTS!$A$2:$F$4,6,FALSE))</f>
        <v/>
      </c>
      <c r="N1159" s="2" t="str">
        <f t="shared" si="4"/>
        <v/>
      </c>
    </row>
    <row r="1160" ht="15.75" customHeight="1">
      <c r="A1160" s="3"/>
      <c r="B1160" s="2" t="str">
        <f t="shared" si="1"/>
        <v/>
      </c>
      <c r="E1160" s="2"/>
      <c r="F1160" s="2"/>
      <c r="G1160" s="2"/>
      <c r="H1160" s="2"/>
      <c r="I1160" s="2"/>
      <c r="J1160" s="2"/>
      <c r="K1160" s="2" t="str">
        <f t="shared" si="2"/>
        <v/>
      </c>
      <c r="L1160" s="2" t="str">
        <f t="shared" si="3"/>
        <v>No</v>
      </c>
      <c r="M1160" s="2" t="str">
        <f>IF(K1160="","",F1160*VLOOKUP(E1160,WEIGHTS!$A$2:$F$4,2,FALSE)+G1160*VLOOKUP(E1160,WEIGHTS!$A$2:$F$4,3,FALSE)+H1160*VLOOKUP(E1160,WEIGHTS!$A$2:$F$4,4,FALSE)+I1160*VLOOKUP(E1160,WEIGHTS!$A$2:$F$4,5,FALSE)+J1160*VLOOKUP(E1160,WEIGHTS!$A$2:$F$4,6,FALSE))</f>
        <v/>
      </c>
      <c r="N1160" s="2" t="str">
        <f t="shared" si="4"/>
        <v/>
      </c>
    </row>
    <row r="1161" ht="15.75" customHeight="1">
      <c r="A1161" s="3"/>
      <c r="B1161" s="2" t="str">
        <f t="shared" si="1"/>
        <v/>
      </c>
      <c r="E1161" s="2"/>
      <c r="F1161" s="2"/>
      <c r="G1161" s="2"/>
      <c r="H1161" s="2"/>
      <c r="I1161" s="2"/>
      <c r="J1161" s="2"/>
      <c r="K1161" s="2" t="str">
        <f t="shared" si="2"/>
        <v/>
      </c>
      <c r="L1161" s="2" t="str">
        <f t="shared" si="3"/>
        <v>No</v>
      </c>
      <c r="M1161" s="2" t="str">
        <f>IF(K1161="","",F1161*VLOOKUP(E1161,WEIGHTS!$A$2:$F$4,2,FALSE)+G1161*VLOOKUP(E1161,WEIGHTS!$A$2:$F$4,3,FALSE)+H1161*VLOOKUP(E1161,WEIGHTS!$A$2:$F$4,4,FALSE)+I1161*VLOOKUP(E1161,WEIGHTS!$A$2:$F$4,5,FALSE)+J1161*VLOOKUP(E1161,WEIGHTS!$A$2:$F$4,6,FALSE))</f>
        <v/>
      </c>
      <c r="N1161" s="2" t="str">
        <f t="shared" si="4"/>
        <v/>
      </c>
    </row>
    <row r="1162" ht="15.75" customHeight="1">
      <c r="A1162" s="3"/>
      <c r="B1162" s="2" t="str">
        <f t="shared" si="1"/>
        <v/>
      </c>
      <c r="E1162" s="2"/>
      <c r="F1162" s="2"/>
      <c r="G1162" s="2"/>
      <c r="H1162" s="2"/>
      <c r="I1162" s="2"/>
      <c r="J1162" s="2"/>
      <c r="K1162" s="2" t="str">
        <f t="shared" si="2"/>
        <v/>
      </c>
      <c r="L1162" s="2" t="str">
        <f t="shared" si="3"/>
        <v>No</v>
      </c>
      <c r="M1162" s="2" t="str">
        <f>IF(K1162="","",F1162*VLOOKUP(E1162,WEIGHTS!$A$2:$F$4,2,FALSE)+G1162*VLOOKUP(E1162,WEIGHTS!$A$2:$F$4,3,FALSE)+H1162*VLOOKUP(E1162,WEIGHTS!$A$2:$F$4,4,FALSE)+I1162*VLOOKUP(E1162,WEIGHTS!$A$2:$F$4,5,FALSE)+J1162*VLOOKUP(E1162,WEIGHTS!$A$2:$F$4,6,FALSE))</f>
        <v/>
      </c>
      <c r="N1162" s="2" t="str">
        <f t="shared" si="4"/>
        <v/>
      </c>
    </row>
    <row r="1163" ht="15.75" customHeight="1">
      <c r="A1163" s="3"/>
      <c r="B1163" s="2" t="str">
        <f t="shared" si="1"/>
        <v/>
      </c>
      <c r="E1163" s="2"/>
      <c r="F1163" s="2"/>
      <c r="G1163" s="2"/>
      <c r="H1163" s="2"/>
      <c r="I1163" s="2"/>
      <c r="J1163" s="2"/>
      <c r="K1163" s="2" t="str">
        <f t="shared" si="2"/>
        <v/>
      </c>
      <c r="L1163" s="2" t="str">
        <f t="shared" si="3"/>
        <v>No</v>
      </c>
      <c r="M1163" s="2" t="str">
        <f>IF(K1163="","",F1163*VLOOKUP(E1163,WEIGHTS!$A$2:$F$4,2,FALSE)+G1163*VLOOKUP(E1163,WEIGHTS!$A$2:$F$4,3,FALSE)+H1163*VLOOKUP(E1163,WEIGHTS!$A$2:$F$4,4,FALSE)+I1163*VLOOKUP(E1163,WEIGHTS!$A$2:$F$4,5,FALSE)+J1163*VLOOKUP(E1163,WEIGHTS!$A$2:$F$4,6,FALSE))</f>
        <v/>
      </c>
      <c r="N1163" s="2" t="str">
        <f t="shared" si="4"/>
        <v/>
      </c>
    </row>
    <row r="1164" ht="15.75" customHeight="1">
      <c r="A1164" s="3"/>
      <c r="B1164" s="2" t="str">
        <f t="shared" si="1"/>
        <v/>
      </c>
      <c r="E1164" s="2"/>
      <c r="F1164" s="2"/>
      <c r="G1164" s="2"/>
      <c r="H1164" s="2"/>
      <c r="I1164" s="2"/>
      <c r="J1164" s="2"/>
      <c r="K1164" s="2" t="str">
        <f t="shared" si="2"/>
        <v/>
      </c>
      <c r="L1164" s="2" t="str">
        <f t="shared" si="3"/>
        <v>No</v>
      </c>
      <c r="M1164" s="2" t="str">
        <f>IF(K1164="","",F1164*VLOOKUP(E1164,WEIGHTS!$A$2:$F$4,2,FALSE)+G1164*VLOOKUP(E1164,WEIGHTS!$A$2:$F$4,3,FALSE)+H1164*VLOOKUP(E1164,WEIGHTS!$A$2:$F$4,4,FALSE)+I1164*VLOOKUP(E1164,WEIGHTS!$A$2:$F$4,5,FALSE)+J1164*VLOOKUP(E1164,WEIGHTS!$A$2:$F$4,6,FALSE))</f>
        <v/>
      </c>
      <c r="N1164" s="2" t="str">
        <f t="shared" si="4"/>
        <v/>
      </c>
    </row>
    <row r="1165" ht="15.75" customHeight="1">
      <c r="A1165" s="3"/>
      <c r="B1165" s="2" t="str">
        <f t="shared" si="1"/>
        <v/>
      </c>
      <c r="E1165" s="2"/>
      <c r="F1165" s="2"/>
      <c r="G1165" s="2"/>
      <c r="H1165" s="2"/>
      <c r="I1165" s="2"/>
      <c r="J1165" s="2"/>
      <c r="K1165" s="2" t="str">
        <f t="shared" si="2"/>
        <v/>
      </c>
      <c r="L1165" s="2" t="str">
        <f t="shared" si="3"/>
        <v>No</v>
      </c>
      <c r="M1165" s="2" t="str">
        <f>IF(K1165="","",F1165*VLOOKUP(E1165,WEIGHTS!$A$2:$F$4,2,FALSE)+G1165*VLOOKUP(E1165,WEIGHTS!$A$2:$F$4,3,FALSE)+H1165*VLOOKUP(E1165,WEIGHTS!$A$2:$F$4,4,FALSE)+I1165*VLOOKUP(E1165,WEIGHTS!$A$2:$F$4,5,FALSE)+J1165*VLOOKUP(E1165,WEIGHTS!$A$2:$F$4,6,FALSE))</f>
        <v/>
      </c>
      <c r="N1165" s="2" t="str">
        <f t="shared" si="4"/>
        <v/>
      </c>
    </row>
    <row r="1166" ht="15.75" customHeight="1">
      <c r="A1166" s="3"/>
      <c r="B1166" s="2" t="str">
        <f t="shared" si="1"/>
        <v/>
      </c>
      <c r="E1166" s="2"/>
      <c r="F1166" s="2"/>
      <c r="G1166" s="2"/>
      <c r="H1166" s="2"/>
      <c r="I1166" s="2"/>
      <c r="J1166" s="2"/>
      <c r="K1166" s="2" t="str">
        <f t="shared" si="2"/>
        <v/>
      </c>
      <c r="L1166" s="2" t="str">
        <f t="shared" si="3"/>
        <v>No</v>
      </c>
      <c r="M1166" s="2" t="str">
        <f>IF(K1166="","",F1166*VLOOKUP(E1166,WEIGHTS!$A$2:$F$4,2,FALSE)+G1166*VLOOKUP(E1166,WEIGHTS!$A$2:$F$4,3,FALSE)+H1166*VLOOKUP(E1166,WEIGHTS!$A$2:$F$4,4,FALSE)+I1166*VLOOKUP(E1166,WEIGHTS!$A$2:$F$4,5,FALSE)+J1166*VLOOKUP(E1166,WEIGHTS!$A$2:$F$4,6,FALSE))</f>
        <v/>
      </c>
      <c r="N1166" s="2" t="str">
        <f t="shared" si="4"/>
        <v/>
      </c>
    </row>
    <row r="1167" ht="15.75" customHeight="1">
      <c r="A1167" s="3"/>
      <c r="B1167" s="2" t="str">
        <f t="shared" si="1"/>
        <v/>
      </c>
      <c r="E1167" s="2"/>
      <c r="F1167" s="2"/>
      <c r="G1167" s="2"/>
      <c r="H1167" s="2"/>
      <c r="I1167" s="2"/>
      <c r="J1167" s="2"/>
      <c r="K1167" s="2" t="str">
        <f t="shared" si="2"/>
        <v/>
      </c>
      <c r="L1167" s="2" t="str">
        <f t="shared" si="3"/>
        <v>No</v>
      </c>
      <c r="M1167" s="2" t="str">
        <f>IF(K1167="","",F1167*VLOOKUP(E1167,WEIGHTS!$A$2:$F$4,2,FALSE)+G1167*VLOOKUP(E1167,WEIGHTS!$A$2:$F$4,3,FALSE)+H1167*VLOOKUP(E1167,WEIGHTS!$A$2:$F$4,4,FALSE)+I1167*VLOOKUP(E1167,WEIGHTS!$A$2:$F$4,5,FALSE)+J1167*VLOOKUP(E1167,WEIGHTS!$A$2:$F$4,6,FALSE))</f>
        <v/>
      </c>
      <c r="N1167" s="2" t="str">
        <f t="shared" si="4"/>
        <v/>
      </c>
    </row>
    <row r="1168" ht="15.75" customHeight="1">
      <c r="A1168" s="3"/>
      <c r="B1168" s="2" t="str">
        <f t="shared" si="1"/>
        <v/>
      </c>
      <c r="E1168" s="2"/>
      <c r="F1168" s="2"/>
      <c r="G1168" s="2"/>
      <c r="H1168" s="2"/>
      <c r="I1168" s="2"/>
      <c r="J1168" s="2"/>
      <c r="K1168" s="2" t="str">
        <f t="shared" si="2"/>
        <v/>
      </c>
      <c r="L1168" s="2" t="str">
        <f t="shared" si="3"/>
        <v>No</v>
      </c>
      <c r="M1168" s="2" t="str">
        <f>IF(K1168="","",F1168*VLOOKUP(E1168,WEIGHTS!$A$2:$F$4,2,FALSE)+G1168*VLOOKUP(E1168,WEIGHTS!$A$2:$F$4,3,FALSE)+H1168*VLOOKUP(E1168,WEIGHTS!$A$2:$F$4,4,FALSE)+I1168*VLOOKUP(E1168,WEIGHTS!$A$2:$F$4,5,FALSE)+J1168*VLOOKUP(E1168,WEIGHTS!$A$2:$F$4,6,FALSE))</f>
        <v/>
      </c>
      <c r="N1168" s="2" t="str">
        <f t="shared" si="4"/>
        <v/>
      </c>
    </row>
    <row r="1169" ht="15.75" customHeight="1">
      <c r="A1169" s="3"/>
      <c r="B1169" s="2" t="str">
        <f t="shared" si="1"/>
        <v/>
      </c>
      <c r="E1169" s="2"/>
      <c r="F1169" s="2"/>
      <c r="G1169" s="2"/>
      <c r="H1169" s="2"/>
      <c r="I1169" s="2"/>
      <c r="J1169" s="2"/>
      <c r="K1169" s="2" t="str">
        <f t="shared" si="2"/>
        <v/>
      </c>
      <c r="L1169" s="2" t="str">
        <f t="shared" si="3"/>
        <v>No</v>
      </c>
      <c r="M1169" s="2" t="str">
        <f>IF(K1169="","",F1169*VLOOKUP(E1169,WEIGHTS!$A$2:$F$4,2,FALSE)+G1169*VLOOKUP(E1169,WEIGHTS!$A$2:$F$4,3,FALSE)+H1169*VLOOKUP(E1169,WEIGHTS!$A$2:$F$4,4,FALSE)+I1169*VLOOKUP(E1169,WEIGHTS!$A$2:$F$4,5,FALSE)+J1169*VLOOKUP(E1169,WEIGHTS!$A$2:$F$4,6,FALSE))</f>
        <v/>
      </c>
      <c r="N1169" s="2" t="str">
        <f t="shared" si="4"/>
        <v/>
      </c>
    </row>
    <row r="1170" ht="15.75" customHeight="1">
      <c r="A1170" s="3"/>
      <c r="B1170" s="2" t="str">
        <f t="shared" si="1"/>
        <v/>
      </c>
      <c r="E1170" s="2"/>
      <c r="F1170" s="2"/>
      <c r="G1170" s="2"/>
      <c r="H1170" s="2"/>
      <c r="I1170" s="2"/>
      <c r="J1170" s="2"/>
      <c r="K1170" s="2" t="str">
        <f t="shared" si="2"/>
        <v/>
      </c>
      <c r="L1170" s="2" t="str">
        <f t="shared" si="3"/>
        <v>No</v>
      </c>
      <c r="M1170" s="2" t="str">
        <f>IF(K1170="","",F1170*VLOOKUP(E1170,WEIGHTS!$A$2:$F$4,2,FALSE)+G1170*VLOOKUP(E1170,WEIGHTS!$A$2:$F$4,3,FALSE)+H1170*VLOOKUP(E1170,WEIGHTS!$A$2:$F$4,4,FALSE)+I1170*VLOOKUP(E1170,WEIGHTS!$A$2:$F$4,5,FALSE)+J1170*VLOOKUP(E1170,WEIGHTS!$A$2:$F$4,6,FALSE))</f>
        <v/>
      </c>
      <c r="N1170" s="2" t="str">
        <f t="shared" si="4"/>
        <v/>
      </c>
    </row>
    <row r="1171" ht="15.75" customHeight="1">
      <c r="A1171" s="3"/>
      <c r="B1171" s="2" t="str">
        <f t="shared" si="1"/>
        <v/>
      </c>
      <c r="E1171" s="2"/>
      <c r="F1171" s="2"/>
      <c r="G1171" s="2"/>
      <c r="H1171" s="2"/>
      <c r="I1171" s="2"/>
      <c r="J1171" s="2"/>
      <c r="K1171" s="2" t="str">
        <f t="shared" si="2"/>
        <v/>
      </c>
      <c r="L1171" s="2" t="str">
        <f t="shared" si="3"/>
        <v>No</v>
      </c>
      <c r="M1171" s="2" t="str">
        <f>IF(K1171="","",F1171*VLOOKUP(E1171,WEIGHTS!$A$2:$F$4,2,FALSE)+G1171*VLOOKUP(E1171,WEIGHTS!$A$2:$F$4,3,FALSE)+H1171*VLOOKUP(E1171,WEIGHTS!$A$2:$F$4,4,FALSE)+I1171*VLOOKUP(E1171,WEIGHTS!$A$2:$F$4,5,FALSE)+J1171*VLOOKUP(E1171,WEIGHTS!$A$2:$F$4,6,FALSE))</f>
        <v/>
      </c>
      <c r="N1171" s="2" t="str">
        <f t="shared" si="4"/>
        <v/>
      </c>
    </row>
    <row r="1172" ht="15.75" customHeight="1">
      <c r="A1172" s="3"/>
      <c r="B1172" s="2" t="str">
        <f t="shared" si="1"/>
        <v/>
      </c>
      <c r="E1172" s="2"/>
      <c r="F1172" s="2"/>
      <c r="G1172" s="2"/>
      <c r="H1172" s="2"/>
      <c r="I1172" s="2"/>
      <c r="J1172" s="2"/>
      <c r="K1172" s="2" t="str">
        <f t="shared" si="2"/>
        <v/>
      </c>
      <c r="L1172" s="2" t="str">
        <f t="shared" si="3"/>
        <v>No</v>
      </c>
      <c r="M1172" s="2" t="str">
        <f>IF(K1172="","",F1172*VLOOKUP(E1172,WEIGHTS!$A$2:$F$4,2,FALSE)+G1172*VLOOKUP(E1172,WEIGHTS!$A$2:$F$4,3,FALSE)+H1172*VLOOKUP(E1172,WEIGHTS!$A$2:$F$4,4,FALSE)+I1172*VLOOKUP(E1172,WEIGHTS!$A$2:$F$4,5,FALSE)+J1172*VLOOKUP(E1172,WEIGHTS!$A$2:$F$4,6,FALSE))</f>
        <v/>
      </c>
      <c r="N1172" s="2" t="str">
        <f t="shared" si="4"/>
        <v/>
      </c>
    </row>
    <row r="1173" ht="15.75" customHeight="1">
      <c r="A1173" s="3"/>
      <c r="B1173" s="2" t="str">
        <f t="shared" si="1"/>
        <v/>
      </c>
      <c r="E1173" s="2"/>
      <c r="F1173" s="2"/>
      <c r="G1173" s="2"/>
      <c r="H1173" s="2"/>
      <c r="I1173" s="2"/>
      <c r="J1173" s="2"/>
      <c r="K1173" s="2" t="str">
        <f t="shared" si="2"/>
        <v/>
      </c>
      <c r="L1173" s="2" t="str">
        <f t="shared" si="3"/>
        <v>No</v>
      </c>
      <c r="M1173" s="2" t="str">
        <f>IF(K1173="","",F1173*VLOOKUP(E1173,WEIGHTS!$A$2:$F$4,2,FALSE)+G1173*VLOOKUP(E1173,WEIGHTS!$A$2:$F$4,3,FALSE)+H1173*VLOOKUP(E1173,WEIGHTS!$A$2:$F$4,4,FALSE)+I1173*VLOOKUP(E1173,WEIGHTS!$A$2:$F$4,5,FALSE)+J1173*VLOOKUP(E1173,WEIGHTS!$A$2:$F$4,6,FALSE))</f>
        <v/>
      </c>
      <c r="N1173" s="2" t="str">
        <f t="shared" si="4"/>
        <v/>
      </c>
    </row>
    <row r="1174" ht="15.75" customHeight="1">
      <c r="A1174" s="3"/>
      <c r="B1174" s="2" t="str">
        <f t="shared" si="1"/>
        <v/>
      </c>
      <c r="E1174" s="2"/>
      <c r="F1174" s="2"/>
      <c r="G1174" s="2"/>
      <c r="H1174" s="2"/>
      <c r="I1174" s="2"/>
      <c r="J1174" s="2"/>
      <c r="K1174" s="2" t="str">
        <f t="shared" si="2"/>
        <v/>
      </c>
      <c r="L1174" s="2" t="str">
        <f t="shared" si="3"/>
        <v>No</v>
      </c>
      <c r="M1174" s="2" t="str">
        <f>IF(K1174="","",F1174*VLOOKUP(E1174,WEIGHTS!$A$2:$F$4,2,FALSE)+G1174*VLOOKUP(E1174,WEIGHTS!$A$2:$F$4,3,FALSE)+H1174*VLOOKUP(E1174,WEIGHTS!$A$2:$F$4,4,FALSE)+I1174*VLOOKUP(E1174,WEIGHTS!$A$2:$F$4,5,FALSE)+J1174*VLOOKUP(E1174,WEIGHTS!$A$2:$F$4,6,FALSE))</f>
        <v/>
      </c>
      <c r="N1174" s="2" t="str">
        <f t="shared" si="4"/>
        <v/>
      </c>
    </row>
    <row r="1175" ht="15.75" customHeight="1">
      <c r="A1175" s="3"/>
      <c r="B1175" s="2" t="str">
        <f t="shared" si="1"/>
        <v/>
      </c>
      <c r="E1175" s="2"/>
      <c r="F1175" s="2"/>
      <c r="G1175" s="2"/>
      <c r="H1175" s="2"/>
      <c r="I1175" s="2"/>
      <c r="J1175" s="2"/>
      <c r="K1175" s="2" t="str">
        <f t="shared" si="2"/>
        <v/>
      </c>
      <c r="L1175" s="2" t="str">
        <f t="shared" si="3"/>
        <v>No</v>
      </c>
      <c r="M1175" s="2" t="str">
        <f>IF(K1175="","",F1175*VLOOKUP(E1175,WEIGHTS!$A$2:$F$4,2,FALSE)+G1175*VLOOKUP(E1175,WEIGHTS!$A$2:$F$4,3,FALSE)+H1175*VLOOKUP(E1175,WEIGHTS!$A$2:$F$4,4,FALSE)+I1175*VLOOKUP(E1175,WEIGHTS!$A$2:$F$4,5,FALSE)+J1175*VLOOKUP(E1175,WEIGHTS!$A$2:$F$4,6,FALSE))</f>
        <v/>
      </c>
      <c r="N1175" s="2" t="str">
        <f t="shared" si="4"/>
        <v/>
      </c>
    </row>
    <row r="1176" ht="15.75" customHeight="1">
      <c r="A1176" s="3"/>
      <c r="B1176" s="2" t="str">
        <f t="shared" si="1"/>
        <v/>
      </c>
      <c r="E1176" s="2"/>
      <c r="F1176" s="2"/>
      <c r="G1176" s="2"/>
      <c r="H1176" s="2"/>
      <c r="I1176" s="2"/>
      <c r="J1176" s="2"/>
      <c r="K1176" s="2" t="str">
        <f t="shared" si="2"/>
        <v/>
      </c>
      <c r="L1176" s="2" t="str">
        <f t="shared" si="3"/>
        <v>No</v>
      </c>
      <c r="M1176" s="2" t="str">
        <f>IF(K1176="","",F1176*VLOOKUP(E1176,WEIGHTS!$A$2:$F$4,2,FALSE)+G1176*VLOOKUP(E1176,WEIGHTS!$A$2:$F$4,3,FALSE)+H1176*VLOOKUP(E1176,WEIGHTS!$A$2:$F$4,4,FALSE)+I1176*VLOOKUP(E1176,WEIGHTS!$A$2:$F$4,5,FALSE)+J1176*VLOOKUP(E1176,WEIGHTS!$A$2:$F$4,6,FALSE))</f>
        <v/>
      </c>
      <c r="N1176" s="2" t="str">
        <f t="shared" si="4"/>
        <v/>
      </c>
    </row>
    <row r="1177" ht="15.75" customHeight="1">
      <c r="A1177" s="3"/>
      <c r="B1177" s="2" t="str">
        <f t="shared" si="1"/>
        <v/>
      </c>
      <c r="E1177" s="2"/>
      <c r="F1177" s="2"/>
      <c r="G1177" s="2"/>
      <c r="H1177" s="2"/>
      <c r="I1177" s="2"/>
      <c r="J1177" s="2"/>
      <c r="K1177" s="2" t="str">
        <f t="shared" si="2"/>
        <v/>
      </c>
      <c r="L1177" s="2" t="str">
        <f t="shared" si="3"/>
        <v>No</v>
      </c>
      <c r="M1177" s="2" t="str">
        <f>IF(K1177="","",F1177*VLOOKUP(E1177,WEIGHTS!$A$2:$F$4,2,FALSE)+G1177*VLOOKUP(E1177,WEIGHTS!$A$2:$F$4,3,FALSE)+H1177*VLOOKUP(E1177,WEIGHTS!$A$2:$F$4,4,FALSE)+I1177*VLOOKUP(E1177,WEIGHTS!$A$2:$F$4,5,FALSE)+J1177*VLOOKUP(E1177,WEIGHTS!$A$2:$F$4,6,FALSE))</f>
        <v/>
      </c>
      <c r="N1177" s="2" t="str">
        <f t="shared" si="4"/>
        <v/>
      </c>
    </row>
    <row r="1178" ht="15.75" customHeight="1">
      <c r="A1178" s="3"/>
      <c r="B1178" s="2" t="str">
        <f t="shared" si="1"/>
        <v/>
      </c>
      <c r="E1178" s="2"/>
      <c r="F1178" s="2"/>
      <c r="G1178" s="2"/>
      <c r="H1178" s="2"/>
      <c r="I1178" s="2"/>
      <c r="J1178" s="2"/>
      <c r="K1178" s="2" t="str">
        <f t="shared" si="2"/>
        <v/>
      </c>
      <c r="L1178" s="2" t="str">
        <f t="shared" si="3"/>
        <v>No</v>
      </c>
      <c r="M1178" s="2" t="str">
        <f>IF(K1178="","",F1178*VLOOKUP(E1178,WEIGHTS!$A$2:$F$4,2,FALSE)+G1178*VLOOKUP(E1178,WEIGHTS!$A$2:$F$4,3,FALSE)+H1178*VLOOKUP(E1178,WEIGHTS!$A$2:$F$4,4,FALSE)+I1178*VLOOKUP(E1178,WEIGHTS!$A$2:$F$4,5,FALSE)+J1178*VLOOKUP(E1178,WEIGHTS!$A$2:$F$4,6,FALSE))</f>
        <v/>
      </c>
      <c r="N1178" s="2" t="str">
        <f t="shared" si="4"/>
        <v/>
      </c>
    </row>
    <row r="1179" ht="15.75" customHeight="1">
      <c r="A1179" s="3"/>
      <c r="B1179" s="2" t="str">
        <f t="shared" si="1"/>
        <v/>
      </c>
      <c r="E1179" s="2"/>
      <c r="F1179" s="2"/>
      <c r="G1179" s="2"/>
      <c r="H1179" s="2"/>
      <c r="I1179" s="2"/>
      <c r="J1179" s="2"/>
      <c r="K1179" s="2" t="str">
        <f t="shared" si="2"/>
        <v/>
      </c>
      <c r="L1179" s="2" t="str">
        <f t="shared" si="3"/>
        <v>No</v>
      </c>
      <c r="M1179" s="2" t="str">
        <f>IF(K1179="","",F1179*VLOOKUP(E1179,WEIGHTS!$A$2:$F$4,2,FALSE)+G1179*VLOOKUP(E1179,WEIGHTS!$A$2:$F$4,3,FALSE)+H1179*VLOOKUP(E1179,WEIGHTS!$A$2:$F$4,4,FALSE)+I1179*VLOOKUP(E1179,WEIGHTS!$A$2:$F$4,5,FALSE)+J1179*VLOOKUP(E1179,WEIGHTS!$A$2:$F$4,6,FALSE))</f>
        <v/>
      </c>
      <c r="N1179" s="2" t="str">
        <f t="shared" si="4"/>
        <v/>
      </c>
    </row>
    <row r="1180" ht="15.75" customHeight="1">
      <c r="A1180" s="3"/>
      <c r="B1180" s="2" t="str">
        <f t="shared" si="1"/>
        <v/>
      </c>
      <c r="E1180" s="2"/>
      <c r="F1180" s="2"/>
      <c r="G1180" s="2"/>
      <c r="H1180" s="2"/>
      <c r="I1180" s="2"/>
      <c r="J1180" s="2"/>
      <c r="K1180" s="2" t="str">
        <f t="shared" si="2"/>
        <v/>
      </c>
      <c r="L1180" s="2" t="str">
        <f t="shared" si="3"/>
        <v>No</v>
      </c>
      <c r="M1180" s="2" t="str">
        <f>IF(K1180="","",F1180*VLOOKUP(E1180,WEIGHTS!$A$2:$F$4,2,FALSE)+G1180*VLOOKUP(E1180,WEIGHTS!$A$2:$F$4,3,FALSE)+H1180*VLOOKUP(E1180,WEIGHTS!$A$2:$F$4,4,FALSE)+I1180*VLOOKUP(E1180,WEIGHTS!$A$2:$F$4,5,FALSE)+J1180*VLOOKUP(E1180,WEIGHTS!$A$2:$F$4,6,FALSE))</f>
        <v/>
      </c>
      <c r="N1180" s="2" t="str">
        <f t="shared" si="4"/>
        <v/>
      </c>
    </row>
    <row r="1181" ht="15.75" customHeight="1">
      <c r="A1181" s="3"/>
      <c r="B1181" s="2" t="str">
        <f t="shared" si="1"/>
        <v/>
      </c>
      <c r="E1181" s="2"/>
      <c r="F1181" s="2"/>
      <c r="G1181" s="2"/>
      <c r="H1181" s="2"/>
      <c r="I1181" s="2"/>
      <c r="J1181" s="2"/>
      <c r="K1181" s="2" t="str">
        <f t="shared" si="2"/>
        <v/>
      </c>
      <c r="L1181" s="2" t="str">
        <f t="shared" si="3"/>
        <v>No</v>
      </c>
      <c r="M1181" s="2" t="str">
        <f>IF(K1181="","",F1181*VLOOKUP(E1181,WEIGHTS!$A$2:$F$4,2,FALSE)+G1181*VLOOKUP(E1181,WEIGHTS!$A$2:$F$4,3,FALSE)+H1181*VLOOKUP(E1181,WEIGHTS!$A$2:$F$4,4,FALSE)+I1181*VLOOKUP(E1181,WEIGHTS!$A$2:$F$4,5,FALSE)+J1181*VLOOKUP(E1181,WEIGHTS!$A$2:$F$4,6,FALSE))</f>
        <v/>
      </c>
      <c r="N1181" s="2" t="str">
        <f t="shared" si="4"/>
        <v/>
      </c>
    </row>
    <row r="1182" ht="15.75" customHeight="1">
      <c r="A1182" s="3"/>
      <c r="B1182" s="2" t="str">
        <f t="shared" si="1"/>
        <v/>
      </c>
      <c r="E1182" s="2"/>
      <c r="F1182" s="2"/>
      <c r="G1182" s="2"/>
      <c r="H1182" s="2"/>
      <c r="I1182" s="2"/>
      <c r="J1182" s="2"/>
      <c r="K1182" s="2" t="str">
        <f t="shared" si="2"/>
        <v/>
      </c>
      <c r="L1182" s="2" t="str">
        <f t="shared" si="3"/>
        <v>No</v>
      </c>
      <c r="M1182" s="2" t="str">
        <f>IF(K1182="","",F1182*VLOOKUP(E1182,WEIGHTS!$A$2:$F$4,2,FALSE)+G1182*VLOOKUP(E1182,WEIGHTS!$A$2:$F$4,3,FALSE)+H1182*VLOOKUP(E1182,WEIGHTS!$A$2:$F$4,4,FALSE)+I1182*VLOOKUP(E1182,WEIGHTS!$A$2:$F$4,5,FALSE)+J1182*VLOOKUP(E1182,WEIGHTS!$A$2:$F$4,6,FALSE))</f>
        <v/>
      </c>
      <c r="N1182" s="2" t="str">
        <f t="shared" si="4"/>
        <v/>
      </c>
    </row>
    <row r="1183" ht="15.75" customHeight="1">
      <c r="A1183" s="3"/>
      <c r="B1183" s="2" t="str">
        <f t="shared" si="1"/>
        <v/>
      </c>
      <c r="E1183" s="2"/>
      <c r="F1183" s="2"/>
      <c r="G1183" s="2"/>
      <c r="H1183" s="2"/>
      <c r="I1183" s="2"/>
      <c r="J1183" s="2"/>
      <c r="K1183" s="2" t="str">
        <f t="shared" si="2"/>
        <v/>
      </c>
      <c r="L1183" s="2" t="str">
        <f t="shared" si="3"/>
        <v>No</v>
      </c>
      <c r="M1183" s="2" t="str">
        <f>IF(K1183="","",F1183*VLOOKUP(E1183,WEIGHTS!$A$2:$F$4,2,FALSE)+G1183*VLOOKUP(E1183,WEIGHTS!$A$2:$F$4,3,FALSE)+H1183*VLOOKUP(E1183,WEIGHTS!$A$2:$F$4,4,FALSE)+I1183*VLOOKUP(E1183,WEIGHTS!$A$2:$F$4,5,FALSE)+J1183*VLOOKUP(E1183,WEIGHTS!$A$2:$F$4,6,FALSE))</f>
        <v/>
      </c>
      <c r="N1183" s="2" t="str">
        <f t="shared" si="4"/>
        <v/>
      </c>
    </row>
    <row r="1184" ht="15.75" customHeight="1">
      <c r="A1184" s="3"/>
      <c r="B1184" s="2" t="str">
        <f t="shared" si="1"/>
        <v/>
      </c>
      <c r="E1184" s="2"/>
      <c r="F1184" s="2"/>
      <c r="G1184" s="2"/>
      <c r="H1184" s="2"/>
      <c r="I1184" s="2"/>
      <c r="J1184" s="2"/>
      <c r="K1184" s="2" t="str">
        <f t="shared" si="2"/>
        <v/>
      </c>
      <c r="L1184" s="2" t="str">
        <f t="shared" si="3"/>
        <v>No</v>
      </c>
      <c r="M1184" s="2" t="str">
        <f>IF(K1184="","",F1184*VLOOKUP(E1184,WEIGHTS!$A$2:$F$4,2,FALSE)+G1184*VLOOKUP(E1184,WEIGHTS!$A$2:$F$4,3,FALSE)+H1184*VLOOKUP(E1184,WEIGHTS!$A$2:$F$4,4,FALSE)+I1184*VLOOKUP(E1184,WEIGHTS!$A$2:$F$4,5,FALSE)+J1184*VLOOKUP(E1184,WEIGHTS!$A$2:$F$4,6,FALSE))</f>
        <v/>
      </c>
      <c r="N1184" s="2" t="str">
        <f t="shared" si="4"/>
        <v/>
      </c>
    </row>
    <row r="1185" ht="15.75" customHeight="1">
      <c r="A1185" s="3"/>
      <c r="B1185" s="2" t="str">
        <f t="shared" si="1"/>
        <v/>
      </c>
      <c r="E1185" s="2"/>
      <c r="F1185" s="2"/>
      <c r="G1185" s="2"/>
      <c r="H1185" s="2"/>
      <c r="I1185" s="2"/>
      <c r="J1185" s="2"/>
      <c r="K1185" s="2" t="str">
        <f t="shared" si="2"/>
        <v/>
      </c>
      <c r="L1185" s="2" t="str">
        <f t="shared" si="3"/>
        <v>No</v>
      </c>
      <c r="M1185" s="2" t="str">
        <f>IF(K1185="","",F1185*VLOOKUP(E1185,WEIGHTS!$A$2:$F$4,2,FALSE)+G1185*VLOOKUP(E1185,WEIGHTS!$A$2:$F$4,3,FALSE)+H1185*VLOOKUP(E1185,WEIGHTS!$A$2:$F$4,4,FALSE)+I1185*VLOOKUP(E1185,WEIGHTS!$A$2:$F$4,5,FALSE)+J1185*VLOOKUP(E1185,WEIGHTS!$A$2:$F$4,6,FALSE))</f>
        <v/>
      </c>
      <c r="N1185" s="2" t="str">
        <f t="shared" si="4"/>
        <v/>
      </c>
    </row>
    <row r="1186" ht="15.75" customHeight="1">
      <c r="A1186" s="3"/>
      <c r="B1186" s="2" t="str">
        <f t="shared" si="1"/>
        <v/>
      </c>
      <c r="E1186" s="2"/>
      <c r="F1186" s="2"/>
      <c r="G1186" s="2"/>
      <c r="H1186" s="2"/>
      <c r="I1186" s="2"/>
      <c r="J1186" s="2"/>
      <c r="K1186" s="2" t="str">
        <f t="shared" si="2"/>
        <v/>
      </c>
      <c r="L1186" s="2" t="str">
        <f t="shared" si="3"/>
        <v>No</v>
      </c>
      <c r="M1186" s="2" t="str">
        <f>IF(K1186="","",F1186*VLOOKUP(E1186,WEIGHTS!$A$2:$F$4,2,FALSE)+G1186*VLOOKUP(E1186,WEIGHTS!$A$2:$F$4,3,FALSE)+H1186*VLOOKUP(E1186,WEIGHTS!$A$2:$F$4,4,FALSE)+I1186*VLOOKUP(E1186,WEIGHTS!$A$2:$F$4,5,FALSE)+J1186*VLOOKUP(E1186,WEIGHTS!$A$2:$F$4,6,FALSE))</f>
        <v/>
      </c>
      <c r="N1186" s="2" t="str">
        <f t="shared" si="4"/>
        <v/>
      </c>
    </row>
    <row r="1187" ht="15.75" customHeight="1">
      <c r="A1187" s="3"/>
      <c r="B1187" s="2" t="str">
        <f t="shared" si="1"/>
        <v/>
      </c>
      <c r="E1187" s="2"/>
      <c r="F1187" s="2"/>
      <c r="G1187" s="2"/>
      <c r="H1187" s="2"/>
      <c r="I1187" s="2"/>
      <c r="J1187" s="2"/>
      <c r="K1187" s="2" t="str">
        <f t="shared" si="2"/>
        <v/>
      </c>
      <c r="L1187" s="2" t="str">
        <f t="shared" si="3"/>
        <v>No</v>
      </c>
      <c r="M1187" s="2" t="str">
        <f>IF(K1187="","",F1187*VLOOKUP(E1187,WEIGHTS!$A$2:$F$4,2,FALSE)+G1187*VLOOKUP(E1187,WEIGHTS!$A$2:$F$4,3,FALSE)+H1187*VLOOKUP(E1187,WEIGHTS!$A$2:$F$4,4,FALSE)+I1187*VLOOKUP(E1187,WEIGHTS!$A$2:$F$4,5,FALSE)+J1187*VLOOKUP(E1187,WEIGHTS!$A$2:$F$4,6,FALSE))</f>
        <v/>
      </c>
      <c r="N1187" s="2" t="str">
        <f t="shared" si="4"/>
        <v/>
      </c>
    </row>
    <row r="1188" ht="15.75" customHeight="1">
      <c r="A1188" s="3"/>
      <c r="B1188" s="2" t="str">
        <f t="shared" si="1"/>
        <v/>
      </c>
      <c r="E1188" s="2"/>
      <c r="F1188" s="2"/>
      <c r="G1188" s="2"/>
      <c r="H1188" s="2"/>
      <c r="I1188" s="2"/>
      <c r="J1188" s="2"/>
      <c r="K1188" s="2" t="str">
        <f t="shared" si="2"/>
        <v/>
      </c>
      <c r="L1188" s="2" t="str">
        <f t="shared" si="3"/>
        <v>No</v>
      </c>
      <c r="M1188" s="2" t="str">
        <f>IF(K1188="","",F1188*VLOOKUP(E1188,WEIGHTS!$A$2:$F$4,2,FALSE)+G1188*VLOOKUP(E1188,WEIGHTS!$A$2:$F$4,3,FALSE)+H1188*VLOOKUP(E1188,WEIGHTS!$A$2:$F$4,4,FALSE)+I1188*VLOOKUP(E1188,WEIGHTS!$A$2:$F$4,5,FALSE)+J1188*VLOOKUP(E1188,WEIGHTS!$A$2:$F$4,6,FALSE))</f>
        <v/>
      </c>
      <c r="N1188" s="2" t="str">
        <f t="shared" si="4"/>
        <v/>
      </c>
    </row>
    <row r="1189" ht="15.75" customHeight="1">
      <c r="A1189" s="3"/>
      <c r="B1189" s="2" t="str">
        <f t="shared" si="1"/>
        <v/>
      </c>
      <c r="E1189" s="2"/>
      <c r="F1189" s="2"/>
      <c r="G1189" s="2"/>
      <c r="H1189" s="2"/>
      <c r="I1189" s="2"/>
      <c r="J1189" s="2"/>
      <c r="K1189" s="2" t="str">
        <f t="shared" si="2"/>
        <v/>
      </c>
      <c r="L1189" s="2" t="str">
        <f t="shared" si="3"/>
        <v>No</v>
      </c>
      <c r="M1189" s="2" t="str">
        <f>IF(K1189="","",F1189*VLOOKUP(E1189,WEIGHTS!$A$2:$F$4,2,FALSE)+G1189*VLOOKUP(E1189,WEIGHTS!$A$2:$F$4,3,FALSE)+H1189*VLOOKUP(E1189,WEIGHTS!$A$2:$F$4,4,FALSE)+I1189*VLOOKUP(E1189,WEIGHTS!$A$2:$F$4,5,FALSE)+J1189*VLOOKUP(E1189,WEIGHTS!$A$2:$F$4,6,FALSE))</f>
        <v/>
      </c>
      <c r="N1189" s="2" t="str">
        <f t="shared" si="4"/>
        <v/>
      </c>
    </row>
    <row r="1190" ht="15.75" customHeight="1">
      <c r="A1190" s="3"/>
      <c r="B1190" s="2" t="str">
        <f t="shared" si="1"/>
        <v/>
      </c>
      <c r="E1190" s="2"/>
      <c r="F1190" s="2"/>
      <c r="G1190" s="2"/>
      <c r="H1190" s="2"/>
      <c r="I1190" s="2"/>
      <c r="J1190" s="2"/>
      <c r="K1190" s="2" t="str">
        <f t="shared" si="2"/>
        <v/>
      </c>
      <c r="L1190" s="2" t="str">
        <f t="shared" si="3"/>
        <v>No</v>
      </c>
      <c r="M1190" s="2" t="str">
        <f>IF(K1190="","",F1190*VLOOKUP(E1190,WEIGHTS!$A$2:$F$4,2,FALSE)+G1190*VLOOKUP(E1190,WEIGHTS!$A$2:$F$4,3,FALSE)+H1190*VLOOKUP(E1190,WEIGHTS!$A$2:$F$4,4,FALSE)+I1190*VLOOKUP(E1190,WEIGHTS!$A$2:$F$4,5,FALSE)+J1190*VLOOKUP(E1190,WEIGHTS!$A$2:$F$4,6,FALSE))</f>
        <v/>
      </c>
      <c r="N1190" s="2" t="str">
        <f t="shared" si="4"/>
        <v/>
      </c>
    </row>
    <row r="1191" ht="15.75" customHeight="1">
      <c r="A1191" s="3"/>
      <c r="B1191" s="2" t="str">
        <f t="shared" si="1"/>
        <v/>
      </c>
      <c r="E1191" s="2"/>
      <c r="F1191" s="2"/>
      <c r="G1191" s="2"/>
      <c r="H1191" s="2"/>
      <c r="I1191" s="2"/>
      <c r="J1191" s="2"/>
      <c r="K1191" s="2" t="str">
        <f t="shared" si="2"/>
        <v/>
      </c>
      <c r="L1191" s="2" t="str">
        <f t="shared" si="3"/>
        <v>No</v>
      </c>
      <c r="M1191" s="2" t="str">
        <f>IF(K1191="","",F1191*VLOOKUP(E1191,WEIGHTS!$A$2:$F$4,2,FALSE)+G1191*VLOOKUP(E1191,WEIGHTS!$A$2:$F$4,3,FALSE)+H1191*VLOOKUP(E1191,WEIGHTS!$A$2:$F$4,4,FALSE)+I1191*VLOOKUP(E1191,WEIGHTS!$A$2:$F$4,5,FALSE)+J1191*VLOOKUP(E1191,WEIGHTS!$A$2:$F$4,6,FALSE))</f>
        <v/>
      </c>
      <c r="N1191" s="2" t="str">
        <f t="shared" si="4"/>
        <v/>
      </c>
    </row>
    <row r="1192" ht="15.75" customHeight="1">
      <c r="A1192" s="3"/>
      <c r="B1192" s="2" t="str">
        <f t="shared" si="1"/>
        <v/>
      </c>
      <c r="E1192" s="2"/>
      <c r="F1192" s="2"/>
      <c r="G1192" s="2"/>
      <c r="H1192" s="2"/>
      <c r="I1192" s="2"/>
      <c r="J1192" s="2"/>
      <c r="K1192" s="2" t="str">
        <f t="shared" si="2"/>
        <v/>
      </c>
      <c r="L1192" s="2" t="str">
        <f t="shared" si="3"/>
        <v>No</v>
      </c>
      <c r="M1192" s="2" t="str">
        <f>IF(K1192="","",F1192*VLOOKUP(E1192,WEIGHTS!$A$2:$F$4,2,FALSE)+G1192*VLOOKUP(E1192,WEIGHTS!$A$2:$F$4,3,FALSE)+H1192*VLOOKUP(E1192,WEIGHTS!$A$2:$F$4,4,FALSE)+I1192*VLOOKUP(E1192,WEIGHTS!$A$2:$F$4,5,FALSE)+J1192*VLOOKUP(E1192,WEIGHTS!$A$2:$F$4,6,FALSE))</f>
        <v/>
      </c>
      <c r="N1192" s="2" t="str">
        <f t="shared" si="4"/>
        <v/>
      </c>
    </row>
    <row r="1193" ht="15.75" customHeight="1">
      <c r="A1193" s="3"/>
      <c r="B1193" s="2" t="str">
        <f t="shared" si="1"/>
        <v/>
      </c>
      <c r="E1193" s="2"/>
      <c r="F1193" s="2"/>
      <c r="G1193" s="2"/>
      <c r="H1193" s="2"/>
      <c r="I1193" s="2"/>
      <c r="J1193" s="2"/>
      <c r="K1193" s="2" t="str">
        <f t="shared" si="2"/>
        <v/>
      </c>
      <c r="L1193" s="2" t="str">
        <f t="shared" si="3"/>
        <v>No</v>
      </c>
      <c r="M1193" s="2" t="str">
        <f>IF(K1193="","",F1193*VLOOKUP(E1193,WEIGHTS!$A$2:$F$4,2,FALSE)+G1193*VLOOKUP(E1193,WEIGHTS!$A$2:$F$4,3,FALSE)+H1193*VLOOKUP(E1193,WEIGHTS!$A$2:$F$4,4,FALSE)+I1193*VLOOKUP(E1193,WEIGHTS!$A$2:$F$4,5,FALSE)+J1193*VLOOKUP(E1193,WEIGHTS!$A$2:$F$4,6,FALSE))</f>
        <v/>
      </c>
      <c r="N1193" s="2" t="str">
        <f t="shared" si="4"/>
        <v/>
      </c>
    </row>
    <row r="1194" ht="15.75" customHeight="1">
      <c r="A1194" s="3"/>
      <c r="B1194" s="2" t="str">
        <f t="shared" si="1"/>
        <v/>
      </c>
      <c r="E1194" s="2"/>
      <c r="F1194" s="2"/>
      <c r="G1194" s="2"/>
      <c r="H1194" s="2"/>
      <c r="I1194" s="2"/>
      <c r="J1194" s="2"/>
      <c r="K1194" s="2" t="str">
        <f t="shared" si="2"/>
        <v/>
      </c>
      <c r="L1194" s="2" t="str">
        <f t="shared" si="3"/>
        <v>No</v>
      </c>
      <c r="M1194" s="2" t="str">
        <f>IF(K1194="","",F1194*VLOOKUP(E1194,WEIGHTS!$A$2:$F$4,2,FALSE)+G1194*VLOOKUP(E1194,WEIGHTS!$A$2:$F$4,3,FALSE)+H1194*VLOOKUP(E1194,WEIGHTS!$A$2:$F$4,4,FALSE)+I1194*VLOOKUP(E1194,WEIGHTS!$A$2:$F$4,5,FALSE)+J1194*VLOOKUP(E1194,WEIGHTS!$A$2:$F$4,6,FALSE))</f>
        <v/>
      </c>
      <c r="N1194" s="2" t="str">
        <f t="shared" si="4"/>
        <v/>
      </c>
    </row>
    <row r="1195" ht="15.75" customHeight="1">
      <c r="A1195" s="3"/>
      <c r="B1195" s="2" t="str">
        <f t="shared" si="1"/>
        <v/>
      </c>
      <c r="E1195" s="2"/>
      <c r="F1195" s="2"/>
      <c r="G1195" s="2"/>
      <c r="H1195" s="2"/>
      <c r="I1195" s="2"/>
      <c r="J1195" s="2"/>
      <c r="K1195" s="2" t="str">
        <f t="shared" si="2"/>
        <v/>
      </c>
      <c r="L1195" s="2" t="str">
        <f t="shared" si="3"/>
        <v>No</v>
      </c>
      <c r="M1195" s="2" t="str">
        <f>IF(K1195="","",F1195*VLOOKUP(E1195,WEIGHTS!$A$2:$F$4,2,FALSE)+G1195*VLOOKUP(E1195,WEIGHTS!$A$2:$F$4,3,FALSE)+H1195*VLOOKUP(E1195,WEIGHTS!$A$2:$F$4,4,FALSE)+I1195*VLOOKUP(E1195,WEIGHTS!$A$2:$F$4,5,FALSE)+J1195*VLOOKUP(E1195,WEIGHTS!$A$2:$F$4,6,FALSE))</f>
        <v/>
      </c>
      <c r="N1195" s="2" t="str">
        <f t="shared" si="4"/>
        <v/>
      </c>
    </row>
    <row r="1196" ht="15.75" customHeight="1">
      <c r="A1196" s="3"/>
      <c r="B1196" s="2" t="str">
        <f t="shared" si="1"/>
        <v/>
      </c>
      <c r="E1196" s="2"/>
      <c r="F1196" s="2"/>
      <c r="G1196" s="2"/>
      <c r="H1196" s="2"/>
      <c r="I1196" s="2"/>
      <c r="J1196" s="2"/>
      <c r="K1196" s="2" t="str">
        <f t="shared" si="2"/>
        <v/>
      </c>
      <c r="L1196" s="2" t="str">
        <f t="shared" si="3"/>
        <v>No</v>
      </c>
      <c r="M1196" s="2" t="str">
        <f>IF(K1196="","",F1196*VLOOKUP(E1196,WEIGHTS!$A$2:$F$4,2,FALSE)+G1196*VLOOKUP(E1196,WEIGHTS!$A$2:$F$4,3,FALSE)+H1196*VLOOKUP(E1196,WEIGHTS!$A$2:$F$4,4,FALSE)+I1196*VLOOKUP(E1196,WEIGHTS!$A$2:$F$4,5,FALSE)+J1196*VLOOKUP(E1196,WEIGHTS!$A$2:$F$4,6,FALSE))</f>
        <v/>
      </c>
      <c r="N1196" s="2" t="str">
        <f t="shared" si="4"/>
        <v/>
      </c>
    </row>
    <row r="1197" ht="15.75" customHeight="1">
      <c r="A1197" s="3"/>
      <c r="B1197" s="2" t="str">
        <f t="shared" si="1"/>
        <v/>
      </c>
      <c r="E1197" s="2"/>
      <c r="F1197" s="2"/>
      <c r="G1197" s="2"/>
      <c r="H1197" s="2"/>
      <c r="I1197" s="2"/>
      <c r="J1197" s="2"/>
      <c r="K1197" s="2" t="str">
        <f t="shared" si="2"/>
        <v/>
      </c>
      <c r="L1197" s="2" t="str">
        <f t="shared" si="3"/>
        <v>No</v>
      </c>
      <c r="M1197" s="2" t="str">
        <f>IF(K1197="","",F1197*VLOOKUP(E1197,WEIGHTS!$A$2:$F$4,2,FALSE)+G1197*VLOOKUP(E1197,WEIGHTS!$A$2:$F$4,3,FALSE)+H1197*VLOOKUP(E1197,WEIGHTS!$A$2:$F$4,4,FALSE)+I1197*VLOOKUP(E1197,WEIGHTS!$A$2:$F$4,5,FALSE)+J1197*VLOOKUP(E1197,WEIGHTS!$A$2:$F$4,6,FALSE))</f>
        <v/>
      </c>
      <c r="N1197" s="2" t="str">
        <f t="shared" si="4"/>
        <v/>
      </c>
    </row>
    <row r="1198" ht="15.75" customHeight="1">
      <c r="A1198" s="3"/>
      <c r="B1198" s="2" t="str">
        <f t="shared" si="1"/>
        <v/>
      </c>
      <c r="E1198" s="2"/>
      <c r="F1198" s="2"/>
      <c r="G1198" s="2"/>
      <c r="H1198" s="2"/>
      <c r="I1198" s="2"/>
      <c r="J1198" s="2"/>
      <c r="K1198" s="2" t="str">
        <f t="shared" si="2"/>
        <v/>
      </c>
      <c r="L1198" s="2" t="str">
        <f t="shared" si="3"/>
        <v>No</v>
      </c>
      <c r="M1198" s="2" t="str">
        <f>IF(K1198="","",F1198*VLOOKUP(E1198,WEIGHTS!$A$2:$F$4,2,FALSE)+G1198*VLOOKUP(E1198,WEIGHTS!$A$2:$F$4,3,FALSE)+H1198*VLOOKUP(E1198,WEIGHTS!$A$2:$F$4,4,FALSE)+I1198*VLOOKUP(E1198,WEIGHTS!$A$2:$F$4,5,FALSE)+J1198*VLOOKUP(E1198,WEIGHTS!$A$2:$F$4,6,FALSE))</f>
        <v/>
      </c>
      <c r="N1198" s="2" t="str">
        <f t="shared" si="4"/>
        <v/>
      </c>
    </row>
    <row r="1199" ht="15.75" customHeight="1">
      <c r="A1199" s="3"/>
      <c r="B1199" s="2" t="str">
        <f t="shared" si="1"/>
        <v/>
      </c>
      <c r="E1199" s="2"/>
      <c r="F1199" s="2"/>
      <c r="G1199" s="2"/>
      <c r="H1199" s="2"/>
      <c r="I1199" s="2"/>
      <c r="J1199" s="2"/>
      <c r="K1199" s="2" t="str">
        <f t="shared" si="2"/>
        <v/>
      </c>
      <c r="L1199" s="2" t="str">
        <f t="shared" si="3"/>
        <v>No</v>
      </c>
      <c r="M1199" s="2" t="str">
        <f>IF(K1199="","",F1199*VLOOKUP(E1199,WEIGHTS!$A$2:$F$4,2,FALSE)+G1199*VLOOKUP(E1199,WEIGHTS!$A$2:$F$4,3,FALSE)+H1199*VLOOKUP(E1199,WEIGHTS!$A$2:$F$4,4,FALSE)+I1199*VLOOKUP(E1199,WEIGHTS!$A$2:$F$4,5,FALSE)+J1199*VLOOKUP(E1199,WEIGHTS!$A$2:$F$4,6,FALSE))</f>
        <v/>
      </c>
      <c r="N1199" s="2" t="str">
        <f t="shared" si="4"/>
        <v/>
      </c>
    </row>
    <row r="1200" ht="15.75" customHeight="1">
      <c r="A1200" s="3"/>
      <c r="B1200" s="2" t="str">
        <f t="shared" si="1"/>
        <v/>
      </c>
      <c r="E1200" s="2"/>
      <c r="F1200" s="2"/>
      <c r="G1200" s="2"/>
      <c r="H1200" s="2"/>
      <c r="I1200" s="2"/>
      <c r="J1200" s="2"/>
      <c r="K1200" s="2" t="str">
        <f t="shared" si="2"/>
        <v/>
      </c>
      <c r="L1200" s="2" t="str">
        <f t="shared" si="3"/>
        <v>No</v>
      </c>
      <c r="M1200" s="2" t="str">
        <f>IF(K1200="","",F1200*VLOOKUP(E1200,WEIGHTS!$A$2:$F$4,2,FALSE)+G1200*VLOOKUP(E1200,WEIGHTS!$A$2:$F$4,3,FALSE)+H1200*VLOOKUP(E1200,WEIGHTS!$A$2:$F$4,4,FALSE)+I1200*VLOOKUP(E1200,WEIGHTS!$A$2:$F$4,5,FALSE)+J1200*VLOOKUP(E1200,WEIGHTS!$A$2:$F$4,6,FALSE))</f>
        <v/>
      </c>
      <c r="N1200" s="2" t="str">
        <f t="shared" si="4"/>
        <v/>
      </c>
    </row>
    <row r="1201" ht="15.75" customHeight="1">
      <c r="A1201" s="3"/>
      <c r="B1201" s="2" t="str">
        <f t="shared" si="1"/>
        <v/>
      </c>
      <c r="E1201" s="2"/>
      <c r="F1201" s="2"/>
      <c r="G1201" s="2"/>
      <c r="H1201" s="2"/>
      <c r="I1201" s="2"/>
      <c r="J1201" s="2"/>
      <c r="K1201" s="2" t="str">
        <f t="shared" si="2"/>
        <v/>
      </c>
      <c r="L1201" s="2" t="str">
        <f t="shared" si="3"/>
        <v>No</v>
      </c>
      <c r="M1201" s="2" t="str">
        <f>IF(K1201="","",F1201*VLOOKUP(E1201,WEIGHTS!$A$2:$F$4,2,FALSE)+G1201*VLOOKUP(E1201,WEIGHTS!$A$2:$F$4,3,FALSE)+H1201*VLOOKUP(E1201,WEIGHTS!$A$2:$F$4,4,FALSE)+I1201*VLOOKUP(E1201,WEIGHTS!$A$2:$F$4,5,FALSE)+J1201*VLOOKUP(E1201,WEIGHTS!$A$2:$F$4,6,FALSE))</f>
        <v/>
      </c>
      <c r="N1201" s="2" t="str">
        <f t="shared" si="4"/>
        <v/>
      </c>
    </row>
    <row r="1202" ht="15.75" customHeight="1">
      <c r="A1202" s="3"/>
      <c r="B1202" s="2" t="str">
        <f t="shared" si="1"/>
        <v/>
      </c>
      <c r="E1202" s="2"/>
      <c r="F1202" s="2"/>
      <c r="G1202" s="2"/>
      <c r="H1202" s="2"/>
      <c r="I1202" s="2"/>
      <c r="J1202" s="2"/>
      <c r="K1202" s="2" t="str">
        <f t="shared" si="2"/>
        <v/>
      </c>
      <c r="L1202" s="2" t="str">
        <f t="shared" si="3"/>
        <v>No</v>
      </c>
      <c r="M1202" s="2" t="str">
        <f>IF(K1202="","",F1202*VLOOKUP(E1202,WEIGHTS!$A$2:$F$4,2,FALSE)+G1202*VLOOKUP(E1202,WEIGHTS!$A$2:$F$4,3,FALSE)+H1202*VLOOKUP(E1202,WEIGHTS!$A$2:$F$4,4,FALSE)+I1202*VLOOKUP(E1202,WEIGHTS!$A$2:$F$4,5,FALSE)+J1202*VLOOKUP(E1202,WEIGHTS!$A$2:$F$4,6,FALSE))</f>
        <v/>
      </c>
      <c r="N1202" s="2" t="str">
        <f t="shared" si="4"/>
        <v/>
      </c>
    </row>
    <row r="1203" ht="15.75" customHeight="1">
      <c r="A1203" s="3"/>
      <c r="B1203" s="2" t="str">
        <f t="shared" si="1"/>
        <v/>
      </c>
      <c r="E1203" s="2"/>
      <c r="F1203" s="2"/>
      <c r="G1203" s="2"/>
      <c r="H1203" s="2"/>
      <c r="I1203" s="2"/>
      <c r="J1203" s="2"/>
      <c r="K1203" s="2" t="str">
        <f t="shared" si="2"/>
        <v/>
      </c>
      <c r="L1203" s="2" t="str">
        <f t="shared" si="3"/>
        <v>No</v>
      </c>
      <c r="M1203" s="2" t="str">
        <f>IF(K1203="","",F1203*VLOOKUP(E1203,WEIGHTS!$A$2:$F$4,2,FALSE)+G1203*VLOOKUP(E1203,WEIGHTS!$A$2:$F$4,3,FALSE)+H1203*VLOOKUP(E1203,WEIGHTS!$A$2:$F$4,4,FALSE)+I1203*VLOOKUP(E1203,WEIGHTS!$A$2:$F$4,5,FALSE)+J1203*VLOOKUP(E1203,WEIGHTS!$A$2:$F$4,6,FALSE))</f>
        <v/>
      </c>
      <c r="N1203" s="2" t="str">
        <f t="shared" si="4"/>
        <v/>
      </c>
    </row>
    <row r="1204" ht="15.75" customHeight="1">
      <c r="A1204" s="3"/>
      <c r="B1204" s="2" t="str">
        <f t="shared" si="1"/>
        <v/>
      </c>
      <c r="E1204" s="2"/>
      <c r="F1204" s="2"/>
      <c r="G1204" s="2"/>
      <c r="H1204" s="2"/>
      <c r="I1204" s="2"/>
      <c r="J1204" s="2"/>
      <c r="K1204" s="2" t="str">
        <f t="shared" si="2"/>
        <v/>
      </c>
      <c r="L1204" s="2" t="str">
        <f t="shared" si="3"/>
        <v>No</v>
      </c>
      <c r="M1204" s="2" t="str">
        <f>IF(K1204="","",F1204*VLOOKUP(E1204,WEIGHTS!$A$2:$F$4,2,FALSE)+G1204*VLOOKUP(E1204,WEIGHTS!$A$2:$F$4,3,FALSE)+H1204*VLOOKUP(E1204,WEIGHTS!$A$2:$F$4,4,FALSE)+I1204*VLOOKUP(E1204,WEIGHTS!$A$2:$F$4,5,FALSE)+J1204*VLOOKUP(E1204,WEIGHTS!$A$2:$F$4,6,FALSE))</f>
        <v/>
      </c>
      <c r="N1204" s="2" t="str">
        <f t="shared" si="4"/>
        <v/>
      </c>
    </row>
    <row r="1205" ht="15.75" customHeight="1">
      <c r="A1205" s="3"/>
      <c r="B1205" s="2" t="str">
        <f t="shared" si="1"/>
        <v/>
      </c>
      <c r="E1205" s="2"/>
      <c r="F1205" s="2"/>
      <c r="G1205" s="2"/>
      <c r="H1205" s="2"/>
      <c r="I1205" s="2"/>
      <c r="J1205" s="2"/>
      <c r="K1205" s="2" t="str">
        <f t="shared" si="2"/>
        <v/>
      </c>
      <c r="L1205" s="2" t="str">
        <f t="shared" si="3"/>
        <v>No</v>
      </c>
      <c r="M1205" s="2" t="str">
        <f>IF(K1205="","",F1205*VLOOKUP(E1205,WEIGHTS!$A$2:$F$4,2,FALSE)+G1205*VLOOKUP(E1205,WEIGHTS!$A$2:$F$4,3,FALSE)+H1205*VLOOKUP(E1205,WEIGHTS!$A$2:$F$4,4,FALSE)+I1205*VLOOKUP(E1205,WEIGHTS!$A$2:$F$4,5,FALSE)+J1205*VLOOKUP(E1205,WEIGHTS!$A$2:$F$4,6,FALSE))</f>
        <v/>
      </c>
      <c r="N1205" s="2" t="str">
        <f t="shared" si="4"/>
        <v/>
      </c>
    </row>
    <row r="1206" ht="15.75" customHeight="1">
      <c r="A1206" s="3"/>
      <c r="B1206" s="2" t="str">
        <f t="shared" si="1"/>
        <v/>
      </c>
      <c r="E1206" s="2"/>
      <c r="F1206" s="2"/>
      <c r="G1206" s="2"/>
      <c r="H1206" s="2"/>
      <c r="I1206" s="2"/>
      <c r="J1206" s="2"/>
      <c r="K1206" s="2" t="str">
        <f t="shared" si="2"/>
        <v/>
      </c>
      <c r="L1206" s="2" t="str">
        <f t="shared" si="3"/>
        <v>No</v>
      </c>
      <c r="M1206" s="2" t="str">
        <f>IF(K1206="","",F1206*VLOOKUP(E1206,WEIGHTS!$A$2:$F$4,2,FALSE)+G1206*VLOOKUP(E1206,WEIGHTS!$A$2:$F$4,3,FALSE)+H1206*VLOOKUP(E1206,WEIGHTS!$A$2:$F$4,4,FALSE)+I1206*VLOOKUP(E1206,WEIGHTS!$A$2:$F$4,5,FALSE)+J1206*VLOOKUP(E1206,WEIGHTS!$A$2:$F$4,6,FALSE))</f>
        <v/>
      </c>
      <c r="N1206" s="2" t="str">
        <f t="shared" si="4"/>
        <v/>
      </c>
    </row>
    <row r="1207" ht="15.75" customHeight="1">
      <c r="A1207" s="3"/>
      <c r="B1207" s="2" t="str">
        <f t="shared" si="1"/>
        <v/>
      </c>
      <c r="E1207" s="2"/>
      <c r="F1207" s="2"/>
      <c r="G1207" s="2"/>
      <c r="H1207" s="2"/>
      <c r="I1207" s="2"/>
      <c r="J1207" s="2"/>
      <c r="K1207" s="2" t="str">
        <f t="shared" si="2"/>
        <v/>
      </c>
      <c r="L1207" s="2" t="str">
        <f t="shared" si="3"/>
        <v>No</v>
      </c>
      <c r="M1207" s="2" t="str">
        <f>IF(K1207="","",F1207*VLOOKUP(E1207,WEIGHTS!$A$2:$F$4,2,FALSE)+G1207*VLOOKUP(E1207,WEIGHTS!$A$2:$F$4,3,FALSE)+H1207*VLOOKUP(E1207,WEIGHTS!$A$2:$F$4,4,FALSE)+I1207*VLOOKUP(E1207,WEIGHTS!$A$2:$F$4,5,FALSE)+J1207*VLOOKUP(E1207,WEIGHTS!$A$2:$F$4,6,FALSE))</f>
        <v/>
      </c>
      <c r="N1207" s="2" t="str">
        <f t="shared" si="4"/>
        <v/>
      </c>
    </row>
    <row r="1208" ht="15.75" customHeight="1">
      <c r="A1208" s="3"/>
      <c r="B1208" s="2" t="str">
        <f t="shared" si="1"/>
        <v/>
      </c>
      <c r="E1208" s="2"/>
      <c r="F1208" s="2"/>
      <c r="G1208" s="2"/>
      <c r="H1208" s="2"/>
      <c r="I1208" s="2"/>
      <c r="J1208" s="2"/>
      <c r="K1208" s="2" t="str">
        <f t="shared" si="2"/>
        <v/>
      </c>
      <c r="L1208" s="2" t="str">
        <f t="shared" si="3"/>
        <v>No</v>
      </c>
      <c r="M1208" s="2" t="str">
        <f>IF(K1208="","",F1208*VLOOKUP(E1208,WEIGHTS!$A$2:$F$4,2,FALSE)+G1208*VLOOKUP(E1208,WEIGHTS!$A$2:$F$4,3,FALSE)+H1208*VLOOKUP(E1208,WEIGHTS!$A$2:$F$4,4,FALSE)+I1208*VLOOKUP(E1208,WEIGHTS!$A$2:$F$4,5,FALSE)+J1208*VLOOKUP(E1208,WEIGHTS!$A$2:$F$4,6,FALSE))</f>
        <v/>
      </c>
      <c r="N1208" s="2" t="str">
        <f t="shared" si="4"/>
        <v/>
      </c>
    </row>
    <row r="1209" ht="15.75" customHeight="1">
      <c r="A1209" s="3"/>
      <c r="B1209" s="2" t="str">
        <f t="shared" si="1"/>
        <v/>
      </c>
      <c r="E1209" s="2"/>
      <c r="F1209" s="2"/>
      <c r="G1209" s="2"/>
      <c r="H1209" s="2"/>
      <c r="I1209" s="2"/>
      <c r="J1209" s="2"/>
      <c r="K1209" s="2" t="str">
        <f t="shared" si="2"/>
        <v/>
      </c>
      <c r="L1209" s="2" t="str">
        <f t="shared" si="3"/>
        <v>No</v>
      </c>
      <c r="M1209" s="2" t="str">
        <f>IF(K1209="","",F1209*VLOOKUP(E1209,WEIGHTS!$A$2:$F$4,2,FALSE)+G1209*VLOOKUP(E1209,WEIGHTS!$A$2:$F$4,3,FALSE)+H1209*VLOOKUP(E1209,WEIGHTS!$A$2:$F$4,4,FALSE)+I1209*VLOOKUP(E1209,WEIGHTS!$A$2:$F$4,5,FALSE)+J1209*VLOOKUP(E1209,WEIGHTS!$A$2:$F$4,6,FALSE))</f>
        <v/>
      </c>
      <c r="N1209" s="2" t="str">
        <f t="shared" si="4"/>
        <v/>
      </c>
    </row>
    <row r="1210" ht="15.75" customHeight="1">
      <c r="A1210" s="3"/>
      <c r="B1210" s="2" t="str">
        <f t="shared" si="1"/>
        <v/>
      </c>
      <c r="E1210" s="2"/>
      <c r="F1210" s="2"/>
      <c r="G1210" s="2"/>
      <c r="H1210" s="2"/>
      <c r="I1210" s="2"/>
      <c r="J1210" s="2"/>
      <c r="K1210" s="2" t="str">
        <f t="shared" si="2"/>
        <v/>
      </c>
      <c r="L1210" s="2" t="str">
        <f t="shared" si="3"/>
        <v>No</v>
      </c>
      <c r="M1210" s="2" t="str">
        <f>IF(K1210="","",F1210*VLOOKUP(E1210,WEIGHTS!$A$2:$F$4,2,FALSE)+G1210*VLOOKUP(E1210,WEIGHTS!$A$2:$F$4,3,FALSE)+H1210*VLOOKUP(E1210,WEIGHTS!$A$2:$F$4,4,FALSE)+I1210*VLOOKUP(E1210,WEIGHTS!$A$2:$F$4,5,FALSE)+J1210*VLOOKUP(E1210,WEIGHTS!$A$2:$F$4,6,FALSE))</f>
        <v/>
      </c>
      <c r="N1210" s="2" t="str">
        <f t="shared" si="4"/>
        <v/>
      </c>
    </row>
    <row r="1211" ht="15.75" customHeight="1">
      <c r="A1211" s="3"/>
      <c r="B1211" s="2" t="str">
        <f t="shared" si="1"/>
        <v/>
      </c>
      <c r="E1211" s="2"/>
      <c r="F1211" s="2"/>
      <c r="G1211" s="2"/>
      <c r="H1211" s="2"/>
      <c r="I1211" s="2"/>
      <c r="J1211" s="2"/>
      <c r="K1211" s="2" t="str">
        <f t="shared" si="2"/>
        <v/>
      </c>
      <c r="L1211" s="2" t="str">
        <f t="shared" si="3"/>
        <v>No</v>
      </c>
      <c r="M1211" s="2" t="str">
        <f>IF(K1211="","",F1211*VLOOKUP(E1211,WEIGHTS!$A$2:$F$4,2,FALSE)+G1211*VLOOKUP(E1211,WEIGHTS!$A$2:$F$4,3,FALSE)+H1211*VLOOKUP(E1211,WEIGHTS!$A$2:$F$4,4,FALSE)+I1211*VLOOKUP(E1211,WEIGHTS!$A$2:$F$4,5,FALSE)+J1211*VLOOKUP(E1211,WEIGHTS!$A$2:$F$4,6,FALSE))</f>
        <v/>
      </c>
      <c r="N1211" s="2" t="str">
        <f t="shared" si="4"/>
        <v/>
      </c>
    </row>
    <row r="1212" ht="15.75" customHeight="1">
      <c r="A1212" s="3"/>
      <c r="B1212" s="2" t="str">
        <f t="shared" si="1"/>
        <v/>
      </c>
      <c r="E1212" s="2"/>
      <c r="F1212" s="2"/>
      <c r="G1212" s="2"/>
      <c r="H1212" s="2"/>
      <c r="I1212" s="2"/>
      <c r="J1212" s="2"/>
      <c r="K1212" s="2" t="str">
        <f t="shared" si="2"/>
        <v/>
      </c>
      <c r="L1212" s="2" t="str">
        <f t="shared" si="3"/>
        <v>No</v>
      </c>
      <c r="M1212" s="2" t="str">
        <f>IF(K1212="","",F1212*VLOOKUP(E1212,WEIGHTS!$A$2:$F$4,2,FALSE)+G1212*VLOOKUP(E1212,WEIGHTS!$A$2:$F$4,3,FALSE)+H1212*VLOOKUP(E1212,WEIGHTS!$A$2:$F$4,4,FALSE)+I1212*VLOOKUP(E1212,WEIGHTS!$A$2:$F$4,5,FALSE)+J1212*VLOOKUP(E1212,WEIGHTS!$A$2:$F$4,6,FALSE))</f>
        <v/>
      </c>
      <c r="N1212" s="2" t="str">
        <f t="shared" si="4"/>
        <v/>
      </c>
    </row>
    <row r="1213" ht="15.75" customHeight="1">
      <c r="A1213" s="3"/>
      <c r="B1213" s="2" t="str">
        <f t="shared" si="1"/>
        <v/>
      </c>
      <c r="E1213" s="2"/>
      <c r="F1213" s="2"/>
      <c r="G1213" s="2"/>
      <c r="H1213" s="2"/>
      <c r="I1213" s="2"/>
      <c r="J1213" s="2"/>
      <c r="K1213" s="2" t="str">
        <f t="shared" si="2"/>
        <v/>
      </c>
      <c r="L1213" s="2" t="str">
        <f t="shared" si="3"/>
        <v>No</v>
      </c>
      <c r="M1213" s="2" t="str">
        <f>IF(K1213="","",F1213*VLOOKUP(E1213,WEIGHTS!$A$2:$F$4,2,FALSE)+G1213*VLOOKUP(E1213,WEIGHTS!$A$2:$F$4,3,FALSE)+H1213*VLOOKUP(E1213,WEIGHTS!$A$2:$F$4,4,FALSE)+I1213*VLOOKUP(E1213,WEIGHTS!$A$2:$F$4,5,FALSE)+J1213*VLOOKUP(E1213,WEIGHTS!$A$2:$F$4,6,FALSE))</f>
        <v/>
      </c>
      <c r="N1213" s="2" t="str">
        <f t="shared" si="4"/>
        <v/>
      </c>
    </row>
    <row r="1214" ht="15.75" customHeight="1">
      <c r="A1214" s="3"/>
      <c r="B1214" s="2" t="str">
        <f t="shared" si="1"/>
        <v/>
      </c>
      <c r="E1214" s="2"/>
      <c r="F1214" s="2"/>
      <c r="G1214" s="2"/>
      <c r="H1214" s="2"/>
      <c r="I1214" s="2"/>
      <c r="J1214" s="2"/>
      <c r="K1214" s="2" t="str">
        <f t="shared" si="2"/>
        <v/>
      </c>
      <c r="L1214" s="2" t="str">
        <f t="shared" si="3"/>
        <v>No</v>
      </c>
      <c r="M1214" s="2" t="str">
        <f>IF(K1214="","",F1214*VLOOKUP(E1214,WEIGHTS!$A$2:$F$4,2,FALSE)+G1214*VLOOKUP(E1214,WEIGHTS!$A$2:$F$4,3,FALSE)+H1214*VLOOKUP(E1214,WEIGHTS!$A$2:$F$4,4,FALSE)+I1214*VLOOKUP(E1214,WEIGHTS!$A$2:$F$4,5,FALSE)+J1214*VLOOKUP(E1214,WEIGHTS!$A$2:$F$4,6,FALSE))</f>
        <v/>
      </c>
      <c r="N1214" s="2" t="str">
        <f t="shared" si="4"/>
        <v/>
      </c>
    </row>
    <row r="1215" ht="15.75" customHeight="1">
      <c r="A1215" s="3"/>
      <c r="B1215" s="2" t="str">
        <f t="shared" si="1"/>
        <v/>
      </c>
      <c r="E1215" s="2"/>
      <c r="F1215" s="2"/>
      <c r="G1215" s="2"/>
      <c r="H1215" s="2"/>
      <c r="I1215" s="2"/>
      <c r="J1215" s="2"/>
      <c r="K1215" s="2" t="str">
        <f t="shared" si="2"/>
        <v/>
      </c>
      <c r="L1215" s="2" t="str">
        <f t="shared" si="3"/>
        <v>No</v>
      </c>
      <c r="M1215" s="2" t="str">
        <f>IF(K1215="","",F1215*VLOOKUP(E1215,WEIGHTS!$A$2:$F$4,2,FALSE)+G1215*VLOOKUP(E1215,WEIGHTS!$A$2:$F$4,3,FALSE)+H1215*VLOOKUP(E1215,WEIGHTS!$A$2:$F$4,4,FALSE)+I1215*VLOOKUP(E1215,WEIGHTS!$A$2:$F$4,5,FALSE)+J1215*VLOOKUP(E1215,WEIGHTS!$A$2:$F$4,6,FALSE))</f>
        <v/>
      </c>
      <c r="N1215" s="2" t="str">
        <f t="shared" si="4"/>
        <v/>
      </c>
    </row>
    <row r="1216" ht="15.75" customHeight="1">
      <c r="A1216" s="3"/>
      <c r="B1216" s="2" t="str">
        <f t="shared" si="1"/>
        <v/>
      </c>
      <c r="E1216" s="2"/>
      <c r="F1216" s="2"/>
      <c r="G1216" s="2"/>
      <c r="H1216" s="2"/>
      <c r="I1216" s="2"/>
      <c r="J1216" s="2"/>
      <c r="K1216" s="2" t="str">
        <f t="shared" si="2"/>
        <v/>
      </c>
      <c r="L1216" s="2" t="str">
        <f t="shared" si="3"/>
        <v>No</v>
      </c>
      <c r="M1216" s="2" t="str">
        <f>IF(K1216="","",F1216*VLOOKUP(E1216,WEIGHTS!$A$2:$F$4,2,FALSE)+G1216*VLOOKUP(E1216,WEIGHTS!$A$2:$F$4,3,FALSE)+H1216*VLOOKUP(E1216,WEIGHTS!$A$2:$F$4,4,FALSE)+I1216*VLOOKUP(E1216,WEIGHTS!$A$2:$F$4,5,FALSE)+J1216*VLOOKUP(E1216,WEIGHTS!$A$2:$F$4,6,FALSE))</f>
        <v/>
      </c>
      <c r="N1216" s="2" t="str">
        <f t="shared" si="4"/>
        <v/>
      </c>
    </row>
    <row r="1217" ht="15.75" customHeight="1">
      <c r="A1217" s="3"/>
      <c r="B1217" s="2" t="str">
        <f t="shared" si="1"/>
        <v/>
      </c>
      <c r="E1217" s="2"/>
      <c r="F1217" s="2"/>
      <c r="G1217" s="2"/>
      <c r="H1217" s="2"/>
      <c r="I1217" s="2"/>
      <c r="J1217" s="2"/>
      <c r="K1217" s="2" t="str">
        <f t="shared" si="2"/>
        <v/>
      </c>
      <c r="L1217" s="2" t="str">
        <f t="shared" si="3"/>
        <v>No</v>
      </c>
      <c r="M1217" s="2" t="str">
        <f>IF(K1217="","",F1217*VLOOKUP(E1217,WEIGHTS!$A$2:$F$4,2,FALSE)+G1217*VLOOKUP(E1217,WEIGHTS!$A$2:$F$4,3,FALSE)+H1217*VLOOKUP(E1217,WEIGHTS!$A$2:$F$4,4,FALSE)+I1217*VLOOKUP(E1217,WEIGHTS!$A$2:$F$4,5,FALSE)+J1217*VLOOKUP(E1217,WEIGHTS!$A$2:$F$4,6,FALSE))</f>
        <v/>
      </c>
      <c r="N1217" s="2" t="str">
        <f t="shared" si="4"/>
        <v/>
      </c>
    </row>
    <row r="1218" ht="15.75" customHeight="1">
      <c r="A1218" s="3"/>
      <c r="B1218" s="2" t="str">
        <f t="shared" si="1"/>
        <v/>
      </c>
      <c r="E1218" s="2"/>
      <c r="F1218" s="2"/>
      <c r="G1218" s="2"/>
      <c r="H1218" s="2"/>
      <c r="I1218" s="2"/>
      <c r="J1218" s="2"/>
      <c r="K1218" s="2" t="str">
        <f t="shared" si="2"/>
        <v/>
      </c>
      <c r="L1218" s="2" t="str">
        <f t="shared" si="3"/>
        <v>No</v>
      </c>
      <c r="M1218" s="2" t="str">
        <f>IF(K1218="","",F1218*VLOOKUP(E1218,WEIGHTS!$A$2:$F$4,2,FALSE)+G1218*VLOOKUP(E1218,WEIGHTS!$A$2:$F$4,3,FALSE)+H1218*VLOOKUP(E1218,WEIGHTS!$A$2:$F$4,4,FALSE)+I1218*VLOOKUP(E1218,WEIGHTS!$A$2:$F$4,5,FALSE)+J1218*VLOOKUP(E1218,WEIGHTS!$A$2:$F$4,6,FALSE))</f>
        <v/>
      </c>
      <c r="N1218" s="2" t="str">
        <f t="shared" si="4"/>
        <v/>
      </c>
    </row>
    <row r="1219" ht="15.75" customHeight="1">
      <c r="A1219" s="3"/>
      <c r="B1219" s="2" t="str">
        <f t="shared" si="1"/>
        <v/>
      </c>
      <c r="E1219" s="2"/>
      <c r="F1219" s="2"/>
      <c r="G1219" s="2"/>
      <c r="H1219" s="2"/>
      <c r="I1219" s="2"/>
      <c r="J1219" s="2"/>
      <c r="K1219" s="2" t="str">
        <f t="shared" si="2"/>
        <v/>
      </c>
      <c r="L1219" s="2" t="str">
        <f t="shared" si="3"/>
        <v>No</v>
      </c>
      <c r="M1219" s="2" t="str">
        <f>IF(K1219="","",F1219*VLOOKUP(E1219,WEIGHTS!$A$2:$F$4,2,FALSE)+G1219*VLOOKUP(E1219,WEIGHTS!$A$2:$F$4,3,FALSE)+H1219*VLOOKUP(E1219,WEIGHTS!$A$2:$F$4,4,FALSE)+I1219*VLOOKUP(E1219,WEIGHTS!$A$2:$F$4,5,FALSE)+J1219*VLOOKUP(E1219,WEIGHTS!$A$2:$F$4,6,FALSE))</f>
        <v/>
      </c>
      <c r="N1219" s="2" t="str">
        <f t="shared" si="4"/>
        <v/>
      </c>
    </row>
    <row r="1220" ht="15.75" customHeight="1">
      <c r="A1220" s="3"/>
      <c r="B1220" s="2" t="str">
        <f t="shared" si="1"/>
        <v/>
      </c>
      <c r="E1220" s="2"/>
      <c r="F1220" s="2"/>
      <c r="G1220" s="2"/>
      <c r="H1220" s="2"/>
      <c r="I1220" s="2"/>
      <c r="J1220" s="2"/>
      <c r="K1220" s="2" t="str">
        <f t="shared" si="2"/>
        <v/>
      </c>
      <c r="L1220" s="2" t="str">
        <f t="shared" si="3"/>
        <v>No</v>
      </c>
      <c r="M1220" s="2" t="str">
        <f>IF(K1220="","",F1220*VLOOKUP(E1220,WEIGHTS!$A$2:$F$4,2,FALSE)+G1220*VLOOKUP(E1220,WEIGHTS!$A$2:$F$4,3,FALSE)+H1220*VLOOKUP(E1220,WEIGHTS!$A$2:$F$4,4,FALSE)+I1220*VLOOKUP(E1220,WEIGHTS!$A$2:$F$4,5,FALSE)+J1220*VLOOKUP(E1220,WEIGHTS!$A$2:$F$4,6,FALSE))</f>
        <v/>
      </c>
      <c r="N1220" s="2" t="str">
        <f t="shared" si="4"/>
        <v/>
      </c>
    </row>
    <row r="1221" ht="15.75" customHeight="1">
      <c r="A1221" s="3"/>
      <c r="B1221" s="2" t="str">
        <f t="shared" si="1"/>
        <v/>
      </c>
      <c r="E1221" s="2"/>
      <c r="F1221" s="2"/>
      <c r="G1221" s="2"/>
      <c r="H1221" s="2"/>
      <c r="I1221" s="2"/>
      <c r="J1221" s="2"/>
      <c r="K1221" s="2" t="str">
        <f t="shared" si="2"/>
        <v/>
      </c>
      <c r="L1221" s="2" t="str">
        <f t="shared" si="3"/>
        <v>No</v>
      </c>
      <c r="M1221" s="2" t="str">
        <f>IF(K1221="","",F1221*VLOOKUP(E1221,WEIGHTS!$A$2:$F$4,2,FALSE)+G1221*VLOOKUP(E1221,WEIGHTS!$A$2:$F$4,3,FALSE)+H1221*VLOOKUP(E1221,WEIGHTS!$A$2:$F$4,4,FALSE)+I1221*VLOOKUP(E1221,WEIGHTS!$A$2:$F$4,5,FALSE)+J1221*VLOOKUP(E1221,WEIGHTS!$A$2:$F$4,6,FALSE))</f>
        <v/>
      </c>
      <c r="N1221" s="2" t="str">
        <f t="shared" si="4"/>
        <v/>
      </c>
    </row>
    <row r="1222" ht="15.75" customHeight="1">
      <c r="A1222" s="3"/>
      <c r="B1222" s="2" t="str">
        <f t="shared" si="1"/>
        <v/>
      </c>
      <c r="E1222" s="2"/>
      <c r="F1222" s="2"/>
      <c r="G1222" s="2"/>
      <c r="H1222" s="2"/>
      <c r="I1222" s="2"/>
      <c r="J1222" s="2"/>
      <c r="K1222" s="2" t="str">
        <f t="shared" si="2"/>
        <v/>
      </c>
      <c r="L1222" s="2" t="str">
        <f t="shared" si="3"/>
        <v>No</v>
      </c>
      <c r="M1222" s="2" t="str">
        <f>IF(K1222="","",F1222*VLOOKUP(E1222,WEIGHTS!$A$2:$F$4,2,FALSE)+G1222*VLOOKUP(E1222,WEIGHTS!$A$2:$F$4,3,FALSE)+H1222*VLOOKUP(E1222,WEIGHTS!$A$2:$F$4,4,FALSE)+I1222*VLOOKUP(E1222,WEIGHTS!$A$2:$F$4,5,FALSE)+J1222*VLOOKUP(E1222,WEIGHTS!$A$2:$F$4,6,FALSE))</f>
        <v/>
      </c>
      <c r="N1222" s="2" t="str">
        <f t="shared" si="4"/>
        <v/>
      </c>
    </row>
    <row r="1223" ht="15.75" customHeight="1">
      <c r="A1223" s="3"/>
      <c r="B1223" s="2" t="str">
        <f t="shared" si="1"/>
        <v/>
      </c>
      <c r="E1223" s="2"/>
      <c r="F1223" s="2"/>
      <c r="G1223" s="2"/>
      <c r="H1223" s="2"/>
      <c r="I1223" s="2"/>
      <c r="J1223" s="2"/>
      <c r="K1223" s="2" t="str">
        <f t="shared" si="2"/>
        <v/>
      </c>
      <c r="L1223" s="2" t="str">
        <f t="shared" si="3"/>
        <v>No</v>
      </c>
      <c r="M1223" s="2" t="str">
        <f>IF(K1223="","",F1223*VLOOKUP(E1223,WEIGHTS!$A$2:$F$4,2,FALSE)+G1223*VLOOKUP(E1223,WEIGHTS!$A$2:$F$4,3,FALSE)+H1223*VLOOKUP(E1223,WEIGHTS!$A$2:$F$4,4,FALSE)+I1223*VLOOKUP(E1223,WEIGHTS!$A$2:$F$4,5,FALSE)+J1223*VLOOKUP(E1223,WEIGHTS!$A$2:$F$4,6,FALSE))</f>
        <v/>
      </c>
      <c r="N1223" s="2" t="str">
        <f t="shared" si="4"/>
        <v/>
      </c>
    </row>
    <row r="1224" ht="15.75" customHeight="1">
      <c r="A1224" s="3"/>
      <c r="B1224" s="2" t="str">
        <f t="shared" si="1"/>
        <v/>
      </c>
      <c r="E1224" s="2"/>
      <c r="F1224" s="2"/>
      <c r="G1224" s="2"/>
      <c r="H1224" s="2"/>
      <c r="I1224" s="2"/>
      <c r="J1224" s="2"/>
      <c r="K1224" s="2" t="str">
        <f t="shared" si="2"/>
        <v/>
      </c>
      <c r="L1224" s="2" t="str">
        <f t="shared" si="3"/>
        <v>No</v>
      </c>
      <c r="M1224" s="2" t="str">
        <f>IF(K1224="","",F1224*VLOOKUP(E1224,WEIGHTS!$A$2:$F$4,2,FALSE)+G1224*VLOOKUP(E1224,WEIGHTS!$A$2:$F$4,3,FALSE)+H1224*VLOOKUP(E1224,WEIGHTS!$A$2:$F$4,4,FALSE)+I1224*VLOOKUP(E1224,WEIGHTS!$A$2:$F$4,5,FALSE)+J1224*VLOOKUP(E1224,WEIGHTS!$A$2:$F$4,6,FALSE))</f>
        <v/>
      </c>
      <c r="N1224" s="2" t="str">
        <f t="shared" si="4"/>
        <v/>
      </c>
    </row>
    <row r="1225" ht="15.75" customHeight="1">
      <c r="A1225" s="3"/>
      <c r="B1225" s="2" t="str">
        <f t="shared" si="1"/>
        <v/>
      </c>
      <c r="E1225" s="2"/>
      <c r="F1225" s="2"/>
      <c r="G1225" s="2"/>
      <c r="H1225" s="2"/>
      <c r="I1225" s="2"/>
      <c r="J1225" s="2"/>
      <c r="K1225" s="2" t="str">
        <f t="shared" si="2"/>
        <v/>
      </c>
      <c r="L1225" s="2" t="str">
        <f t="shared" si="3"/>
        <v>No</v>
      </c>
      <c r="M1225" s="2" t="str">
        <f>IF(K1225="","",F1225*VLOOKUP(E1225,WEIGHTS!$A$2:$F$4,2,FALSE)+G1225*VLOOKUP(E1225,WEIGHTS!$A$2:$F$4,3,FALSE)+H1225*VLOOKUP(E1225,WEIGHTS!$A$2:$F$4,4,FALSE)+I1225*VLOOKUP(E1225,WEIGHTS!$A$2:$F$4,5,FALSE)+J1225*VLOOKUP(E1225,WEIGHTS!$A$2:$F$4,6,FALSE))</f>
        <v/>
      </c>
      <c r="N1225" s="2" t="str">
        <f t="shared" si="4"/>
        <v/>
      </c>
    </row>
    <row r="1226" ht="15.75" customHeight="1">
      <c r="A1226" s="3"/>
      <c r="B1226" s="2" t="str">
        <f t="shared" si="1"/>
        <v/>
      </c>
      <c r="E1226" s="2"/>
      <c r="F1226" s="2"/>
      <c r="G1226" s="2"/>
      <c r="H1226" s="2"/>
      <c r="I1226" s="2"/>
      <c r="J1226" s="2"/>
      <c r="K1226" s="2" t="str">
        <f t="shared" si="2"/>
        <v/>
      </c>
      <c r="L1226" s="2" t="str">
        <f t="shared" si="3"/>
        <v>No</v>
      </c>
      <c r="M1226" s="2" t="str">
        <f>IF(K1226="","",F1226*VLOOKUP(E1226,WEIGHTS!$A$2:$F$4,2,FALSE)+G1226*VLOOKUP(E1226,WEIGHTS!$A$2:$F$4,3,FALSE)+H1226*VLOOKUP(E1226,WEIGHTS!$A$2:$F$4,4,FALSE)+I1226*VLOOKUP(E1226,WEIGHTS!$A$2:$F$4,5,FALSE)+J1226*VLOOKUP(E1226,WEIGHTS!$A$2:$F$4,6,FALSE))</f>
        <v/>
      </c>
      <c r="N1226" s="2" t="str">
        <f t="shared" si="4"/>
        <v/>
      </c>
    </row>
    <row r="1227" ht="15.75" customHeight="1">
      <c r="A1227" s="3"/>
      <c r="B1227" s="2" t="str">
        <f t="shared" si="1"/>
        <v/>
      </c>
      <c r="E1227" s="2"/>
      <c r="F1227" s="2"/>
      <c r="G1227" s="2"/>
      <c r="H1227" s="2"/>
      <c r="I1227" s="2"/>
      <c r="J1227" s="2"/>
      <c r="K1227" s="2" t="str">
        <f t="shared" si="2"/>
        <v/>
      </c>
      <c r="L1227" s="2" t="str">
        <f t="shared" si="3"/>
        <v>No</v>
      </c>
      <c r="M1227" s="2" t="str">
        <f>IF(K1227="","",F1227*VLOOKUP(E1227,WEIGHTS!$A$2:$F$4,2,FALSE)+G1227*VLOOKUP(E1227,WEIGHTS!$A$2:$F$4,3,FALSE)+H1227*VLOOKUP(E1227,WEIGHTS!$A$2:$F$4,4,FALSE)+I1227*VLOOKUP(E1227,WEIGHTS!$A$2:$F$4,5,FALSE)+J1227*VLOOKUP(E1227,WEIGHTS!$A$2:$F$4,6,FALSE))</f>
        <v/>
      </c>
      <c r="N1227" s="2" t="str">
        <f t="shared" si="4"/>
        <v/>
      </c>
    </row>
    <row r="1228" ht="15.75" customHeight="1">
      <c r="A1228" s="3"/>
      <c r="B1228" s="2" t="str">
        <f t="shared" si="1"/>
        <v/>
      </c>
      <c r="E1228" s="2"/>
      <c r="F1228" s="2"/>
      <c r="G1228" s="2"/>
      <c r="H1228" s="2"/>
      <c r="I1228" s="2"/>
      <c r="J1228" s="2"/>
      <c r="K1228" s="2" t="str">
        <f t="shared" si="2"/>
        <v/>
      </c>
      <c r="L1228" s="2" t="str">
        <f t="shared" si="3"/>
        <v>No</v>
      </c>
      <c r="M1228" s="2" t="str">
        <f>IF(K1228="","",F1228*VLOOKUP(E1228,WEIGHTS!$A$2:$F$4,2,FALSE)+G1228*VLOOKUP(E1228,WEIGHTS!$A$2:$F$4,3,FALSE)+H1228*VLOOKUP(E1228,WEIGHTS!$A$2:$F$4,4,FALSE)+I1228*VLOOKUP(E1228,WEIGHTS!$A$2:$F$4,5,FALSE)+J1228*VLOOKUP(E1228,WEIGHTS!$A$2:$F$4,6,FALSE))</f>
        <v/>
      </c>
      <c r="N1228" s="2" t="str">
        <f t="shared" si="4"/>
        <v/>
      </c>
    </row>
    <row r="1229" ht="15.75" customHeight="1">
      <c r="A1229" s="3"/>
      <c r="B1229" s="2" t="str">
        <f t="shared" si="1"/>
        <v/>
      </c>
      <c r="E1229" s="2"/>
      <c r="F1229" s="2"/>
      <c r="G1229" s="2"/>
      <c r="H1229" s="2"/>
      <c r="I1229" s="2"/>
      <c r="J1229" s="2"/>
      <c r="K1229" s="2" t="str">
        <f t="shared" si="2"/>
        <v/>
      </c>
      <c r="L1229" s="2" t="str">
        <f t="shared" si="3"/>
        <v>No</v>
      </c>
      <c r="M1229" s="2" t="str">
        <f>IF(K1229="","",F1229*VLOOKUP(E1229,WEIGHTS!$A$2:$F$4,2,FALSE)+G1229*VLOOKUP(E1229,WEIGHTS!$A$2:$F$4,3,FALSE)+H1229*VLOOKUP(E1229,WEIGHTS!$A$2:$F$4,4,FALSE)+I1229*VLOOKUP(E1229,WEIGHTS!$A$2:$F$4,5,FALSE)+J1229*VLOOKUP(E1229,WEIGHTS!$A$2:$F$4,6,FALSE))</f>
        <v/>
      </c>
      <c r="N1229" s="2" t="str">
        <f t="shared" si="4"/>
        <v/>
      </c>
    </row>
    <row r="1230" ht="15.75" customHeight="1">
      <c r="A1230" s="3"/>
      <c r="B1230" s="2" t="str">
        <f t="shared" si="1"/>
        <v/>
      </c>
      <c r="E1230" s="2"/>
      <c r="F1230" s="2"/>
      <c r="G1230" s="2"/>
      <c r="H1230" s="2"/>
      <c r="I1230" s="2"/>
      <c r="J1230" s="2"/>
      <c r="K1230" s="2" t="str">
        <f t="shared" si="2"/>
        <v/>
      </c>
      <c r="L1230" s="2" t="str">
        <f t="shared" si="3"/>
        <v>No</v>
      </c>
      <c r="M1230" s="2" t="str">
        <f>IF(K1230="","",F1230*VLOOKUP(E1230,WEIGHTS!$A$2:$F$4,2,FALSE)+G1230*VLOOKUP(E1230,WEIGHTS!$A$2:$F$4,3,FALSE)+H1230*VLOOKUP(E1230,WEIGHTS!$A$2:$F$4,4,FALSE)+I1230*VLOOKUP(E1230,WEIGHTS!$A$2:$F$4,5,FALSE)+J1230*VLOOKUP(E1230,WEIGHTS!$A$2:$F$4,6,FALSE))</f>
        <v/>
      </c>
      <c r="N1230" s="2" t="str">
        <f t="shared" si="4"/>
        <v/>
      </c>
    </row>
    <row r="1231" ht="15.75" customHeight="1">
      <c r="A1231" s="3"/>
      <c r="B1231" s="2" t="str">
        <f t="shared" si="1"/>
        <v/>
      </c>
      <c r="E1231" s="2"/>
      <c r="F1231" s="2"/>
      <c r="G1231" s="2"/>
      <c r="H1231" s="2"/>
      <c r="I1231" s="2"/>
      <c r="J1231" s="2"/>
      <c r="K1231" s="2" t="str">
        <f t="shared" si="2"/>
        <v/>
      </c>
      <c r="L1231" s="2" t="str">
        <f t="shared" si="3"/>
        <v>No</v>
      </c>
      <c r="M1231" s="2" t="str">
        <f>IF(K1231="","",F1231*VLOOKUP(E1231,WEIGHTS!$A$2:$F$4,2,FALSE)+G1231*VLOOKUP(E1231,WEIGHTS!$A$2:$F$4,3,FALSE)+H1231*VLOOKUP(E1231,WEIGHTS!$A$2:$F$4,4,FALSE)+I1231*VLOOKUP(E1231,WEIGHTS!$A$2:$F$4,5,FALSE)+J1231*VLOOKUP(E1231,WEIGHTS!$A$2:$F$4,6,FALSE))</f>
        <v/>
      </c>
      <c r="N1231" s="2" t="str">
        <f t="shared" si="4"/>
        <v/>
      </c>
    </row>
    <row r="1232" ht="15.75" customHeight="1">
      <c r="A1232" s="3"/>
      <c r="B1232" s="2" t="str">
        <f t="shared" si="1"/>
        <v/>
      </c>
      <c r="E1232" s="2"/>
      <c r="F1232" s="2"/>
      <c r="G1232" s="2"/>
      <c r="H1232" s="2"/>
      <c r="I1232" s="2"/>
      <c r="J1232" s="2"/>
      <c r="K1232" s="2" t="str">
        <f t="shared" si="2"/>
        <v/>
      </c>
      <c r="L1232" s="2" t="str">
        <f t="shared" si="3"/>
        <v>No</v>
      </c>
      <c r="M1232" s="2" t="str">
        <f>IF(K1232="","",F1232*VLOOKUP(E1232,WEIGHTS!$A$2:$F$4,2,FALSE)+G1232*VLOOKUP(E1232,WEIGHTS!$A$2:$F$4,3,FALSE)+H1232*VLOOKUP(E1232,WEIGHTS!$A$2:$F$4,4,FALSE)+I1232*VLOOKUP(E1232,WEIGHTS!$A$2:$F$4,5,FALSE)+J1232*VLOOKUP(E1232,WEIGHTS!$A$2:$F$4,6,FALSE))</f>
        <v/>
      </c>
      <c r="N1232" s="2" t="str">
        <f t="shared" si="4"/>
        <v/>
      </c>
    </row>
    <row r="1233" ht="15.75" customHeight="1">
      <c r="A1233" s="3"/>
      <c r="B1233" s="2" t="str">
        <f t="shared" si="1"/>
        <v/>
      </c>
      <c r="E1233" s="2"/>
      <c r="F1233" s="2"/>
      <c r="G1233" s="2"/>
      <c r="H1233" s="2"/>
      <c r="I1233" s="2"/>
      <c r="J1233" s="2"/>
      <c r="K1233" s="2" t="str">
        <f t="shared" si="2"/>
        <v/>
      </c>
      <c r="L1233" s="2" t="str">
        <f t="shared" si="3"/>
        <v>No</v>
      </c>
      <c r="M1233" s="2" t="str">
        <f>IF(K1233="","",F1233*VLOOKUP(E1233,WEIGHTS!$A$2:$F$4,2,FALSE)+G1233*VLOOKUP(E1233,WEIGHTS!$A$2:$F$4,3,FALSE)+H1233*VLOOKUP(E1233,WEIGHTS!$A$2:$F$4,4,FALSE)+I1233*VLOOKUP(E1233,WEIGHTS!$A$2:$F$4,5,FALSE)+J1233*VLOOKUP(E1233,WEIGHTS!$A$2:$F$4,6,FALSE))</f>
        <v/>
      </c>
      <c r="N1233" s="2" t="str">
        <f t="shared" si="4"/>
        <v/>
      </c>
    </row>
    <row r="1234" ht="15.75" customHeight="1">
      <c r="A1234" s="3"/>
      <c r="B1234" s="2" t="str">
        <f t="shared" si="1"/>
        <v/>
      </c>
      <c r="E1234" s="2"/>
      <c r="F1234" s="2"/>
      <c r="G1234" s="2"/>
      <c r="H1234" s="2"/>
      <c r="I1234" s="2"/>
      <c r="J1234" s="2"/>
      <c r="K1234" s="2" t="str">
        <f t="shared" si="2"/>
        <v/>
      </c>
      <c r="L1234" s="2" t="str">
        <f t="shared" si="3"/>
        <v>No</v>
      </c>
      <c r="M1234" s="2" t="str">
        <f>IF(K1234="","",F1234*VLOOKUP(E1234,WEIGHTS!$A$2:$F$4,2,FALSE)+G1234*VLOOKUP(E1234,WEIGHTS!$A$2:$F$4,3,FALSE)+H1234*VLOOKUP(E1234,WEIGHTS!$A$2:$F$4,4,FALSE)+I1234*VLOOKUP(E1234,WEIGHTS!$A$2:$F$4,5,FALSE)+J1234*VLOOKUP(E1234,WEIGHTS!$A$2:$F$4,6,FALSE))</f>
        <v/>
      </c>
      <c r="N1234" s="2" t="str">
        <f t="shared" si="4"/>
        <v/>
      </c>
    </row>
    <row r="1235" ht="15.75" customHeight="1">
      <c r="A1235" s="3"/>
      <c r="B1235" s="2" t="str">
        <f t="shared" si="1"/>
        <v/>
      </c>
      <c r="E1235" s="2"/>
      <c r="F1235" s="2"/>
      <c r="G1235" s="2"/>
      <c r="H1235" s="2"/>
      <c r="I1235" s="2"/>
      <c r="J1235" s="2"/>
      <c r="K1235" s="2" t="str">
        <f t="shared" si="2"/>
        <v/>
      </c>
      <c r="L1235" s="2" t="str">
        <f t="shared" si="3"/>
        <v>No</v>
      </c>
      <c r="M1235" s="2" t="str">
        <f>IF(K1235="","",F1235*VLOOKUP(E1235,WEIGHTS!$A$2:$F$4,2,FALSE)+G1235*VLOOKUP(E1235,WEIGHTS!$A$2:$F$4,3,FALSE)+H1235*VLOOKUP(E1235,WEIGHTS!$A$2:$F$4,4,FALSE)+I1235*VLOOKUP(E1235,WEIGHTS!$A$2:$F$4,5,FALSE)+J1235*VLOOKUP(E1235,WEIGHTS!$A$2:$F$4,6,FALSE))</f>
        <v/>
      </c>
      <c r="N1235" s="2" t="str">
        <f t="shared" si="4"/>
        <v/>
      </c>
    </row>
    <row r="1236" ht="15.75" customHeight="1">
      <c r="A1236" s="3"/>
      <c r="B1236" s="2" t="str">
        <f t="shared" si="1"/>
        <v/>
      </c>
      <c r="E1236" s="2"/>
      <c r="F1236" s="2"/>
      <c r="G1236" s="2"/>
      <c r="H1236" s="2"/>
      <c r="I1236" s="2"/>
      <c r="J1236" s="2"/>
      <c r="K1236" s="2" t="str">
        <f t="shared" si="2"/>
        <v/>
      </c>
      <c r="L1236" s="2" t="str">
        <f t="shared" si="3"/>
        <v>No</v>
      </c>
      <c r="M1236" s="2" t="str">
        <f>IF(K1236="","",F1236*VLOOKUP(E1236,WEIGHTS!$A$2:$F$4,2,FALSE)+G1236*VLOOKUP(E1236,WEIGHTS!$A$2:$F$4,3,FALSE)+H1236*VLOOKUP(E1236,WEIGHTS!$A$2:$F$4,4,FALSE)+I1236*VLOOKUP(E1236,WEIGHTS!$A$2:$F$4,5,FALSE)+J1236*VLOOKUP(E1236,WEIGHTS!$A$2:$F$4,6,FALSE))</f>
        <v/>
      </c>
      <c r="N1236" s="2" t="str">
        <f t="shared" si="4"/>
        <v/>
      </c>
    </row>
    <row r="1237" ht="15.75" customHeight="1">
      <c r="A1237" s="3"/>
      <c r="B1237" s="2" t="str">
        <f t="shared" si="1"/>
        <v/>
      </c>
      <c r="E1237" s="2"/>
      <c r="F1237" s="2"/>
      <c r="G1237" s="2"/>
      <c r="H1237" s="2"/>
      <c r="I1237" s="2"/>
      <c r="J1237" s="2"/>
      <c r="K1237" s="2" t="str">
        <f t="shared" si="2"/>
        <v/>
      </c>
      <c r="L1237" s="2" t="str">
        <f t="shared" si="3"/>
        <v>No</v>
      </c>
      <c r="M1237" s="2" t="str">
        <f>IF(K1237="","",F1237*VLOOKUP(E1237,WEIGHTS!$A$2:$F$4,2,FALSE)+G1237*VLOOKUP(E1237,WEIGHTS!$A$2:$F$4,3,FALSE)+H1237*VLOOKUP(E1237,WEIGHTS!$A$2:$F$4,4,FALSE)+I1237*VLOOKUP(E1237,WEIGHTS!$A$2:$F$4,5,FALSE)+J1237*VLOOKUP(E1237,WEIGHTS!$A$2:$F$4,6,FALSE))</f>
        <v/>
      </c>
      <c r="N1237" s="2" t="str">
        <f t="shared" si="4"/>
        <v/>
      </c>
    </row>
    <row r="1238" ht="15.75" customHeight="1">
      <c r="A1238" s="3"/>
      <c r="B1238" s="2" t="str">
        <f t="shared" si="1"/>
        <v/>
      </c>
      <c r="E1238" s="2"/>
      <c r="F1238" s="2"/>
      <c r="G1238" s="2"/>
      <c r="H1238" s="2"/>
      <c r="I1238" s="2"/>
      <c r="J1238" s="2"/>
      <c r="K1238" s="2" t="str">
        <f t="shared" si="2"/>
        <v/>
      </c>
      <c r="L1238" s="2" t="str">
        <f t="shared" si="3"/>
        <v>No</v>
      </c>
      <c r="M1238" s="2" t="str">
        <f>IF(K1238="","",F1238*VLOOKUP(E1238,WEIGHTS!$A$2:$F$4,2,FALSE)+G1238*VLOOKUP(E1238,WEIGHTS!$A$2:$F$4,3,FALSE)+H1238*VLOOKUP(E1238,WEIGHTS!$A$2:$F$4,4,FALSE)+I1238*VLOOKUP(E1238,WEIGHTS!$A$2:$F$4,5,FALSE)+J1238*VLOOKUP(E1238,WEIGHTS!$A$2:$F$4,6,FALSE))</f>
        <v/>
      </c>
      <c r="N1238" s="2" t="str">
        <f t="shared" si="4"/>
        <v/>
      </c>
    </row>
    <row r="1239" ht="15.75" customHeight="1">
      <c r="A1239" s="3"/>
      <c r="B1239" s="2" t="str">
        <f t="shared" si="1"/>
        <v/>
      </c>
      <c r="E1239" s="2"/>
      <c r="F1239" s="2"/>
      <c r="G1239" s="2"/>
      <c r="H1239" s="2"/>
      <c r="I1239" s="2"/>
      <c r="J1239" s="2"/>
      <c r="K1239" s="2" t="str">
        <f t="shared" si="2"/>
        <v/>
      </c>
      <c r="L1239" s="2" t="str">
        <f t="shared" si="3"/>
        <v>No</v>
      </c>
      <c r="M1239" s="2" t="str">
        <f>IF(K1239="","",F1239*VLOOKUP(E1239,WEIGHTS!$A$2:$F$4,2,FALSE)+G1239*VLOOKUP(E1239,WEIGHTS!$A$2:$F$4,3,FALSE)+H1239*VLOOKUP(E1239,WEIGHTS!$A$2:$F$4,4,FALSE)+I1239*VLOOKUP(E1239,WEIGHTS!$A$2:$F$4,5,FALSE)+J1239*VLOOKUP(E1239,WEIGHTS!$A$2:$F$4,6,FALSE))</f>
        <v/>
      </c>
      <c r="N1239" s="2" t="str">
        <f t="shared" si="4"/>
        <v/>
      </c>
    </row>
    <row r="1240" ht="15.75" customHeight="1">
      <c r="A1240" s="3"/>
      <c r="B1240" s="2" t="str">
        <f t="shared" si="1"/>
        <v/>
      </c>
      <c r="E1240" s="2"/>
      <c r="F1240" s="2"/>
      <c r="G1240" s="2"/>
      <c r="H1240" s="2"/>
      <c r="I1240" s="2"/>
      <c r="J1240" s="2"/>
      <c r="K1240" s="2" t="str">
        <f t="shared" si="2"/>
        <v/>
      </c>
      <c r="L1240" s="2" t="str">
        <f t="shared" si="3"/>
        <v>No</v>
      </c>
      <c r="M1240" s="2" t="str">
        <f>IF(K1240="","",F1240*VLOOKUP(E1240,WEIGHTS!$A$2:$F$4,2,FALSE)+G1240*VLOOKUP(E1240,WEIGHTS!$A$2:$F$4,3,FALSE)+H1240*VLOOKUP(E1240,WEIGHTS!$A$2:$F$4,4,FALSE)+I1240*VLOOKUP(E1240,WEIGHTS!$A$2:$F$4,5,FALSE)+J1240*VLOOKUP(E1240,WEIGHTS!$A$2:$F$4,6,FALSE))</f>
        <v/>
      </c>
      <c r="N1240" s="2" t="str">
        <f t="shared" si="4"/>
        <v/>
      </c>
    </row>
    <row r="1241" ht="15.75" customHeight="1">
      <c r="A1241" s="3"/>
      <c r="B1241" s="2" t="str">
        <f t="shared" si="1"/>
        <v/>
      </c>
      <c r="E1241" s="2"/>
      <c r="F1241" s="2"/>
      <c r="G1241" s="2"/>
      <c r="H1241" s="2"/>
      <c r="I1241" s="2"/>
      <c r="J1241" s="2"/>
      <c r="K1241" s="2" t="str">
        <f t="shared" si="2"/>
        <v/>
      </c>
      <c r="L1241" s="2" t="str">
        <f t="shared" si="3"/>
        <v>No</v>
      </c>
      <c r="M1241" s="2" t="str">
        <f>IF(K1241="","",F1241*VLOOKUP(E1241,WEIGHTS!$A$2:$F$4,2,FALSE)+G1241*VLOOKUP(E1241,WEIGHTS!$A$2:$F$4,3,FALSE)+H1241*VLOOKUP(E1241,WEIGHTS!$A$2:$F$4,4,FALSE)+I1241*VLOOKUP(E1241,WEIGHTS!$A$2:$F$4,5,FALSE)+J1241*VLOOKUP(E1241,WEIGHTS!$A$2:$F$4,6,FALSE))</f>
        <v/>
      </c>
      <c r="N1241" s="2" t="str">
        <f t="shared" si="4"/>
        <v/>
      </c>
    </row>
    <row r="1242" ht="15.75" customHeight="1">
      <c r="A1242" s="3"/>
      <c r="B1242" s="2" t="str">
        <f t="shared" si="1"/>
        <v/>
      </c>
      <c r="E1242" s="2"/>
      <c r="F1242" s="2"/>
      <c r="G1242" s="2"/>
      <c r="H1242" s="2"/>
      <c r="I1242" s="2"/>
      <c r="J1242" s="2"/>
      <c r="K1242" s="2" t="str">
        <f t="shared" si="2"/>
        <v/>
      </c>
      <c r="L1242" s="2" t="str">
        <f t="shared" si="3"/>
        <v>No</v>
      </c>
      <c r="M1242" s="2" t="str">
        <f>IF(K1242="","",F1242*VLOOKUP(E1242,WEIGHTS!$A$2:$F$4,2,FALSE)+G1242*VLOOKUP(E1242,WEIGHTS!$A$2:$F$4,3,FALSE)+H1242*VLOOKUP(E1242,WEIGHTS!$A$2:$F$4,4,FALSE)+I1242*VLOOKUP(E1242,WEIGHTS!$A$2:$F$4,5,FALSE)+J1242*VLOOKUP(E1242,WEIGHTS!$A$2:$F$4,6,FALSE))</f>
        <v/>
      </c>
      <c r="N1242" s="2" t="str">
        <f t="shared" si="4"/>
        <v/>
      </c>
    </row>
    <row r="1243" ht="15.75" customHeight="1">
      <c r="A1243" s="3"/>
      <c r="B1243" s="2" t="str">
        <f t="shared" si="1"/>
        <v/>
      </c>
      <c r="E1243" s="2"/>
      <c r="F1243" s="2"/>
      <c r="G1243" s="2"/>
      <c r="H1243" s="2"/>
      <c r="I1243" s="2"/>
      <c r="J1243" s="2"/>
      <c r="K1243" s="2" t="str">
        <f t="shared" si="2"/>
        <v/>
      </c>
      <c r="L1243" s="2" t="str">
        <f t="shared" si="3"/>
        <v>No</v>
      </c>
      <c r="M1243" s="2" t="str">
        <f>IF(K1243="","",F1243*VLOOKUP(E1243,WEIGHTS!$A$2:$F$4,2,FALSE)+G1243*VLOOKUP(E1243,WEIGHTS!$A$2:$F$4,3,FALSE)+H1243*VLOOKUP(E1243,WEIGHTS!$A$2:$F$4,4,FALSE)+I1243*VLOOKUP(E1243,WEIGHTS!$A$2:$F$4,5,FALSE)+J1243*VLOOKUP(E1243,WEIGHTS!$A$2:$F$4,6,FALSE))</f>
        <v/>
      </c>
      <c r="N1243" s="2" t="str">
        <f t="shared" si="4"/>
        <v/>
      </c>
    </row>
    <row r="1244" ht="15.75" customHeight="1">
      <c r="A1244" s="3"/>
      <c r="B1244" s="2" t="str">
        <f t="shared" si="1"/>
        <v/>
      </c>
      <c r="E1244" s="2"/>
      <c r="F1244" s="2"/>
      <c r="G1244" s="2"/>
      <c r="H1244" s="2"/>
      <c r="I1244" s="2"/>
      <c r="J1244" s="2"/>
      <c r="K1244" s="2" t="str">
        <f t="shared" si="2"/>
        <v/>
      </c>
      <c r="L1244" s="2" t="str">
        <f t="shared" si="3"/>
        <v>No</v>
      </c>
      <c r="M1244" s="2" t="str">
        <f>IF(K1244="","",F1244*VLOOKUP(E1244,WEIGHTS!$A$2:$F$4,2,FALSE)+G1244*VLOOKUP(E1244,WEIGHTS!$A$2:$F$4,3,FALSE)+H1244*VLOOKUP(E1244,WEIGHTS!$A$2:$F$4,4,FALSE)+I1244*VLOOKUP(E1244,WEIGHTS!$A$2:$F$4,5,FALSE)+J1244*VLOOKUP(E1244,WEIGHTS!$A$2:$F$4,6,FALSE))</f>
        <v/>
      </c>
      <c r="N1244" s="2" t="str">
        <f t="shared" si="4"/>
        <v/>
      </c>
    </row>
    <row r="1245" ht="15.75" customHeight="1">
      <c r="A1245" s="3"/>
      <c r="B1245" s="2" t="str">
        <f t="shared" si="1"/>
        <v/>
      </c>
      <c r="E1245" s="2"/>
      <c r="F1245" s="2"/>
      <c r="G1245" s="2"/>
      <c r="H1245" s="2"/>
      <c r="I1245" s="2"/>
      <c r="J1245" s="2"/>
      <c r="K1245" s="2" t="str">
        <f t="shared" si="2"/>
        <v/>
      </c>
      <c r="L1245" s="2" t="str">
        <f t="shared" si="3"/>
        <v>No</v>
      </c>
      <c r="M1245" s="2" t="str">
        <f>IF(K1245="","",F1245*VLOOKUP(E1245,WEIGHTS!$A$2:$F$4,2,FALSE)+G1245*VLOOKUP(E1245,WEIGHTS!$A$2:$F$4,3,FALSE)+H1245*VLOOKUP(E1245,WEIGHTS!$A$2:$F$4,4,FALSE)+I1245*VLOOKUP(E1245,WEIGHTS!$A$2:$F$4,5,FALSE)+J1245*VLOOKUP(E1245,WEIGHTS!$A$2:$F$4,6,FALSE))</f>
        <v/>
      </c>
      <c r="N1245" s="2" t="str">
        <f t="shared" si="4"/>
        <v/>
      </c>
    </row>
    <row r="1246" ht="15.75" customHeight="1">
      <c r="A1246" s="3"/>
      <c r="B1246" s="2" t="str">
        <f t="shared" si="1"/>
        <v/>
      </c>
      <c r="E1246" s="2"/>
      <c r="F1246" s="2"/>
      <c r="G1246" s="2"/>
      <c r="H1246" s="2"/>
      <c r="I1246" s="2"/>
      <c r="J1246" s="2"/>
      <c r="K1246" s="2" t="str">
        <f t="shared" si="2"/>
        <v/>
      </c>
      <c r="L1246" s="2" t="str">
        <f t="shared" si="3"/>
        <v>No</v>
      </c>
      <c r="M1246" s="2" t="str">
        <f>IF(K1246="","",F1246*VLOOKUP(E1246,WEIGHTS!$A$2:$F$4,2,FALSE)+G1246*VLOOKUP(E1246,WEIGHTS!$A$2:$F$4,3,FALSE)+H1246*VLOOKUP(E1246,WEIGHTS!$A$2:$F$4,4,FALSE)+I1246*VLOOKUP(E1246,WEIGHTS!$A$2:$F$4,5,FALSE)+J1246*VLOOKUP(E1246,WEIGHTS!$A$2:$F$4,6,FALSE))</f>
        <v/>
      </c>
      <c r="N1246" s="2" t="str">
        <f t="shared" si="4"/>
        <v/>
      </c>
    </row>
    <row r="1247" ht="15.75" customHeight="1">
      <c r="A1247" s="3"/>
      <c r="B1247" s="2" t="str">
        <f t="shared" si="1"/>
        <v/>
      </c>
      <c r="E1247" s="2"/>
      <c r="F1247" s="2"/>
      <c r="G1247" s="2"/>
      <c r="H1247" s="2"/>
      <c r="I1247" s="2"/>
      <c r="J1247" s="2"/>
      <c r="K1247" s="2" t="str">
        <f t="shared" si="2"/>
        <v/>
      </c>
      <c r="L1247" s="2" t="str">
        <f t="shared" si="3"/>
        <v>No</v>
      </c>
      <c r="M1247" s="2" t="str">
        <f>IF(K1247="","",F1247*VLOOKUP(E1247,WEIGHTS!$A$2:$F$4,2,FALSE)+G1247*VLOOKUP(E1247,WEIGHTS!$A$2:$F$4,3,FALSE)+H1247*VLOOKUP(E1247,WEIGHTS!$A$2:$F$4,4,FALSE)+I1247*VLOOKUP(E1247,WEIGHTS!$A$2:$F$4,5,FALSE)+J1247*VLOOKUP(E1247,WEIGHTS!$A$2:$F$4,6,FALSE))</f>
        <v/>
      </c>
      <c r="N1247" s="2" t="str">
        <f t="shared" si="4"/>
        <v/>
      </c>
    </row>
    <row r="1248" ht="15.75" customHeight="1">
      <c r="A1248" s="3"/>
      <c r="B1248" s="2" t="str">
        <f t="shared" si="1"/>
        <v/>
      </c>
      <c r="E1248" s="2"/>
      <c r="F1248" s="2"/>
      <c r="G1248" s="2"/>
      <c r="H1248" s="2"/>
      <c r="I1248" s="2"/>
      <c r="J1248" s="2"/>
      <c r="K1248" s="2" t="str">
        <f t="shared" si="2"/>
        <v/>
      </c>
      <c r="L1248" s="2" t="str">
        <f t="shared" si="3"/>
        <v>No</v>
      </c>
      <c r="M1248" s="2" t="str">
        <f>IF(K1248="","",F1248*VLOOKUP(E1248,WEIGHTS!$A$2:$F$4,2,FALSE)+G1248*VLOOKUP(E1248,WEIGHTS!$A$2:$F$4,3,FALSE)+H1248*VLOOKUP(E1248,WEIGHTS!$A$2:$F$4,4,FALSE)+I1248*VLOOKUP(E1248,WEIGHTS!$A$2:$F$4,5,FALSE)+J1248*VLOOKUP(E1248,WEIGHTS!$A$2:$F$4,6,FALSE))</f>
        <v/>
      </c>
      <c r="N1248" s="2" t="str">
        <f t="shared" si="4"/>
        <v/>
      </c>
    </row>
    <row r="1249" ht="15.75" customHeight="1">
      <c r="A1249" s="3"/>
      <c r="B1249" s="2" t="str">
        <f t="shared" si="1"/>
        <v/>
      </c>
      <c r="E1249" s="2"/>
      <c r="F1249" s="2"/>
      <c r="G1249" s="2"/>
      <c r="H1249" s="2"/>
      <c r="I1249" s="2"/>
      <c r="J1249" s="2"/>
      <c r="K1249" s="2" t="str">
        <f t="shared" si="2"/>
        <v/>
      </c>
      <c r="L1249" s="2" t="str">
        <f t="shared" si="3"/>
        <v>No</v>
      </c>
      <c r="M1249" s="2" t="str">
        <f>IF(K1249="","",F1249*VLOOKUP(E1249,WEIGHTS!$A$2:$F$4,2,FALSE)+G1249*VLOOKUP(E1249,WEIGHTS!$A$2:$F$4,3,FALSE)+H1249*VLOOKUP(E1249,WEIGHTS!$A$2:$F$4,4,FALSE)+I1249*VLOOKUP(E1249,WEIGHTS!$A$2:$F$4,5,FALSE)+J1249*VLOOKUP(E1249,WEIGHTS!$A$2:$F$4,6,FALSE))</f>
        <v/>
      </c>
      <c r="N1249" s="2" t="str">
        <f t="shared" si="4"/>
        <v/>
      </c>
    </row>
    <row r="1250" ht="15.75" customHeight="1">
      <c r="A1250" s="3"/>
      <c r="B1250" s="2" t="str">
        <f t="shared" si="1"/>
        <v/>
      </c>
      <c r="E1250" s="2"/>
      <c r="F1250" s="2"/>
      <c r="G1250" s="2"/>
      <c r="H1250" s="2"/>
      <c r="I1250" s="2"/>
      <c r="J1250" s="2"/>
      <c r="K1250" s="2" t="str">
        <f t="shared" si="2"/>
        <v/>
      </c>
      <c r="L1250" s="2" t="str">
        <f t="shared" si="3"/>
        <v>No</v>
      </c>
      <c r="M1250" s="2" t="str">
        <f>IF(K1250="","",F1250*VLOOKUP(E1250,WEIGHTS!$A$2:$F$4,2,FALSE)+G1250*VLOOKUP(E1250,WEIGHTS!$A$2:$F$4,3,FALSE)+H1250*VLOOKUP(E1250,WEIGHTS!$A$2:$F$4,4,FALSE)+I1250*VLOOKUP(E1250,WEIGHTS!$A$2:$F$4,5,FALSE)+J1250*VLOOKUP(E1250,WEIGHTS!$A$2:$F$4,6,FALSE))</f>
        <v/>
      </c>
      <c r="N1250" s="2" t="str">
        <f t="shared" si="4"/>
        <v/>
      </c>
    </row>
    <row r="1251" ht="15.75" customHeight="1">
      <c r="A1251" s="3"/>
      <c r="B1251" s="2" t="str">
        <f t="shared" si="1"/>
        <v/>
      </c>
      <c r="E1251" s="2"/>
      <c r="F1251" s="2"/>
      <c r="G1251" s="2"/>
      <c r="H1251" s="2"/>
      <c r="I1251" s="2"/>
      <c r="J1251" s="2"/>
      <c r="K1251" s="2" t="str">
        <f t="shared" si="2"/>
        <v/>
      </c>
      <c r="L1251" s="2" t="str">
        <f t="shared" si="3"/>
        <v>No</v>
      </c>
      <c r="M1251" s="2" t="str">
        <f>IF(K1251="","",F1251*VLOOKUP(E1251,WEIGHTS!$A$2:$F$4,2,FALSE)+G1251*VLOOKUP(E1251,WEIGHTS!$A$2:$F$4,3,FALSE)+H1251*VLOOKUP(E1251,WEIGHTS!$A$2:$F$4,4,FALSE)+I1251*VLOOKUP(E1251,WEIGHTS!$A$2:$F$4,5,FALSE)+J1251*VLOOKUP(E1251,WEIGHTS!$A$2:$F$4,6,FALSE))</f>
        <v/>
      </c>
      <c r="N1251" s="2" t="str">
        <f t="shared" si="4"/>
        <v/>
      </c>
    </row>
    <row r="1252" ht="15.75" customHeight="1">
      <c r="A1252" s="3"/>
      <c r="B1252" s="2" t="str">
        <f t="shared" si="1"/>
        <v/>
      </c>
      <c r="E1252" s="2"/>
      <c r="F1252" s="2"/>
      <c r="G1252" s="2"/>
      <c r="H1252" s="2"/>
      <c r="I1252" s="2"/>
      <c r="J1252" s="2"/>
      <c r="K1252" s="2" t="str">
        <f t="shared" si="2"/>
        <v/>
      </c>
      <c r="L1252" s="2" t="str">
        <f t="shared" si="3"/>
        <v>No</v>
      </c>
      <c r="M1252" s="2" t="str">
        <f>IF(K1252="","",F1252*VLOOKUP(E1252,WEIGHTS!$A$2:$F$4,2,FALSE)+G1252*VLOOKUP(E1252,WEIGHTS!$A$2:$F$4,3,FALSE)+H1252*VLOOKUP(E1252,WEIGHTS!$A$2:$F$4,4,FALSE)+I1252*VLOOKUP(E1252,WEIGHTS!$A$2:$F$4,5,FALSE)+J1252*VLOOKUP(E1252,WEIGHTS!$A$2:$F$4,6,FALSE))</f>
        <v/>
      </c>
      <c r="N1252" s="2" t="str">
        <f t="shared" si="4"/>
        <v/>
      </c>
    </row>
    <row r="1253" ht="15.75" customHeight="1">
      <c r="A1253" s="3"/>
      <c r="B1253" s="2" t="str">
        <f t="shared" si="1"/>
        <v/>
      </c>
      <c r="E1253" s="2"/>
      <c r="F1253" s="2"/>
      <c r="G1253" s="2"/>
      <c r="H1253" s="2"/>
      <c r="I1253" s="2"/>
      <c r="J1253" s="2"/>
      <c r="K1253" s="2" t="str">
        <f t="shared" si="2"/>
        <v/>
      </c>
      <c r="L1253" s="2" t="str">
        <f t="shared" si="3"/>
        <v>No</v>
      </c>
      <c r="M1253" s="2" t="str">
        <f>IF(K1253="","",F1253*VLOOKUP(E1253,WEIGHTS!$A$2:$F$4,2,FALSE)+G1253*VLOOKUP(E1253,WEIGHTS!$A$2:$F$4,3,FALSE)+H1253*VLOOKUP(E1253,WEIGHTS!$A$2:$F$4,4,FALSE)+I1253*VLOOKUP(E1253,WEIGHTS!$A$2:$F$4,5,FALSE)+J1253*VLOOKUP(E1253,WEIGHTS!$A$2:$F$4,6,FALSE))</f>
        <v/>
      </c>
      <c r="N1253" s="2" t="str">
        <f t="shared" si="4"/>
        <v/>
      </c>
    </row>
    <row r="1254" ht="15.75" customHeight="1">
      <c r="A1254" s="3"/>
      <c r="B1254" s="2" t="str">
        <f t="shared" si="1"/>
        <v/>
      </c>
      <c r="E1254" s="2"/>
      <c r="F1254" s="2"/>
      <c r="G1254" s="2"/>
      <c r="H1254" s="2"/>
      <c r="I1254" s="2"/>
      <c r="J1254" s="2"/>
      <c r="K1254" s="2" t="str">
        <f t="shared" si="2"/>
        <v/>
      </c>
      <c r="L1254" s="2" t="str">
        <f t="shared" si="3"/>
        <v>No</v>
      </c>
      <c r="M1254" s="2" t="str">
        <f>IF(K1254="","",F1254*VLOOKUP(E1254,WEIGHTS!$A$2:$F$4,2,FALSE)+G1254*VLOOKUP(E1254,WEIGHTS!$A$2:$F$4,3,FALSE)+H1254*VLOOKUP(E1254,WEIGHTS!$A$2:$F$4,4,FALSE)+I1254*VLOOKUP(E1254,WEIGHTS!$A$2:$F$4,5,FALSE)+J1254*VLOOKUP(E1254,WEIGHTS!$A$2:$F$4,6,FALSE))</f>
        <v/>
      </c>
      <c r="N1254" s="2" t="str">
        <f t="shared" si="4"/>
        <v/>
      </c>
    </row>
    <row r="1255" ht="15.75" customHeight="1">
      <c r="A1255" s="3"/>
      <c r="B1255" s="2" t="str">
        <f t="shared" si="1"/>
        <v/>
      </c>
      <c r="E1255" s="2"/>
      <c r="F1255" s="2"/>
      <c r="G1255" s="2"/>
      <c r="H1255" s="2"/>
      <c r="I1255" s="2"/>
      <c r="J1255" s="2"/>
      <c r="K1255" s="2" t="str">
        <f t="shared" si="2"/>
        <v/>
      </c>
      <c r="L1255" s="2" t="str">
        <f t="shared" si="3"/>
        <v>No</v>
      </c>
      <c r="M1255" s="2" t="str">
        <f>IF(K1255="","",F1255*VLOOKUP(E1255,WEIGHTS!$A$2:$F$4,2,FALSE)+G1255*VLOOKUP(E1255,WEIGHTS!$A$2:$F$4,3,FALSE)+H1255*VLOOKUP(E1255,WEIGHTS!$A$2:$F$4,4,FALSE)+I1255*VLOOKUP(E1255,WEIGHTS!$A$2:$F$4,5,FALSE)+J1255*VLOOKUP(E1255,WEIGHTS!$A$2:$F$4,6,FALSE))</f>
        <v/>
      </c>
      <c r="N1255" s="2" t="str">
        <f t="shared" si="4"/>
        <v/>
      </c>
    </row>
    <row r="1256" ht="15.75" customHeight="1">
      <c r="A1256" s="3"/>
      <c r="B1256" s="2" t="str">
        <f t="shared" si="1"/>
        <v/>
      </c>
      <c r="E1256" s="2"/>
      <c r="F1256" s="2"/>
      <c r="G1256" s="2"/>
      <c r="H1256" s="2"/>
      <c r="I1256" s="2"/>
      <c r="J1256" s="2"/>
      <c r="K1256" s="2" t="str">
        <f t="shared" si="2"/>
        <v/>
      </c>
      <c r="L1256" s="2" t="str">
        <f t="shared" si="3"/>
        <v>No</v>
      </c>
      <c r="M1256" s="2" t="str">
        <f>IF(K1256="","",F1256*VLOOKUP(E1256,WEIGHTS!$A$2:$F$4,2,FALSE)+G1256*VLOOKUP(E1256,WEIGHTS!$A$2:$F$4,3,FALSE)+H1256*VLOOKUP(E1256,WEIGHTS!$A$2:$F$4,4,FALSE)+I1256*VLOOKUP(E1256,WEIGHTS!$A$2:$F$4,5,FALSE)+J1256*VLOOKUP(E1256,WEIGHTS!$A$2:$F$4,6,FALSE))</f>
        <v/>
      </c>
      <c r="N1256" s="2" t="str">
        <f t="shared" si="4"/>
        <v/>
      </c>
    </row>
    <row r="1257" ht="15.75" customHeight="1">
      <c r="A1257" s="3"/>
      <c r="B1257" s="2" t="str">
        <f t="shared" si="1"/>
        <v/>
      </c>
      <c r="E1257" s="2"/>
      <c r="F1257" s="2"/>
      <c r="G1257" s="2"/>
      <c r="H1257" s="2"/>
      <c r="I1257" s="2"/>
      <c r="J1257" s="2"/>
      <c r="K1257" s="2" t="str">
        <f t="shared" si="2"/>
        <v/>
      </c>
      <c r="L1257" s="2" t="str">
        <f t="shared" si="3"/>
        <v>No</v>
      </c>
      <c r="M1257" s="2" t="str">
        <f>IF(K1257="","",F1257*VLOOKUP(E1257,WEIGHTS!$A$2:$F$4,2,FALSE)+G1257*VLOOKUP(E1257,WEIGHTS!$A$2:$F$4,3,FALSE)+H1257*VLOOKUP(E1257,WEIGHTS!$A$2:$F$4,4,FALSE)+I1257*VLOOKUP(E1257,WEIGHTS!$A$2:$F$4,5,FALSE)+J1257*VLOOKUP(E1257,WEIGHTS!$A$2:$F$4,6,FALSE))</f>
        <v/>
      </c>
      <c r="N1257" s="2" t="str">
        <f t="shared" si="4"/>
        <v/>
      </c>
    </row>
    <row r="1258" ht="15.75" customHeight="1">
      <c r="A1258" s="3"/>
      <c r="B1258" s="2" t="str">
        <f t="shared" si="1"/>
        <v/>
      </c>
      <c r="E1258" s="2"/>
      <c r="F1258" s="2"/>
      <c r="G1258" s="2"/>
      <c r="H1258" s="2"/>
      <c r="I1258" s="2"/>
      <c r="J1258" s="2"/>
      <c r="K1258" s="2" t="str">
        <f t="shared" si="2"/>
        <v/>
      </c>
      <c r="L1258" s="2" t="str">
        <f t="shared" si="3"/>
        <v>No</v>
      </c>
      <c r="M1258" s="2" t="str">
        <f>IF(K1258="","",F1258*VLOOKUP(E1258,WEIGHTS!$A$2:$F$4,2,FALSE)+G1258*VLOOKUP(E1258,WEIGHTS!$A$2:$F$4,3,FALSE)+H1258*VLOOKUP(E1258,WEIGHTS!$A$2:$F$4,4,FALSE)+I1258*VLOOKUP(E1258,WEIGHTS!$A$2:$F$4,5,FALSE)+J1258*VLOOKUP(E1258,WEIGHTS!$A$2:$F$4,6,FALSE))</f>
        <v/>
      </c>
      <c r="N1258" s="2" t="str">
        <f t="shared" si="4"/>
        <v/>
      </c>
    </row>
    <row r="1259" ht="15.75" customHeight="1">
      <c r="A1259" s="3"/>
      <c r="B1259" s="2" t="str">
        <f t="shared" si="1"/>
        <v/>
      </c>
      <c r="E1259" s="2"/>
      <c r="F1259" s="2"/>
      <c r="G1259" s="2"/>
      <c r="H1259" s="2"/>
      <c r="I1259" s="2"/>
      <c r="J1259" s="2"/>
      <c r="K1259" s="2" t="str">
        <f t="shared" si="2"/>
        <v/>
      </c>
      <c r="L1259" s="2" t="str">
        <f t="shared" si="3"/>
        <v>No</v>
      </c>
      <c r="M1259" s="2" t="str">
        <f>IF(K1259="","",F1259*VLOOKUP(E1259,WEIGHTS!$A$2:$F$4,2,FALSE)+G1259*VLOOKUP(E1259,WEIGHTS!$A$2:$F$4,3,FALSE)+H1259*VLOOKUP(E1259,WEIGHTS!$A$2:$F$4,4,FALSE)+I1259*VLOOKUP(E1259,WEIGHTS!$A$2:$F$4,5,FALSE)+J1259*VLOOKUP(E1259,WEIGHTS!$A$2:$F$4,6,FALSE))</f>
        <v/>
      </c>
      <c r="N1259" s="2" t="str">
        <f t="shared" si="4"/>
        <v/>
      </c>
    </row>
    <row r="1260" ht="15.75" customHeight="1">
      <c r="A1260" s="3"/>
      <c r="B1260" s="2" t="str">
        <f t="shared" si="1"/>
        <v/>
      </c>
      <c r="E1260" s="2"/>
      <c r="F1260" s="2"/>
      <c r="G1260" s="2"/>
      <c r="H1260" s="2"/>
      <c r="I1260" s="2"/>
      <c r="J1260" s="2"/>
      <c r="K1260" s="2" t="str">
        <f t="shared" si="2"/>
        <v/>
      </c>
      <c r="L1260" s="2" t="str">
        <f t="shared" si="3"/>
        <v>No</v>
      </c>
      <c r="M1260" s="2" t="str">
        <f>IF(K1260="","",F1260*VLOOKUP(E1260,WEIGHTS!$A$2:$F$4,2,FALSE)+G1260*VLOOKUP(E1260,WEIGHTS!$A$2:$F$4,3,FALSE)+H1260*VLOOKUP(E1260,WEIGHTS!$A$2:$F$4,4,FALSE)+I1260*VLOOKUP(E1260,WEIGHTS!$A$2:$F$4,5,FALSE)+J1260*VLOOKUP(E1260,WEIGHTS!$A$2:$F$4,6,FALSE))</f>
        <v/>
      </c>
      <c r="N1260" s="2" t="str">
        <f t="shared" si="4"/>
        <v/>
      </c>
    </row>
    <row r="1261" ht="15.75" customHeight="1">
      <c r="A1261" s="3"/>
      <c r="B1261" s="2" t="str">
        <f t="shared" si="1"/>
        <v/>
      </c>
      <c r="E1261" s="2"/>
      <c r="F1261" s="2"/>
      <c r="G1261" s="2"/>
      <c r="H1261" s="2"/>
      <c r="I1261" s="2"/>
      <c r="J1261" s="2"/>
      <c r="K1261" s="2" t="str">
        <f t="shared" si="2"/>
        <v/>
      </c>
      <c r="L1261" s="2" t="str">
        <f t="shared" si="3"/>
        <v>No</v>
      </c>
      <c r="M1261" s="2" t="str">
        <f>IF(K1261="","",F1261*VLOOKUP(E1261,WEIGHTS!$A$2:$F$4,2,FALSE)+G1261*VLOOKUP(E1261,WEIGHTS!$A$2:$F$4,3,FALSE)+H1261*VLOOKUP(E1261,WEIGHTS!$A$2:$F$4,4,FALSE)+I1261*VLOOKUP(E1261,WEIGHTS!$A$2:$F$4,5,FALSE)+J1261*VLOOKUP(E1261,WEIGHTS!$A$2:$F$4,6,FALSE))</f>
        <v/>
      </c>
      <c r="N1261" s="2" t="str">
        <f t="shared" si="4"/>
        <v/>
      </c>
    </row>
    <row r="1262" ht="15.75" customHeight="1">
      <c r="A1262" s="3"/>
      <c r="B1262" s="2" t="str">
        <f t="shared" si="1"/>
        <v/>
      </c>
      <c r="E1262" s="2"/>
      <c r="F1262" s="2"/>
      <c r="G1262" s="2"/>
      <c r="H1262" s="2"/>
      <c r="I1262" s="2"/>
      <c r="J1262" s="2"/>
      <c r="K1262" s="2" t="str">
        <f t="shared" si="2"/>
        <v/>
      </c>
      <c r="L1262" s="2" t="str">
        <f t="shared" si="3"/>
        <v>No</v>
      </c>
      <c r="M1262" s="2" t="str">
        <f>IF(K1262="","",F1262*VLOOKUP(E1262,WEIGHTS!$A$2:$F$4,2,FALSE)+G1262*VLOOKUP(E1262,WEIGHTS!$A$2:$F$4,3,FALSE)+H1262*VLOOKUP(E1262,WEIGHTS!$A$2:$F$4,4,FALSE)+I1262*VLOOKUP(E1262,WEIGHTS!$A$2:$F$4,5,FALSE)+J1262*VLOOKUP(E1262,WEIGHTS!$A$2:$F$4,6,FALSE))</f>
        <v/>
      </c>
      <c r="N1262" s="2" t="str">
        <f t="shared" si="4"/>
        <v/>
      </c>
    </row>
    <row r="1263" ht="15.75" customHeight="1">
      <c r="A1263" s="3"/>
      <c r="B1263" s="2" t="str">
        <f t="shared" si="1"/>
        <v/>
      </c>
      <c r="E1263" s="2"/>
      <c r="F1263" s="2"/>
      <c r="G1263" s="2"/>
      <c r="H1263" s="2"/>
      <c r="I1263" s="2"/>
      <c r="J1263" s="2"/>
      <c r="K1263" s="2" t="str">
        <f t="shared" si="2"/>
        <v/>
      </c>
      <c r="L1263" s="2" t="str">
        <f t="shared" si="3"/>
        <v>No</v>
      </c>
      <c r="M1263" s="2" t="str">
        <f>IF(K1263="","",F1263*VLOOKUP(E1263,WEIGHTS!$A$2:$F$4,2,FALSE)+G1263*VLOOKUP(E1263,WEIGHTS!$A$2:$F$4,3,FALSE)+H1263*VLOOKUP(E1263,WEIGHTS!$A$2:$F$4,4,FALSE)+I1263*VLOOKUP(E1263,WEIGHTS!$A$2:$F$4,5,FALSE)+J1263*VLOOKUP(E1263,WEIGHTS!$A$2:$F$4,6,FALSE))</f>
        <v/>
      </c>
      <c r="N1263" s="2" t="str">
        <f t="shared" si="4"/>
        <v/>
      </c>
    </row>
    <row r="1264" ht="15.75" customHeight="1">
      <c r="A1264" s="3"/>
      <c r="B1264" s="2" t="str">
        <f t="shared" si="1"/>
        <v/>
      </c>
      <c r="E1264" s="2"/>
      <c r="F1264" s="2"/>
      <c r="G1264" s="2"/>
      <c r="H1264" s="2"/>
      <c r="I1264" s="2"/>
      <c r="J1264" s="2"/>
      <c r="K1264" s="2" t="str">
        <f t="shared" si="2"/>
        <v/>
      </c>
      <c r="L1264" s="2" t="str">
        <f t="shared" si="3"/>
        <v>No</v>
      </c>
      <c r="M1264" s="2" t="str">
        <f>IF(K1264="","",F1264*VLOOKUP(E1264,WEIGHTS!$A$2:$F$4,2,FALSE)+G1264*VLOOKUP(E1264,WEIGHTS!$A$2:$F$4,3,FALSE)+H1264*VLOOKUP(E1264,WEIGHTS!$A$2:$F$4,4,FALSE)+I1264*VLOOKUP(E1264,WEIGHTS!$A$2:$F$4,5,FALSE)+J1264*VLOOKUP(E1264,WEIGHTS!$A$2:$F$4,6,FALSE))</f>
        <v/>
      </c>
      <c r="N1264" s="2" t="str">
        <f t="shared" si="4"/>
        <v/>
      </c>
    </row>
    <row r="1265" ht="15.75" customHeight="1">
      <c r="A1265" s="3"/>
      <c r="B1265" s="2" t="str">
        <f t="shared" si="1"/>
        <v/>
      </c>
      <c r="E1265" s="2"/>
      <c r="F1265" s="2"/>
      <c r="G1265" s="2"/>
      <c r="H1265" s="2"/>
      <c r="I1265" s="2"/>
      <c r="J1265" s="2"/>
      <c r="K1265" s="2" t="str">
        <f t="shared" si="2"/>
        <v/>
      </c>
      <c r="L1265" s="2" t="str">
        <f t="shared" si="3"/>
        <v>No</v>
      </c>
      <c r="M1265" s="2" t="str">
        <f>IF(K1265="","",F1265*VLOOKUP(E1265,WEIGHTS!$A$2:$F$4,2,FALSE)+G1265*VLOOKUP(E1265,WEIGHTS!$A$2:$F$4,3,FALSE)+H1265*VLOOKUP(E1265,WEIGHTS!$A$2:$F$4,4,FALSE)+I1265*VLOOKUP(E1265,WEIGHTS!$A$2:$F$4,5,FALSE)+J1265*VLOOKUP(E1265,WEIGHTS!$A$2:$F$4,6,FALSE))</f>
        <v/>
      </c>
      <c r="N1265" s="2" t="str">
        <f t="shared" si="4"/>
        <v/>
      </c>
    </row>
    <row r="1266" ht="15.75" customHeight="1">
      <c r="A1266" s="3"/>
      <c r="B1266" s="2" t="str">
        <f t="shared" si="1"/>
        <v/>
      </c>
      <c r="E1266" s="2"/>
      <c r="F1266" s="2"/>
      <c r="G1266" s="2"/>
      <c r="H1266" s="2"/>
      <c r="I1266" s="2"/>
      <c r="J1266" s="2"/>
      <c r="K1266" s="2" t="str">
        <f t="shared" si="2"/>
        <v/>
      </c>
      <c r="L1266" s="2" t="str">
        <f t="shared" si="3"/>
        <v>No</v>
      </c>
      <c r="M1266" s="2" t="str">
        <f>IF(K1266="","",F1266*VLOOKUP(E1266,WEIGHTS!$A$2:$F$4,2,FALSE)+G1266*VLOOKUP(E1266,WEIGHTS!$A$2:$F$4,3,FALSE)+H1266*VLOOKUP(E1266,WEIGHTS!$A$2:$F$4,4,FALSE)+I1266*VLOOKUP(E1266,WEIGHTS!$A$2:$F$4,5,FALSE)+J1266*VLOOKUP(E1266,WEIGHTS!$A$2:$F$4,6,FALSE))</f>
        <v/>
      </c>
      <c r="N1266" s="2" t="str">
        <f t="shared" si="4"/>
        <v/>
      </c>
    </row>
    <row r="1267" ht="15.75" customHeight="1">
      <c r="A1267" s="3"/>
      <c r="B1267" s="2" t="str">
        <f t="shared" si="1"/>
        <v/>
      </c>
      <c r="E1267" s="2"/>
      <c r="F1267" s="2"/>
      <c r="G1267" s="2"/>
      <c r="H1267" s="2"/>
      <c r="I1267" s="2"/>
      <c r="J1267" s="2"/>
      <c r="K1267" s="2" t="str">
        <f t="shared" si="2"/>
        <v/>
      </c>
      <c r="L1267" s="2" t="str">
        <f t="shared" si="3"/>
        <v>No</v>
      </c>
      <c r="M1267" s="2" t="str">
        <f>IF(K1267="","",F1267*VLOOKUP(E1267,WEIGHTS!$A$2:$F$4,2,FALSE)+G1267*VLOOKUP(E1267,WEIGHTS!$A$2:$F$4,3,FALSE)+H1267*VLOOKUP(E1267,WEIGHTS!$A$2:$F$4,4,FALSE)+I1267*VLOOKUP(E1267,WEIGHTS!$A$2:$F$4,5,FALSE)+J1267*VLOOKUP(E1267,WEIGHTS!$A$2:$F$4,6,FALSE))</f>
        <v/>
      </c>
      <c r="N1267" s="2" t="str">
        <f t="shared" si="4"/>
        <v/>
      </c>
    </row>
    <row r="1268" ht="15.75" customHeight="1">
      <c r="A1268" s="3"/>
      <c r="B1268" s="2" t="str">
        <f t="shared" si="1"/>
        <v/>
      </c>
      <c r="E1268" s="2"/>
      <c r="F1268" s="2"/>
      <c r="G1268" s="2"/>
      <c r="H1268" s="2"/>
      <c r="I1268" s="2"/>
      <c r="J1268" s="2"/>
      <c r="K1268" s="2" t="str">
        <f t="shared" si="2"/>
        <v/>
      </c>
      <c r="L1268" s="2" t="str">
        <f t="shared" si="3"/>
        <v>No</v>
      </c>
      <c r="M1268" s="2" t="str">
        <f>IF(K1268="","",F1268*VLOOKUP(E1268,WEIGHTS!$A$2:$F$4,2,FALSE)+G1268*VLOOKUP(E1268,WEIGHTS!$A$2:$F$4,3,FALSE)+H1268*VLOOKUP(E1268,WEIGHTS!$A$2:$F$4,4,FALSE)+I1268*VLOOKUP(E1268,WEIGHTS!$A$2:$F$4,5,FALSE)+J1268*VLOOKUP(E1268,WEIGHTS!$A$2:$F$4,6,FALSE))</f>
        <v/>
      </c>
      <c r="N1268" s="2" t="str">
        <f t="shared" si="4"/>
        <v/>
      </c>
    </row>
    <row r="1269" ht="15.75" customHeight="1">
      <c r="A1269" s="3"/>
      <c r="B1269" s="2" t="str">
        <f t="shared" si="1"/>
        <v/>
      </c>
      <c r="E1269" s="2"/>
      <c r="F1269" s="2"/>
      <c r="G1269" s="2"/>
      <c r="H1269" s="2"/>
      <c r="I1269" s="2"/>
      <c r="J1269" s="2"/>
      <c r="K1269" s="2" t="str">
        <f t="shared" si="2"/>
        <v/>
      </c>
      <c r="L1269" s="2" t="str">
        <f t="shared" si="3"/>
        <v>No</v>
      </c>
      <c r="M1269" s="2" t="str">
        <f>IF(K1269="","",F1269*VLOOKUP(E1269,WEIGHTS!$A$2:$F$4,2,FALSE)+G1269*VLOOKUP(E1269,WEIGHTS!$A$2:$F$4,3,FALSE)+H1269*VLOOKUP(E1269,WEIGHTS!$A$2:$F$4,4,FALSE)+I1269*VLOOKUP(E1269,WEIGHTS!$A$2:$F$4,5,FALSE)+J1269*VLOOKUP(E1269,WEIGHTS!$A$2:$F$4,6,FALSE))</f>
        <v/>
      </c>
      <c r="N1269" s="2" t="str">
        <f t="shared" si="4"/>
        <v/>
      </c>
    </row>
    <row r="1270" ht="15.75" customHeight="1">
      <c r="A1270" s="3"/>
      <c r="B1270" s="2" t="str">
        <f t="shared" si="1"/>
        <v/>
      </c>
      <c r="E1270" s="2"/>
      <c r="F1270" s="2"/>
      <c r="G1270" s="2"/>
      <c r="H1270" s="2"/>
      <c r="I1270" s="2"/>
      <c r="J1270" s="2"/>
      <c r="K1270" s="2" t="str">
        <f t="shared" si="2"/>
        <v/>
      </c>
      <c r="L1270" s="2" t="str">
        <f t="shared" si="3"/>
        <v>No</v>
      </c>
      <c r="M1270" s="2" t="str">
        <f>IF(K1270="","",F1270*VLOOKUP(E1270,WEIGHTS!$A$2:$F$4,2,FALSE)+G1270*VLOOKUP(E1270,WEIGHTS!$A$2:$F$4,3,FALSE)+H1270*VLOOKUP(E1270,WEIGHTS!$A$2:$F$4,4,FALSE)+I1270*VLOOKUP(E1270,WEIGHTS!$A$2:$F$4,5,FALSE)+J1270*VLOOKUP(E1270,WEIGHTS!$A$2:$F$4,6,FALSE))</f>
        <v/>
      </c>
      <c r="N1270" s="2" t="str">
        <f t="shared" si="4"/>
        <v/>
      </c>
    </row>
    <row r="1271" ht="15.75" customHeight="1">
      <c r="A1271" s="3"/>
      <c r="B1271" s="2" t="str">
        <f t="shared" si="1"/>
        <v/>
      </c>
      <c r="E1271" s="2"/>
      <c r="F1271" s="2"/>
      <c r="G1271" s="2"/>
      <c r="H1271" s="2"/>
      <c r="I1271" s="2"/>
      <c r="J1271" s="2"/>
      <c r="K1271" s="2" t="str">
        <f t="shared" si="2"/>
        <v/>
      </c>
      <c r="L1271" s="2" t="str">
        <f t="shared" si="3"/>
        <v>No</v>
      </c>
      <c r="M1271" s="2" t="str">
        <f>IF(K1271="","",F1271*VLOOKUP(E1271,WEIGHTS!$A$2:$F$4,2,FALSE)+G1271*VLOOKUP(E1271,WEIGHTS!$A$2:$F$4,3,FALSE)+H1271*VLOOKUP(E1271,WEIGHTS!$A$2:$F$4,4,FALSE)+I1271*VLOOKUP(E1271,WEIGHTS!$A$2:$F$4,5,FALSE)+J1271*VLOOKUP(E1271,WEIGHTS!$A$2:$F$4,6,FALSE))</f>
        <v/>
      </c>
      <c r="N1271" s="2" t="str">
        <f t="shared" si="4"/>
        <v/>
      </c>
    </row>
    <row r="1272" ht="15.75" customHeight="1">
      <c r="A1272" s="3"/>
      <c r="B1272" s="2" t="str">
        <f t="shared" si="1"/>
        <v/>
      </c>
      <c r="E1272" s="2"/>
      <c r="F1272" s="2"/>
      <c r="G1272" s="2"/>
      <c r="H1272" s="2"/>
      <c r="I1272" s="2"/>
      <c r="J1272" s="2"/>
      <c r="K1272" s="2" t="str">
        <f t="shared" si="2"/>
        <v/>
      </c>
      <c r="L1272" s="2" t="str">
        <f t="shared" si="3"/>
        <v>No</v>
      </c>
      <c r="M1272" s="2" t="str">
        <f>IF(K1272="","",F1272*VLOOKUP(E1272,WEIGHTS!$A$2:$F$4,2,FALSE)+G1272*VLOOKUP(E1272,WEIGHTS!$A$2:$F$4,3,FALSE)+H1272*VLOOKUP(E1272,WEIGHTS!$A$2:$F$4,4,FALSE)+I1272*VLOOKUP(E1272,WEIGHTS!$A$2:$F$4,5,FALSE)+J1272*VLOOKUP(E1272,WEIGHTS!$A$2:$F$4,6,FALSE))</f>
        <v/>
      </c>
      <c r="N1272" s="2" t="str">
        <f t="shared" si="4"/>
        <v/>
      </c>
    </row>
    <row r="1273" ht="15.75" customHeight="1">
      <c r="A1273" s="3"/>
      <c r="B1273" s="2" t="str">
        <f t="shared" si="1"/>
        <v/>
      </c>
      <c r="E1273" s="2"/>
      <c r="F1273" s="2"/>
      <c r="G1273" s="2"/>
      <c r="H1273" s="2"/>
      <c r="I1273" s="2"/>
      <c r="J1273" s="2"/>
      <c r="K1273" s="2" t="str">
        <f t="shared" si="2"/>
        <v/>
      </c>
      <c r="L1273" s="2" t="str">
        <f t="shared" si="3"/>
        <v>No</v>
      </c>
      <c r="M1273" s="2" t="str">
        <f>IF(K1273="","",F1273*VLOOKUP(E1273,WEIGHTS!$A$2:$F$4,2,FALSE)+G1273*VLOOKUP(E1273,WEIGHTS!$A$2:$F$4,3,FALSE)+H1273*VLOOKUP(E1273,WEIGHTS!$A$2:$F$4,4,FALSE)+I1273*VLOOKUP(E1273,WEIGHTS!$A$2:$F$4,5,FALSE)+J1273*VLOOKUP(E1273,WEIGHTS!$A$2:$F$4,6,FALSE))</f>
        <v/>
      </c>
      <c r="N1273" s="2" t="str">
        <f t="shared" si="4"/>
        <v/>
      </c>
    </row>
    <row r="1274" ht="15.75" customHeight="1">
      <c r="A1274" s="3"/>
      <c r="B1274" s="2" t="str">
        <f t="shared" si="1"/>
        <v/>
      </c>
      <c r="E1274" s="2"/>
      <c r="F1274" s="2"/>
      <c r="G1274" s="2"/>
      <c r="H1274" s="2"/>
      <c r="I1274" s="2"/>
      <c r="J1274" s="2"/>
      <c r="K1274" s="2" t="str">
        <f t="shared" si="2"/>
        <v/>
      </c>
      <c r="L1274" s="2" t="str">
        <f t="shared" si="3"/>
        <v>No</v>
      </c>
      <c r="M1274" s="2" t="str">
        <f>IF(K1274="","",F1274*VLOOKUP(E1274,WEIGHTS!$A$2:$F$4,2,FALSE)+G1274*VLOOKUP(E1274,WEIGHTS!$A$2:$F$4,3,FALSE)+H1274*VLOOKUP(E1274,WEIGHTS!$A$2:$F$4,4,FALSE)+I1274*VLOOKUP(E1274,WEIGHTS!$A$2:$F$4,5,FALSE)+J1274*VLOOKUP(E1274,WEIGHTS!$A$2:$F$4,6,FALSE))</f>
        <v/>
      </c>
      <c r="N1274" s="2" t="str">
        <f t="shared" si="4"/>
        <v/>
      </c>
    </row>
    <row r="1275" ht="15.75" customHeight="1">
      <c r="A1275" s="3"/>
      <c r="B1275" s="2" t="str">
        <f t="shared" si="1"/>
        <v/>
      </c>
      <c r="E1275" s="2"/>
      <c r="F1275" s="2"/>
      <c r="G1275" s="2"/>
      <c r="H1275" s="2"/>
      <c r="I1275" s="2"/>
      <c r="J1275" s="2"/>
      <c r="K1275" s="2" t="str">
        <f t="shared" si="2"/>
        <v/>
      </c>
      <c r="L1275" s="2" t="str">
        <f t="shared" si="3"/>
        <v>No</v>
      </c>
      <c r="M1275" s="2" t="str">
        <f>IF(K1275="","",F1275*VLOOKUP(E1275,WEIGHTS!$A$2:$F$4,2,FALSE)+G1275*VLOOKUP(E1275,WEIGHTS!$A$2:$F$4,3,FALSE)+H1275*VLOOKUP(E1275,WEIGHTS!$A$2:$F$4,4,FALSE)+I1275*VLOOKUP(E1275,WEIGHTS!$A$2:$F$4,5,FALSE)+J1275*VLOOKUP(E1275,WEIGHTS!$A$2:$F$4,6,FALSE))</f>
        <v/>
      </c>
      <c r="N1275" s="2" t="str">
        <f t="shared" si="4"/>
        <v/>
      </c>
    </row>
    <row r="1276" ht="15.75" customHeight="1">
      <c r="A1276" s="3"/>
      <c r="B1276" s="2" t="str">
        <f t="shared" si="1"/>
        <v/>
      </c>
      <c r="E1276" s="2"/>
      <c r="F1276" s="2"/>
      <c r="G1276" s="2"/>
      <c r="H1276" s="2"/>
      <c r="I1276" s="2"/>
      <c r="J1276" s="2"/>
      <c r="K1276" s="2" t="str">
        <f t="shared" si="2"/>
        <v/>
      </c>
      <c r="L1276" s="2" t="str">
        <f t="shared" si="3"/>
        <v>No</v>
      </c>
      <c r="M1276" s="2" t="str">
        <f>IF(K1276="","",F1276*VLOOKUP(E1276,WEIGHTS!$A$2:$F$4,2,FALSE)+G1276*VLOOKUP(E1276,WEIGHTS!$A$2:$F$4,3,FALSE)+H1276*VLOOKUP(E1276,WEIGHTS!$A$2:$F$4,4,FALSE)+I1276*VLOOKUP(E1276,WEIGHTS!$A$2:$F$4,5,FALSE)+J1276*VLOOKUP(E1276,WEIGHTS!$A$2:$F$4,6,FALSE))</f>
        <v/>
      </c>
      <c r="N1276" s="2" t="str">
        <f t="shared" si="4"/>
        <v/>
      </c>
    </row>
    <row r="1277" ht="15.75" customHeight="1">
      <c r="A1277" s="3"/>
      <c r="B1277" s="2" t="str">
        <f t="shared" si="1"/>
        <v/>
      </c>
      <c r="E1277" s="2"/>
      <c r="F1277" s="2"/>
      <c r="G1277" s="2"/>
      <c r="H1277" s="2"/>
      <c r="I1277" s="2"/>
      <c r="J1277" s="2"/>
      <c r="K1277" s="2" t="str">
        <f t="shared" si="2"/>
        <v/>
      </c>
      <c r="L1277" s="2" t="str">
        <f t="shared" si="3"/>
        <v>No</v>
      </c>
      <c r="M1277" s="2" t="str">
        <f>IF(K1277="","",F1277*VLOOKUP(E1277,WEIGHTS!$A$2:$F$4,2,FALSE)+G1277*VLOOKUP(E1277,WEIGHTS!$A$2:$F$4,3,FALSE)+H1277*VLOOKUP(E1277,WEIGHTS!$A$2:$F$4,4,FALSE)+I1277*VLOOKUP(E1277,WEIGHTS!$A$2:$F$4,5,FALSE)+J1277*VLOOKUP(E1277,WEIGHTS!$A$2:$F$4,6,FALSE))</f>
        <v/>
      </c>
      <c r="N1277" s="2" t="str">
        <f t="shared" si="4"/>
        <v/>
      </c>
    </row>
    <row r="1278" ht="15.75" customHeight="1">
      <c r="A1278" s="3"/>
      <c r="B1278" s="2" t="str">
        <f t="shared" si="1"/>
        <v/>
      </c>
      <c r="E1278" s="2"/>
      <c r="F1278" s="2"/>
      <c r="G1278" s="2"/>
      <c r="H1278" s="2"/>
      <c r="I1278" s="2"/>
      <c r="J1278" s="2"/>
      <c r="K1278" s="2" t="str">
        <f t="shared" si="2"/>
        <v/>
      </c>
      <c r="L1278" s="2" t="str">
        <f t="shared" si="3"/>
        <v>No</v>
      </c>
      <c r="M1278" s="2" t="str">
        <f>IF(K1278="","",F1278*VLOOKUP(E1278,WEIGHTS!$A$2:$F$4,2,FALSE)+G1278*VLOOKUP(E1278,WEIGHTS!$A$2:$F$4,3,FALSE)+H1278*VLOOKUP(E1278,WEIGHTS!$A$2:$F$4,4,FALSE)+I1278*VLOOKUP(E1278,WEIGHTS!$A$2:$F$4,5,FALSE)+J1278*VLOOKUP(E1278,WEIGHTS!$A$2:$F$4,6,FALSE))</f>
        <v/>
      </c>
      <c r="N1278" s="2" t="str">
        <f t="shared" si="4"/>
        <v/>
      </c>
    </row>
    <row r="1279" ht="15.75" customHeight="1">
      <c r="A1279" s="3"/>
      <c r="B1279" s="2" t="str">
        <f t="shared" si="1"/>
        <v/>
      </c>
      <c r="E1279" s="2"/>
      <c r="F1279" s="2"/>
      <c r="G1279" s="2"/>
      <c r="H1279" s="2"/>
      <c r="I1279" s="2"/>
      <c r="J1279" s="2"/>
      <c r="K1279" s="2" t="str">
        <f t="shared" si="2"/>
        <v/>
      </c>
      <c r="L1279" s="2" t="str">
        <f t="shared" si="3"/>
        <v>No</v>
      </c>
      <c r="M1279" s="2" t="str">
        <f>IF(K1279="","",F1279*VLOOKUP(E1279,WEIGHTS!$A$2:$F$4,2,FALSE)+G1279*VLOOKUP(E1279,WEIGHTS!$A$2:$F$4,3,FALSE)+H1279*VLOOKUP(E1279,WEIGHTS!$A$2:$F$4,4,FALSE)+I1279*VLOOKUP(E1279,WEIGHTS!$A$2:$F$4,5,FALSE)+J1279*VLOOKUP(E1279,WEIGHTS!$A$2:$F$4,6,FALSE))</f>
        <v/>
      </c>
      <c r="N1279" s="2" t="str">
        <f t="shared" si="4"/>
        <v/>
      </c>
    </row>
    <row r="1280" ht="15.75" customHeight="1">
      <c r="A1280" s="3"/>
      <c r="B1280" s="2" t="str">
        <f t="shared" si="1"/>
        <v/>
      </c>
      <c r="E1280" s="2"/>
      <c r="F1280" s="2"/>
      <c r="G1280" s="2"/>
      <c r="H1280" s="2"/>
      <c r="I1280" s="2"/>
      <c r="J1280" s="2"/>
      <c r="K1280" s="2" t="str">
        <f t="shared" si="2"/>
        <v/>
      </c>
      <c r="L1280" s="2" t="str">
        <f t="shared" si="3"/>
        <v>No</v>
      </c>
      <c r="M1280" s="2" t="str">
        <f>IF(K1280="","",F1280*VLOOKUP(E1280,WEIGHTS!$A$2:$F$4,2,FALSE)+G1280*VLOOKUP(E1280,WEIGHTS!$A$2:$F$4,3,FALSE)+H1280*VLOOKUP(E1280,WEIGHTS!$A$2:$F$4,4,FALSE)+I1280*VLOOKUP(E1280,WEIGHTS!$A$2:$F$4,5,FALSE)+J1280*VLOOKUP(E1280,WEIGHTS!$A$2:$F$4,6,FALSE))</f>
        <v/>
      </c>
      <c r="N1280" s="2" t="str">
        <f t="shared" si="4"/>
        <v/>
      </c>
    </row>
    <row r="1281" ht="15.75" customHeight="1">
      <c r="A1281" s="3"/>
      <c r="B1281" s="2" t="str">
        <f t="shared" si="1"/>
        <v/>
      </c>
      <c r="E1281" s="2"/>
      <c r="F1281" s="2"/>
      <c r="G1281" s="2"/>
      <c r="H1281" s="2"/>
      <c r="I1281" s="2"/>
      <c r="J1281" s="2"/>
      <c r="K1281" s="2" t="str">
        <f t="shared" si="2"/>
        <v/>
      </c>
      <c r="L1281" s="2" t="str">
        <f t="shared" si="3"/>
        <v>No</v>
      </c>
      <c r="M1281" s="2" t="str">
        <f>IF(K1281="","",F1281*VLOOKUP(E1281,WEIGHTS!$A$2:$F$4,2,FALSE)+G1281*VLOOKUP(E1281,WEIGHTS!$A$2:$F$4,3,FALSE)+H1281*VLOOKUP(E1281,WEIGHTS!$A$2:$F$4,4,FALSE)+I1281*VLOOKUP(E1281,WEIGHTS!$A$2:$F$4,5,FALSE)+J1281*VLOOKUP(E1281,WEIGHTS!$A$2:$F$4,6,FALSE))</f>
        <v/>
      </c>
      <c r="N1281" s="2" t="str">
        <f t="shared" si="4"/>
        <v/>
      </c>
    </row>
    <row r="1282" ht="15.75" customHeight="1">
      <c r="A1282" s="3"/>
      <c r="B1282" s="2" t="str">
        <f t="shared" si="1"/>
        <v/>
      </c>
      <c r="E1282" s="2"/>
      <c r="F1282" s="2"/>
      <c r="G1282" s="2"/>
      <c r="H1282" s="2"/>
      <c r="I1282" s="2"/>
      <c r="J1282" s="2"/>
      <c r="K1282" s="2" t="str">
        <f t="shared" si="2"/>
        <v/>
      </c>
      <c r="L1282" s="2" t="str">
        <f t="shared" si="3"/>
        <v>No</v>
      </c>
      <c r="M1282" s="2" t="str">
        <f>IF(K1282="","",F1282*VLOOKUP(E1282,WEIGHTS!$A$2:$F$4,2,FALSE)+G1282*VLOOKUP(E1282,WEIGHTS!$A$2:$F$4,3,FALSE)+H1282*VLOOKUP(E1282,WEIGHTS!$A$2:$F$4,4,FALSE)+I1282*VLOOKUP(E1282,WEIGHTS!$A$2:$F$4,5,FALSE)+J1282*VLOOKUP(E1282,WEIGHTS!$A$2:$F$4,6,FALSE))</f>
        <v/>
      </c>
      <c r="N1282" s="2" t="str">
        <f t="shared" si="4"/>
        <v/>
      </c>
    </row>
    <row r="1283" ht="15.75" customHeight="1">
      <c r="A1283" s="3"/>
      <c r="B1283" s="2" t="str">
        <f t="shared" si="1"/>
        <v/>
      </c>
      <c r="E1283" s="2"/>
      <c r="F1283" s="2"/>
      <c r="G1283" s="2"/>
      <c r="H1283" s="2"/>
      <c r="I1283" s="2"/>
      <c r="J1283" s="2"/>
      <c r="K1283" s="2" t="str">
        <f t="shared" si="2"/>
        <v/>
      </c>
      <c r="L1283" s="2" t="str">
        <f t="shared" si="3"/>
        <v>No</v>
      </c>
      <c r="M1283" s="2" t="str">
        <f>IF(K1283="","",F1283*VLOOKUP(E1283,WEIGHTS!$A$2:$F$4,2,FALSE)+G1283*VLOOKUP(E1283,WEIGHTS!$A$2:$F$4,3,FALSE)+H1283*VLOOKUP(E1283,WEIGHTS!$A$2:$F$4,4,FALSE)+I1283*VLOOKUP(E1283,WEIGHTS!$A$2:$F$4,5,FALSE)+J1283*VLOOKUP(E1283,WEIGHTS!$A$2:$F$4,6,FALSE))</f>
        <v/>
      </c>
      <c r="N1283" s="2" t="str">
        <f t="shared" si="4"/>
        <v/>
      </c>
    </row>
    <row r="1284" ht="15.75" customHeight="1">
      <c r="A1284" s="3"/>
      <c r="B1284" s="2" t="str">
        <f t="shared" si="1"/>
        <v/>
      </c>
      <c r="E1284" s="2"/>
      <c r="F1284" s="2"/>
      <c r="G1284" s="2"/>
      <c r="H1284" s="2"/>
      <c r="I1284" s="2"/>
      <c r="J1284" s="2"/>
      <c r="K1284" s="2" t="str">
        <f t="shared" si="2"/>
        <v/>
      </c>
      <c r="L1284" s="2" t="str">
        <f t="shared" si="3"/>
        <v>No</v>
      </c>
      <c r="M1284" s="2" t="str">
        <f>IF(K1284="","",F1284*VLOOKUP(E1284,WEIGHTS!$A$2:$F$4,2,FALSE)+G1284*VLOOKUP(E1284,WEIGHTS!$A$2:$F$4,3,FALSE)+H1284*VLOOKUP(E1284,WEIGHTS!$A$2:$F$4,4,FALSE)+I1284*VLOOKUP(E1284,WEIGHTS!$A$2:$F$4,5,FALSE)+J1284*VLOOKUP(E1284,WEIGHTS!$A$2:$F$4,6,FALSE))</f>
        <v/>
      </c>
      <c r="N1284" s="2" t="str">
        <f t="shared" si="4"/>
        <v/>
      </c>
    </row>
    <row r="1285" ht="15.75" customHeight="1">
      <c r="A1285" s="3"/>
      <c r="B1285" s="2" t="str">
        <f t="shared" si="1"/>
        <v/>
      </c>
      <c r="E1285" s="2"/>
      <c r="F1285" s="2"/>
      <c r="G1285" s="2"/>
      <c r="H1285" s="2"/>
      <c r="I1285" s="2"/>
      <c r="J1285" s="2"/>
      <c r="K1285" s="2" t="str">
        <f t="shared" si="2"/>
        <v/>
      </c>
      <c r="L1285" s="2" t="str">
        <f t="shared" si="3"/>
        <v>No</v>
      </c>
      <c r="M1285" s="2" t="str">
        <f>IF(K1285="","",F1285*VLOOKUP(E1285,WEIGHTS!$A$2:$F$4,2,FALSE)+G1285*VLOOKUP(E1285,WEIGHTS!$A$2:$F$4,3,FALSE)+H1285*VLOOKUP(E1285,WEIGHTS!$A$2:$F$4,4,FALSE)+I1285*VLOOKUP(E1285,WEIGHTS!$A$2:$F$4,5,FALSE)+J1285*VLOOKUP(E1285,WEIGHTS!$A$2:$F$4,6,FALSE))</f>
        <v/>
      </c>
      <c r="N1285" s="2" t="str">
        <f t="shared" si="4"/>
        <v/>
      </c>
    </row>
    <row r="1286" ht="15.75" customHeight="1">
      <c r="A1286" s="3"/>
      <c r="B1286" s="2" t="str">
        <f t="shared" si="1"/>
        <v/>
      </c>
      <c r="E1286" s="2"/>
      <c r="F1286" s="2"/>
      <c r="G1286" s="2"/>
      <c r="H1286" s="2"/>
      <c r="I1286" s="2"/>
      <c r="J1286" s="2"/>
      <c r="K1286" s="2" t="str">
        <f t="shared" si="2"/>
        <v/>
      </c>
      <c r="L1286" s="2" t="str">
        <f t="shared" si="3"/>
        <v>No</v>
      </c>
      <c r="M1286" s="2" t="str">
        <f>IF(K1286="","",F1286*VLOOKUP(E1286,WEIGHTS!$A$2:$F$4,2,FALSE)+G1286*VLOOKUP(E1286,WEIGHTS!$A$2:$F$4,3,FALSE)+H1286*VLOOKUP(E1286,WEIGHTS!$A$2:$F$4,4,FALSE)+I1286*VLOOKUP(E1286,WEIGHTS!$A$2:$F$4,5,FALSE)+J1286*VLOOKUP(E1286,WEIGHTS!$A$2:$F$4,6,FALSE))</f>
        <v/>
      </c>
      <c r="N1286" s="2" t="str">
        <f t="shared" si="4"/>
        <v/>
      </c>
    </row>
    <row r="1287" ht="15.75" customHeight="1">
      <c r="A1287" s="3"/>
      <c r="B1287" s="2" t="str">
        <f t="shared" si="1"/>
        <v/>
      </c>
      <c r="E1287" s="2"/>
      <c r="F1287" s="2"/>
      <c r="G1287" s="2"/>
      <c r="H1287" s="2"/>
      <c r="I1287" s="2"/>
      <c r="J1287" s="2"/>
      <c r="K1287" s="2" t="str">
        <f t="shared" si="2"/>
        <v/>
      </c>
      <c r="L1287" s="2" t="str">
        <f t="shared" si="3"/>
        <v>No</v>
      </c>
      <c r="M1287" s="2" t="str">
        <f>IF(K1287="","",F1287*VLOOKUP(E1287,WEIGHTS!$A$2:$F$4,2,FALSE)+G1287*VLOOKUP(E1287,WEIGHTS!$A$2:$F$4,3,FALSE)+H1287*VLOOKUP(E1287,WEIGHTS!$A$2:$F$4,4,FALSE)+I1287*VLOOKUP(E1287,WEIGHTS!$A$2:$F$4,5,FALSE)+J1287*VLOOKUP(E1287,WEIGHTS!$A$2:$F$4,6,FALSE))</f>
        <v/>
      </c>
      <c r="N1287" s="2" t="str">
        <f t="shared" si="4"/>
        <v/>
      </c>
    </row>
    <row r="1288" ht="15.75" customHeight="1">
      <c r="A1288" s="3"/>
      <c r="B1288" s="2" t="str">
        <f t="shared" si="1"/>
        <v/>
      </c>
      <c r="E1288" s="2"/>
      <c r="F1288" s="2"/>
      <c r="G1288" s="2"/>
      <c r="H1288" s="2"/>
      <c r="I1288" s="2"/>
      <c r="J1288" s="2"/>
      <c r="K1288" s="2" t="str">
        <f t="shared" si="2"/>
        <v/>
      </c>
      <c r="L1288" s="2" t="str">
        <f t="shared" si="3"/>
        <v>No</v>
      </c>
      <c r="M1288" s="2" t="str">
        <f>IF(K1288="","",F1288*VLOOKUP(E1288,WEIGHTS!$A$2:$F$4,2,FALSE)+G1288*VLOOKUP(E1288,WEIGHTS!$A$2:$F$4,3,FALSE)+H1288*VLOOKUP(E1288,WEIGHTS!$A$2:$F$4,4,FALSE)+I1288*VLOOKUP(E1288,WEIGHTS!$A$2:$F$4,5,FALSE)+J1288*VLOOKUP(E1288,WEIGHTS!$A$2:$F$4,6,FALSE))</f>
        <v/>
      </c>
      <c r="N1288" s="2" t="str">
        <f t="shared" si="4"/>
        <v/>
      </c>
    </row>
    <row r="1289" ht="15.75" customHeight="1">
      <c r="A1289" s="3"/>
      <c r="B1289" s="2" t="str">
        <f t="shared" si="1"/>
        <v/>
      </c>
      <c r="E1289" s="2"/>
      <c r="F1289" s="2"/>
      <c r="G1289" s="2"/>
      <c r="H1289" s="2"/>
      <c r="I1289" s="2"/>
      <c r="J1289" s="2"/>
      <c r="K1289" s="2" t="str">
        <f t="shared" si="2"/>
        <v/>
      </c>
      <c r="L1289" s="2" t="str">
        <f t="shared" si="3"/>
        <v>No</v>
      </c>
      <c r="M1289" s="2" t="str">
        <f>IF(K1289="","",F1289*VLOOKUP(E1289,WEIGHTS!$A$2:$F$4,2,FALSE)+G1289*VLOOKUP(E1289,WEIGHTS!$A$2:$F$4,3,FALSE)+H1289*VLOOKUP(E1289,WEIGHTS!$A$2:$F$4,4,FALSE)+I1289*VLOOKUP(E1289,WEIGHTS!$A$2:$F$4,5,FALSE)+J1289*VLOOKUP(E1289,WEIGHTS!$A$2:$F$4,6,FALSE))</f>
        <v/>
      </c>
      <c r="N1289" s="2" t="str">
        <f t="shared" si="4"/>
        <v/>
      </c>
    </row>
    <row r="1290" ht="15.75" customHeight="1">
      <c r="A1290" s="3"/>
      <c r="B1290" s="2" t="str">
        <f t="shared" si="1"/>
        <v/>
      </c>
      <c r="E1290" s="2"/>
      <c r="F1290" s="2"/>
      <c r="G1290" s="2"/>
      <c r="H1290" s="2"/>
      <c r="I1290" s="2"/>
      <c r="J1290" s="2"/>
      <c r="K1290" s="2" t="str">
        <f t="shared" si="2"/>
        <v/>
      </c>
      <c r="L1290" s="2" t="str">
        <f t="shared" si="3"/>
        <v>No</v>
      </c>
      <c r="M1290" s="2" t="str">
        <f>IF(K1290="","",F1290*VLOOKUP(E1290,WEIGHTS!$A$2:$F$4,2,FALSE)+G1290*VLOOKUP(E1290,WEIGHTS!$A$2:$F$4,3,FALSE)+H1290*VLOOKUP(E1290,WEIGHTS!$A$2:$F$4,4,FALSE)+I1290*VLOOKUP(E1290,WEIGHTS!$A$2:$F$4,5,FALSE)+J1290*VLOOKUP(E1290,WEIGHTS!$A$2:$F$4,6,FALSE))</f>
        <v/>
      </c>
      <c r="N1290" s="2" t="str">
        <f t="shared" si="4"/>
        <v/>
      </c>
    </row>
    <row r="1291" ht="15.75" customHeight="1">
      <c r="A1291" s="3"/>
      <c r="B1291" s="2" t="str">
        <f t="shared" si="1"/>
        <v/>
      </c>
      <c r="E1291" s="2"/>
      <c r="F1291" s="2"/>
      <c r="G1291" s="2"/>
      <c r="H1291" s="2"/>
      <c r="I1291" s="2"/>
      <c r="J1291" s="2"/>
      <c r="K1291" s="2" t="str">
        <f t="shared" si="2"/>
        <v/>
      </c>
      <c r="L1291" s="2" t="str">
        <f t="shared" si="3"/>
        <v>No</v>
      </c>
      <c r="M1291" s="2" t="str">
        <f>IF(K1291="","",F1291*VLOOKUP(E1291,WEIGHTS!$A$2:$F$4,2,FALSE)+G1291*VLOOKUP(E1291,WEIGHTS!$A$2:$F$4,3,FALSE)+H1291*VLOOKUP(E1291,WEIGHTS!$A$2:$F$4,4,FALSE)+I1291*VLOOKUP(E1291,WEIGHTS!$A$2:$F$4,5,FALSE)+J1291*VLOOKUP(E1291,WEIGHTS!$A$2:$F$4,6,FALSE))</f>
        <v/>
      </c>
      <c r="N1291" s="2" t="str">
        <f t="shared" si="4"/>
        <v/>
      </c>
    </row>
    <row r="1292" ht="15.75" customHeight="1">
      <c r="A1292" s="3"/>
      <c r="B1292" s="2" t="str">
        <f t="shared" si="1"/>
        <v/>
      </c>
      <c r="E1292" s="2"/>
      <c r="F1292" s="2"/>
      <c r="G1292" s="2"/>
      <c r="H1292" s="2"/>
      <c r="I1292" s="2"/>
      <c r="J1292" s="2"/>
      <c r="K1292" s="2" t="str">
        <f t="shared" si="2"/>
        <v/>
      </c>
      <c r="L1292" s="2" t="str">
        <f t="shared" si="3"/>
        <v>No</v>
      </c>
      <c r="M1292" s="2" t="str">
        <f>IF(K1292="","",F1292*VLOOKUP(E1292,WEIGHTS!$A$2:$F$4,2,FALSE)+G1292*VLOOKUP(E1292,WEIGHTS!$A$2:$F$4,3,FALSE)+H1292*VLOOKUP(E1292,WEIGHTS!$A$2:$F$4,4,FALSE)+I1292*VLOOKUP(E1292,WEIGHTS!$A$2:$F$4,5,FALSE)+J1292*VLOOKUP(E1292,WEIGHTS!$A$2:$F$4,6,FALSE))</f>
        <v/>
      </c>
      <c r="N1292" s="2" t="str">
        <f t="shared" si="4"/>
        <v/>
      </c>
    </row>
    <row r="1293" ht="15.75" customHeight="1">
      <c r="A1293" s="3"/>
      <c r="B1293" s="2" t="str">
        <f t="shared" si="1"/>
        <v/>
      </c>
      <c r="E1293" s="2"/>
      <c r="F1293" s="2"/>
      <c r="G1293" s="2"/>
      <c r="H1293" s="2"/>
      <c r="I1293" s="2"/>
      <c r="J1293" s="2"/>
      <c r="K1293" s="2" t="str">
        <f t="shared" si="2"/>
        <v/>
      </c>
      <c r="L1293" s="2" t="str">
        <f t="shared" si="3"/>
        <v>No</v>
      </c>
      <c r="M1293" s="2" t="str">
        <f>IF(K1293="","",F1293*VLOOKUP(E1293,WEIGHTS!$A$2:$F$4,2,FALSE)+G1293*VLOOKUP(E1293,WEIGHTS!$A$2:$F$4,3,FALSE)+H1293*VLOOKUP(E1293,WEIGHTS!$A$2:$F$4,4,FALSE)+I1293*VLOOKUP(E1293,WEIGHTS!$A$2:$F$4,5,FALSE)+J1293*VLOOKUP(E1293,WEIGHTS!$A$2:$F$4,6,FALSE))</f>
        <v/>
      </c>
      <c r="N1293" s="2" t="str">
        <f t="shared" si="4"/>
        <v/>
      </c>
    </row>
    <row r="1294" ht="15.75" customHeight="1">
      <c r="A1294" s="3"/>
      <c r="B1294" s="2" t="str">
        <f t="shared" si="1"/>
        <v/>
      </c>
      <c r="E1294" s="2"/>
      <c r="F1294" s="2"/>
      <c r="G1294" s="2"/>
      <c r="H1294" s="2"/>
      <c r="I1294" s="2"/>
      <c r="J1294" s="2"/>
      <c r="K1294" s="2" t="str">
        <f t="shared" si="2"/>
        <v/>
      </c>
      <c r="L1294" s="2" t="str">
        <f t="shared" si="3"/>
        <v>No</v>
      </c>
      <c r="M1294" s="2" t="str">
        <f>IF(K1294="","",F1294*VLOOKUP(E1294,WEIGHTS!$A$2:$F$4,2,FALSE)+G1294*VLOOKUP(E1294,WEIGHTS!$A$2:$F$4,3,FALSE)+H1294*VLOOKUP(E1294,WEIGHTS!$A$2:$F$4,4,FALSE)+I1294*VLOOKUP(E1294,WEIGHTS!$A$2:$F$4,5,FALSE)+J1294*VLOOKUP(E1294,WEIGHTS!$A$2:$F$4,6,FALSE))</f>
        <v/>
      </c>
      <c r="N1294" s="2" t="str">
        <f t="shared" si="4"/>
        <v/>
      </c>
    </row>
    <row r="1295" ht="15.75" customHeight="1">
      <c r="A1295" s="3"/>
      <c r="B1295" s="2" t="str">
        <f t="shared" si="1"/>
        <v/>
      </c>
      <c r="E1295" s="2"/>
      <c r="F1295" s="2"/>
      <c r="G1295" s="2"/>
      <c r="H1295" s="2"/>
      <c r="I1295" s="2"/>
      <c r="J1295" s="2"/>
      <c r="K1295" s="2" t="str">
        <f t="shared" si="2"/>
        <v/>
      </c>
      <c r="L1295" s="2" t="str">
        <f t="shared" si="3"/>
        <v>No</v>
      </c>
      <c r="M1295" s="2" t="str">
        <f>IF(K1295="","",F1295*VLOOKUP(E1295,WEIGHTS!$A$2:$F$4,2,FALSE)+G1295*VLOOKUP(E1295,WEIGHTS!$A$2:$F$4,3,FALSE)+H1295*VLOOKUP(E1295,WEIGHTS!$A$2:$F$4,4,FALSE)+I1295*VLOOKUP(E1295,WEIGHTS!$A$2:$F$4,5,FALSE)+J1295*VLOOKUP(E1295,WEIGHTS!$A$2:$F$4,6,FALSE))</f>
        <v/>
      </c>
      <c r="N1295" s="2" t="str">
        <f t="shared" si="4"/>
        <v/>
      </c>
    </row>
    <row r="1296" ht="15.75" customHeight="1">
      <c r="A1296" s="3"/>
      <c r="B1296" s="2" t="str">
        <f t="shared" si="1"/>
        <v/>
      </c>
      <c r="E1296" s="2"/>
      <c r="F1296" s="2"/>
      <c r="G1296" s="2"/>
      <c r="H1296" s="2"/>
      <c r="I1296" s="2"/>
      <c r="J1296" s="2"/>
      <c r="K1296" s="2" t="str">
        <f t="shared" si="2"/>
        <v/>
      </c>
      <c r="L1296" s="2" t="str">
        <f t="shared" si="3"/>
        <v>No</v>
      </c>
      <c r="M1296" s="2" t="str">
        <f>IF(K1296="","",F1296*VLOOKUP(E1296,WEIGHTS!$A$2:$F$4,2,FALSE)+G1296*VLOOKUP(E1296,WEIGHTS!$A$2:$F$4,3,FALSE)+H1296*VLOOKUP(E1296,WEIGHTS!$A$2:$F$4,4,FALSE)+I1296*VLOOKUP(E1296,WEIGHTS!$A$2:$F$4,5,FALSE)+J1296*VLOOKUP(E1296,WEIGHTS!$A$2:$F$4,6,FALSE))</f>
        <v/>
      </c>
      <c r="N1296" s="2" t="str">
        <f t="shared" si="4"/>
        <v/>
      </c>
    </row>
    <row r="1297" ht="15.75" customHeight="1">
      <c r="A1297" s="3"/>
      <c r="B1297" s="2" t="str">
        <f t="shared" si="1"/>
        <v/>
      </c>
      <c r="E1297" s="2"/>
      <c r="F1297" s="2"/>
      <c r="G1297" s="2"/>
      <c r="H1297" s="2"/>
      <c r="I1297" s="2"/>
      <c r="J1297" s="2"/>
      <c r="K1297" s="2" t="str">
        <f t="shared" si="2"/>
        <v/>
      </c>
      <c r="L1297" s="2" t="str">
        <f t="shared" si="3"/>
        <v>No</v>
      </c>
      <c r="M1297" s="2" t="str">
        <f>IF(K1297="","",F1297*VLOOKUP(E1297,WEIGHTS!$A$2:$F$4,2,FALSE)+G1297*VLOOKUP(E1297,WEIGHTS!$A$2:$F$4,3,FALSE)+H1297*VLOOKUP(E1297,WEIGHTS!$A$2:$F$4,4,FALSE)+I1297*VLOOKUP(E1297,WEIGHTS!$A$2:$F$4,5,FALSE)+J1297*VLOOKUP(E1297,WEIGHTS!$A$2:$F$4,6,FALSE))</f>
        <v/>
      </c>
      <c r="N1297" s="2" t="str">
        <f t="shared" si="4"/>
        <v/>
      </c>
    </row>
    <row r="1298" ht="15.75" customHeight="1">
      <c r="A1298" s="3"/>
      <c r="B1298" s="2" t="str">
        <f t="shared" si="1"/>
        <v/>
      </c>
      <c r="E1298" s="2"/>
      <c r="F1298" s="2"/>
      <c r="G1298" s="2"/>
      <c r="H1298" s="2"/>
      <c r="I1298" s="2"/>
      <c r="J1298" s="2"/>
      <c r="K1298" s="2" t="str">
        <f t="shared" si="2"/>
        <v/>
      </c>
      <c r="L1298" s="2" t="str">
        <f t="shared" si="3"/>
        <v>No</v>
      </c>
      <c r="M1298" s="2" t="str">
        <f>IF(K1298="","",F1298*VLOOKUP(E1298,WEIGHTS!$A$2:$F$4,2,FALSE)+G1298*VLOOKUP(E1298,WEIGHTS!$A$2:$F$4,3,FALSE)+H1298*VLOOKUP(E1298,WEIGHTS!$A$2:$F$4,4,FALSE)+I1298*VLOOKUP(E1298,WEIGHTS!$A$2:$F$4,5,FALSE)+J1298*VLOOKUP(E1298,WEIGHTS!$A$2:$F$4,6,FALSE))</f>
        <v/>
      </c>
      <c r="N1298" s="2" t="str">
        <f t="shared" si="4"/>
        <v/>
      </c>
    </row>
    <row r="1299" ht="15.75" customHeight="1">
      <c r="A1299" s="3"/>
      <c r="B1299" s="2" t="str">
        <f t="shared" si="1"/>
        <v/>
      </c>
      <c r="E1299" s="2"/>
      <c r="F1299" s="2"/>
      <c r="G1299" s="2"/>
      <c r="H1299" s="2"/>
      <c r="I1299" s="2"/>
      <c r="J1299" s="2"/>
      <c r="K1299" s="2" t="str">
        <f t="shared" si="2"/>
        <v/>
      </c>
      <c r="L1299" s="2" t="str">
        <f t="shared" si="3"/>
        <v>No</v>
      </c>
      <c r="M1299" s="2" t="str">
        <f>IF(K1299="","",F1299*VLOOKUP(E1299,WEIGHTS!$A$2:$F$4,2,FALSE)+G1299*VLOOKUP(E1299,WEIGHTS!$A$2:$F$4,3,FALSE)+H1299*VLOOKUP(E1299,WEIGHTS!$A$2:$F$4,4,FALSE)+I1299*VLOOKUP(E1299,WEIGHTS!$A$2:$F$4,5,FALSE)+J1299*VLOOKUP(E1299,WEIGHTS!$A$2:$F$4,6,FALSE))</f>
        <v/>
      </c>
      <c r="N1299" s="2" t="str">
        <f t="shared" si="4"/>
        <v/>
      </c>
    </row>
    <row r="1300" ht="15.75" customHeight="1">
      <c r="A1300" s="3"/>
      <c r="B1300" s="2" t="str">
        <f t="shared" si="1"/>
        <v/>
      </c>
      <c r="E1300" s="2"/>
      <c r="F1300" s="2"/>
      <c r="G1300" s="2"/>
      <c r="H1300" s="2"/>
      <c r="I1300" s="2"/>
      <c r="J1300" s="2"/>
      <c r="K1300" s="2" t="str">
        <f t="shared" si="2"/>
        <v/>
      </c>
      <c r="L1300" s="2" t="str">
        <f t="shared" si="3"/>
        <v>No</v>
      </c>
      <c r="M1300" s="2" t="str">
        <f>IF(K1300="","",F1300*VLOOKUP(E1300,WEIGHTS!$A$2:$F$4,2,FALSE)+G1300*VLOOKUP(E1300,WEIGHTS!$A$2:$F$4,3,FALSE)+H1300*VLOOKUP(E1300,WEIGHTS!$A$2:$F$4,4,FALSE)+I1300*VLOOKUP(E1300,WEIGHTS!$A$2:$F$4,5,FALSE)+J1300*VLOOKUP(E1300,WEIGHTS!$A$2:$F$4,6,FALSE))</f>
        <v/>
      </c>
      <c r="N1300" s="2" t="str">
        <f t="shared" si="4"/>
        <v/>
      </c>
    </row>
    <row r="1301" ht="15.75" customHeight="1">
      <c r="A1301" s="3"/>
      <c r="B1301" s="2" t="str">
        <f t="shared" si="1"/>
        <v/>
      </c>
      <c r="E1301" s="2"/>
      <c r="F1301" s="2"/>
      <c r="G1301" s="2"/>
      <c r="H1301" s="2"/>
      <c r="I1301" s="2"/>
      <c r="J1301" s="2"/>
      <c r="K1301" s="2" t="str">
        <f t="shared" si="2"/>
        <v/>
      </c>
      <c r="L1301" s="2" t="str">
        <f t="shared" si="3"/>
        <v>No</v>
      </c>
      <c r="M1301" s="2" t="str">
        <f>IF(K1301="","",F1301*VLOOKUP(E1301,WEIGHTS!$A$2:$F$4,2,FALSE)+G1301*VLOOKUP(E1301,WEIGHTS!$A$2:$F$4,3,FALSE)+H1301*VLOOKUP(E1301,WEIGHTS!$A$2:$F$4,4,FALSE)+I1301*VLOOKUP(E1301,WEIGHTS!$A$2:$F$4,5,FALSE)+J1301*VLOOKUP(E1301,WEIGHTS!$A$2:$F$4,6,FALSE))</f>
        <v/>
      </c>
      <c r="N1301" s="2" t="str">
        <f t="shared" si="4"/>
        <v/>
      </c>
    </row>
    <row r="1302" ht="15.75" customHeight="1">
      <c r="A1302" s="3"/>
      <c r="B1302" s="2" t="str">
        <f t="shared" si="1"/>
        <v/>
      </c>
      <c r="E1302" s="2"/>
      <c r="F1302" s="2"/>
      <c r="G1302" s="2"/>
      <c r="H1302" s="2"/>
      <c r="I1302" s="2"/>
      <c r="J1302" s="2"/>
      <c r="K1302" s="2" t="str">
        <f t="shared" si="2"/>
        <v/>
      </c>
      <c r="L1302" s="2" t="str">
        <f t="shared" si="3"/>
        <v>No</v>
      </c>
      <c r="M1302" s="2" t="str">
        <f>IF(K1302="","",F1302*VLOOKUP(E1302,WEIGHTS!$A$2:$F$4,2,FALSE)+G1302*VLOOKUP(E1302,WEIGHTS!$A$2:$F$4,3,FALSE)+H1302*VLOOKUP(E1302,WEIGHTS!$A$2:$F$4,4,FALSE)+I1302*VLOOKUP(E1302,WEIGHTS!$A$2:$F$4,5,FALSE)+J1302*VLOOKUP(E1302,WEIGHTS!$A$2:$F$4,6,FALSE))</f>
        <v/>
      </c>
      <c r="N1302" s="2" t="str">
        <f t="shared" si="4"/>
        <v/>
      </c>
    </row>
    <row r="1303" ht="15.75" customHeight="1">
      <c r="A1303" s="3"/>
      <c r="B1303" s="2" t="str">
        <f t="shared" si="1"/>
        <v/>
      </c>
      <c r="E1303" s="2"/>
      <c r="F1303" s="2"/>
      <c r="G1303" s="2"/>
      <c r="H1303" s="2"/>
      <c r="I1303" s="2"/>
      <c r="J1303" s="2"/>
      <c r="K1303" s="2" t="str">
        <f t="shared" si="2"/>
        <v/>
      </c>
      <c r="L1303" s="2" t="str">
        <f t="shared" si="3"/>
        <v>No</v>
      </c>
      <c r="M1303" s="2" t="str">
        <f>IF(K1303="","",F1303*VLOOKUP(E1303,WEIGHTS!$A$2:$F$4,2,FALSE)+G1303*VLOOKUP(E1303,WEIGHTS!$A$2:$F$4,3,FALSE)+H1303*VLOOKUP(E1303,WEIGHTS!$A$2:$F$4,4,FALSE)+I1303*VLOOKUP(E1303,WEIGHTS!$A$2:$F$4,5,FALSE)+J1303*VLOOKUP(E1303,WEIGHTS!$A$2:$F$4,6,FALSE))</f>
        <v/>
      </c>
      <c r="N1303" s="2" t="str">
        <f t="shared" si="4"/>
        <v/>
      </c>
    </row>
    <row r="1304" ht="15.75" customHeight="1">
      <c r="A1304" s="3"/>
      <c r="B1304" s="2" t="str">
        <f t="shared" si="1"/>
        <v/>
      </c>
      <c r="E1304" s="2"/>
      <c r="F1304" s="2"/>
      <c r="G1304" s="2"/>
      <c r="H1304" s="2"/>
      <c r="I1304" s="2"/>
      <c r="J1304" s="2"/>
      <c r="K1304" s="2" t="str">
        <f t="shared" si="2"/>
        <v/>
      </c>
      <c r="L1304" s="2" t="str">
        <f t="shared" si="3"/>
        <v>No</v>
      </c>
      <c r="M1304" s="2" t="str">
        <f>IF(K1304="","",F1304*VLOOKUP(E1304,WEIGHTS!$A$2:$F$4,2,FALSE)+G1304*VLOOKUP(E1304,WEIGHTS!$A$2:$F$4,3,FALSE)+H1304*VLOOKUP(E1304,WEIGHTS!$A$2:$F$4,4,FALSE)+I1304*VLOOKUP(E1304,WEIGHTS!$A$2:$F$4,5,FALSE)+J1304*VLOOKUP(E1304,WEIGHTS!$A$2:$F$4,6,FALSE))</f>
        <v/>
      </c>
      <c r="N1304" s="2" t="str">
        <f t="shared" si="4"/>
        <v/>
      </c>
    </row>
    <row r="1305" ht="15.75" customHeight="1">
      <c r="A1305" s="3"/>
      <c r="B1305" s="2" t="str">
        <f t="shared" si="1"/>
        <v/>
      </c>
      <c r="E1305" s="2"/>
      <c r="F1305" s="2"/>
      <c r="G1305" s="2"/>
      <c r="H1305" s="2"/>
      <c r="I1305" s="2"/>
      <c r="J1305" s="2"/>
      <c r="K1305" s="2" t="str">
        <f t="shared" si="2"/>
        <v/>
      </c>
      <c r="L1305" s="2" t="str">
        <f t="shared" si="3"/>
        <v>No</v>
      </c>
      <c r="M1305" s="2" t="str">
        <f>IF(K1305="","",F1305*VLOOKUP(E1305,WEIGHTS!$A$2:$F$4,2,FALSE)+G1305*VLOOKUP(E1305,WEIGHTS!$A$2:$F$4,3,FALSE)+H1305*VLOOKUP(E1305,WEIGHTS!$A$2:$F$4,4,FALSE)+I1305*VLOOKUP(E1305,WEIGHTS!$A$2:$F$4,5,FALSE)+J1305*VLOOKUP(E1305,WEIGHTS!$A$2:$F$4,6,FALSE))</f>
        <v/>
      </c>
      <c r="N1305" s="2" t="str">
        <f t="shared" si="4"/>
        <v/>
      </c>
    </row>
    <row r="1306" ht="15.75" customHeight="1">
      <c r="A1306" s="3"/>
      <c r="B1306" s="2" t="str">
        <f t="shared" si="1"/>
        <v/>
      </c>
      <c r="E1306" s="2"/>
      <c r="F1306" s="2"/>
      <c r="G1306" s="2"/>
      <c r="H1306" s="2"/>
      <c r="I1306" s="2"/>
      <c r="J1306" s="2"/>
      <c r="K1306" s="2" t="str">
        <f t="shared" si="2"/>
        <v/>
      </c>
      <c r="L1306" s="2" t="str">
        <f t="shared" si="3"/>
        <v>No</v>
      </c>
      <c r="M1306" s="2" t="str">
        <f>IF(K1306="","",F1306*VLOOKUP(E1306,WEIGHTS!$A$2:$F$4,2,FALSE)+G1306*VLOOKUP(E1306,WEIGHTS!$A$2:$F$4,3,FALSE)+H1306*VLOOKUP(E1306,WEIGHTS!$A$2:$F$4,4,FALSE)+I1306*VLOOKUP(E1306,WEIGHTS!$A$2:$F$4,5,FALSE)+J1306*VLOOKUP(E1306,WEIGHTS!$A$2:$F$4,6,FALSE))</f>
        <v/>
      </c>
      <c r="N1306" s="2" t="str">
        <f t="shared" si="4"/>
        <v/>
      </c>
    </row>
    <row r="1307" ht="15.75" customHeight="1">
      <c r="A1307" s="3"/>
      <c r="B1307" s="2" t="str">
        <f t="shared" si="1"/>
        <v/>
      </c>
      <c r="E1307" s="2"/>
      <c r="F1307" s="2"/>
      <c r="G1307" s="2"/>
      <c r="H1307" s="2"/>
      <c r="I1307" s="2"/>
      <c r="J1307" s="2"/>
      <c r="K1307" s="2" t="str">
        <f t="shared" si="2"/>
        <v/>
      </c>
      <c r="L1307" s="2" t="str">
        <f t="shared" si="3"/>
        <v>No</v>
      </c>
      <c r="M1307" s="2" t="str">
        <f>IF(K1307="","",F1307*VLOOKUP(E1307,WEIGHTS!$A$2:$F$4,2,FALSE)+G1307*VLOOKUP(E1307,WEIGHTS!$A$2:$F$4,3,FALSE)+H1307*VLOOKUP(E1307,WEIGHTS!$A$2:$F$4,4,FALSE)+I1307*VLOOKUP(E1307,WEIGHTS!$A$2:$F$4,5,FALSE)+J1307*VLOOKUP(E1307,WEIGHTS!$A$2:$F$4,6,FALSE))</f>
        <v/>
      </c>
      <c r="N1307" s="2" t="str">
        <f t="shared" si="4"/>
        <v/>
      </c>
    </row>
    <row r="1308" ht="15.75" customHeight="1">
      <c r="A1308" s="3"/>
      <c r="B1308" s="2" t="str">
        <f t="shared" si="1"/>
        <v/>
      </c>
      <c r="E1308" s="2"/>
      <c r="F1308" s="2"/>
      <c r="G1308" s="2"/>
      <c r="H1308" s="2"/>
      <c r="I1308" s="2"/>
      <c r="J1308" s="2"/>
      <c r="K1308" s="2" t="str">
        <f t="shared" si="2"/>
        <v/>
      </c>
      <c r="L1308" s="2" t="str">
        <f t="shared" si="3"/>
        <v>No</v>
      </c>
      <c r="M1308" s="2" t="str">
        <f>IF(K1308="","",F1308*VLOOKUP(E1308,WEIGHTS!$A$2:$F$4,2,FALSE)+G1308*VLOOKUP(E1308,WEIGHTS!$A$2:$F$4,3,FALSE)+H1308*VLOOKUP(E1308,WEIGHTS!$A$2:$F$4,4,FALSE)+I1308*VLOOKUP(E1308,WEIGHTS!$A$2:$F$4,5,FALSE)+J1308*VLOOKUP(E1308,WEIGHTS!$A$2:$F$4,6,FALSE))</f>
        <v/>
      </c>
      <c r="N1308" s="2" t="str">
        <f t="shared" si="4"/>
        <v/>
      </c>
    </row>
    <row r="1309" ht="15.75" customHeight="1">
      <c r="A1309" s="3"/>
      <c r="B1309" s="2" t="str">
        <f t="shared" si="1"/>
        <v/>
      </c>
      <c r="E1309" s="2"/>
      <c r="F1309" s="2"/>
      <c r="G1309" s="2"/>
      <c r="H1309" s="2"/>
      <c r="I1309" s="2"/>
      <c r="J1309" s="2"/>
      <c r="K1309" s="2" t="str">
        <f t="shared" si="2"/>
        <v/>
      </c>
      <c r="L1309" s="2" t="str">
        <f t="shared" si="3"/>
        <v>No</v>
      </c>
      <c r="M1309" s="2" t="str">
        <f>IF(K1309="","",F1309*VLOOKUP(E1309,WEIGHTS!$A$2:$F$4,2,FALSE)+G1309*VLOOKUP(E1309,WEIGHTS!$A$2:$F$4,3,FALSE)+H1309*VLOOKUP(E1309,WEIGHTS!$A$2:$F$4,4,FALSE)+I1309*VLOOKUP(E1309,WEIGHTS!$A$2:$F$4,5,FALSE)+J1309*VLOOKUP(E1309,WEIGHTS!$A$2:$F$4,6,FALSE))</f>
        <v/>
      </c>
      <c r="N1309" s="2" t="str">
        <f t="shared" si="4"/>
        <v/>
      </c>
    </row>
    <row r="1310" ht="15.75" customHeight="1">
      <c r="A1310" s="3"/>
      <c r="B1310" s="2" t="str">
        <f t="shared" si="1"/>
        <v/>
      </c>
      <c r="E1310" s="2"/>
      <c r="F1310" s="2"/>
      <c r="G1310" s="2"/>
      <c r="H1310" s="2"/>
      <c r="I1310" s="2"/>
      <c r="J1310" s="2"/>
      <c r="K1310" s="2" t="str">
        <f t="shared" si="2"/>
        <v/>
      </c>
      <c r="L1310" s="2" t="str">
        <f t="shared" si="3"/>
        <v>No</v>
      </c>
      <c r="M1310" s="2" t="str">
        <f>IF(K1310="","",F1310*VLOOKUP(E1310,WEIGHTS!$A$2:$F$4,2,FALSE)+G1310*VLOOKUP(E1310,WEIGHTS!$A$2:$F$4,3,FALSE)+H1310*VLOOKUP(E1310,WEIGHTS!$A$2:$F$4,4,FALSE)+I1310*VLOOKUP(E1310,WEIGHTS!$A$2:$F$4,5,FALSE)+J1310*VLOOKUP(E1310,WEIGHTS!$A$2:$F$4,6,FALSE))</f>
        <v/>
      </c>
      <c r="N1310" s="2" t="str">
        <f t="shared" si="4"/>
        <v/>
      </c>
    </row>
    <row r="1311" ht="15.75" customHeight="1">
      <c r="A1311" s="3"/>
      <c r="B1311" s="2" t="str">
        <f t="shared" si="1"/>
        <v/>
      </c>
      <c r="E1311" s="2"/>
      <c r="F1311" s="2"/>
      <c r="G1311" s="2"/>
      <c r="H1311" s="2"/>
      <c r="I1311" s="2"/>
      <c r="J1311" s="2"/>
      <c r="K1311" s="2" t="str">
        <f t="shared" si="2"/>
        <v/>
      </c>
      <c r="L1311" s="2" t="str">
        <f t="shared" si="3"/>
        <v>No</v>
      </c>
      <c r="M1311" s="2" t="str">
        <f>IF(K1311="","",F1311*VLOOKUP(E1311,WEIGHTS!$A$2:$F$4,2,FALSE)+G1311*VLOOKUP(E1311,WEIGHTS!$A$2:$F$4,3,FALSE)+H1311*VLOOKUP(E1311,WEIGHTS!$A$2:$F$4,4,FALSE)+I1311*VLOOKUP(E1311,WEIGHTS!$A$2:$F$4,5,FALSE)+J1311*VLOOKUP(E1311,WEIGHTS!$A$2:$F$4,6,FALSE))</f>
        <v/>
      </c>
      <c r="N1311" s="2" t="str">
        <f t="shared" si="4"/>
        <v/>
      </c>
    </row>
    <row r="1312" ht="15.75" customHeight="1">
      <c r="A1312" s="3"/>
      <c r="B1312" s="2" t="str">
        <f t="shared" si="1"/>
        <v/>
      </c>
      <c r="E1312" s="2"/>
      <c r="F1312" s="2"/>
      <c r="G1312" s="2"/>
      <c r="H1312" s="2"/>
      <c r="I1312" s="2"/>
      <c r="J1312" s="2"/>
      <c r="K1312" s="2" t="str">
        <f t="shared" si="2"/>
        <v/>
      </c>
      <c r="L1312" s="2" t="str">
        <f t="shared" si="3"/>
        <v>No</v>
      </c>
      <c r="M1312" s="2" t="str">
        <f>IF(K1312="","",F1312*VLOOKUP(E1312,WEIGHTS!$A$2:$F$4,2,FALSE)+G1312*VLOOKUP(E1312,WEIGHTS!$A$2:$F$4,3,FALSE)+H1312*VLOOKUP(E1312,WEIGHTS!$A$2:$F$4,4,FALSE)+I1312*VLOOKUP(E1312,WEIGHTS!$A$2:$F$4,5,FALSE)+J1312*VLOOKUP(E1312,WEIGHTS!$A$2:$F$4,6,FALSE))</f>
        <v/>
      </c>
      <c r="N1312" s="2" t="str">
        <f t="shared" si="4"/>
        <v/>
      </c>
    </row>
    <row r="1313" ht="15.75" customHeight="1">
      <c r="A1313" s="3"/>
      <c r="B1313" s="2" t="str">
        <f t="shared" si="1"/>
        <v/>
      </c>
      <c r="E1313" s="2"/>
      <c r="F1313" s="2"/>
      <c r="G1313" s="2"/>
      <c r="H1313" s="2"/>
      <c r="I1313" s="2"/>
      <c r="J1313" s="2"/>
      <c r="K1313" s="2" t="str">
        <f t="shared" si="2"/>
        <v/>
      </c>
      <c r="L1313" s="2" t="str">
        <f t="shared" si="3"/>
        <v>No</v>
      </c>
      <c r="M1313" s="2" t="str">
        <f>IF(K1313="","",F1313*VLOOKUP(E1313,WEIGHTS!$A$2:$F$4,2,FALSE)+G1313*VLOOKUP(E1313,WEIGHTS!$A$2:$F$4,3,FALSE)+H1313*VLOOKUP(E1313,WEIGHTS!$A$2:$F$4,4,FALSE)+I1313*VLOOKUP(E1313,WEIGHTS!$A$2:$F$4,5,FALSE)+J1313*VLOOKUP(E1313,WEIGHTS!$A$2:$F$4,6,FALSE))</f>
        <v/>
      </c>
      <c r="N1313" s="2" t="str">
        <f t="shared" si="4"/>
        <v/>
      </c>
    </row>
    <row r="1314" ht="15.75" customHeight="1">
      <c r="A1314" s="3"/>
      <c r="B1314" s="2" t="str">
        <f t="shared" si="1"/>
        <v/>
      </c>
      <c r="E1314" s="2"/>
      <c r="F1314" s="2"/>
      <c r="G1314" s="2"/>
      <c r="H1314" s="2"/>
      <c r="I1314" s="2"/>
      <c r="J1314" s="2"/>
      <c r="K1314" s="2" t="str">
        <f t="shared" si="2"/>
        <v/>
      </c>
      <c r="L1314" s="2" t="str">
        <f t="shared" si="3"/>
        <v>No</v>
      </c>
      <c r="M1314" s="2" t="str">
        <f>IF(K1314="","",F1314*VLOOKUP(E1314,WEIGHTS!$A$2:$F$4,2,FALSE)+G1314*VLOOKUP(E1314,WEIGHTS!$A$2:$F$4,3,FALSE)+H1314*VLOOKUP(E1314,WEIGHTS!$A$2:$F$4,4,FALSE)+I1314*VLOOKUP(E1314,WEIGHTS!$A$2:$F$4,5,FALSE)+J1314*VLOOKUP(E1314,WEIGHTS!$A$2:$F$4,6,FALSE))</f>
        <v/>
      </c>
      <c r="N1314" s="2" t="str">
        <f t="shared" si="4"/>
        <v/>
      </c>
    </row>
    <row r="1315" ht="15.75" customHeight="1">
      <c r="A1315" s="3"/>
      <c r="B1315" s="2" t="str">
        <f t="shared" si="1"/>
        <v/>
      </c>
      <c r="E1315" s="2"/>
      <c r="F1315" s="2"/>
      <c r="G1315" s="2"/>
      <c r="H1315" s="2"/>
      <c r="I1315" s="2"/>
      <c r="J1315" s="2"/>
      <c r="K1315" s="2" t="str">
        <f t="shared" si="2"/>
        <v/>
      </c>
      <c r="L1315" s="2" t="str">
        <f t="shared" si="3"/>
        <v>No</v>
      </c>
      <c r="M1315" s="2" t="str">
        <f>IF(K1315="","",F1315*VLOOKUP(E1315,WEIGHTS!$A$2:$F$4,2,FALSE)+G1315*VLOOKUP(E1315,WEIGHTS!$A$2:$F$4,3,FALSE)+H1315*VLOOKUP(E1315,WEIGHTS!$A$2:$F$4,4,FALSE)+I1315*VLOOKUP(E1315,WEIGHTS!$A$2:$F$4,5,FALSE)+J1315*VLOOKUP(E1315,WEIGHTS!$A$2:$F$4,6,FALSE))</f>
        <v/>
      </c>
      <c r="N1315" s="2" t="str">
        <f t="shared" si="4"/>
        <v/>
      </c>
    </row>
    <row r="1316" ht="15.75" customHeight="1">
      <c r="A1316" s="3"/>
      <c r="B1316" s="2" t="str">
        <f t="shared" si="1"/>
        <v/>
      </c>
      <c r="E1316" s="2"/>
      <c r="F1316" s="2"/>
      <c r="G1316" s="2"/>
      <c r="H1316" s="2"/>
      <c r="I1316" s="2"/>
      <c r="J1316" s="2"/>
      <c r="K1316" s="2" t="str">
        <f t="shared" si="2"/>
        <v/>
      </c>
      <c r="L1316" s="2" t="str">
        <f t="shared" si="3"/>
        <v>No</v>
      </c>
      <c r="M1316" s="2" t="str">
        <f>IF(K1316="","",F1316*VLOOKUP(E1316,WEIGHTS!$A$2:$F$4,2,FALSE)+G1316*VLOOKUP(E1316,WEIGHTS!$A$2:$F$4,3,FALSE)+H1316*VLOOKUP(E1316,WEIGHTS!$A$2:$F$4,4,FALSE)+I1316*VLOOKUP(E1316,WEIGHTS!$A$2:$F$4,5,FALSE)+J1316*VLOOKUP(E1316,WEIGHTS!$A$2:$F$4,6,FALSE))</f>
        <v/>
      </c>
      <c r="N1316" s="2" t="str">
        <f t="shared" si="4"/>
        <v/>
      </c>
    </row>
    <row r="1317" ht="15.75" customHeight="1">
      <c r="A1317" s="3"/>
      <c r="B1317" s="2" t="str">
        <f t="shared" si="1"/>
        <v/>
      </c>
      <c r="E1317" s="2"/>
      <c r="F1317" s="2"/>
      <c r="G1317" s="2"/>
      <c r="H1317" s="2"/>
      <c r="I1317" s="2"/>
      <c r="J1317" s="2"/>
      <c r="K1317" s="2" t="str">
        <f t="shared" si="2"/>
        <v/>
      </c>
      <c r="L1317" s="2" t="str">
        <f t="shared" si="3"/>
        <v>No</v>
      </c>
      <c r="M1317" s="2" t="str">
        <f>IF(K1317="","",F1317*VLOOKUP(E1317,WEIGHTS!$A$2:$F$4,2,FALSE)+G1317*VLOOKUP(E1317,WEIGHTS!$A$2:$F$4,3,FALSE)+H1317*VLOOKUP(E1317,WEIGHTS!$A$2:$F$4,4,FALSE)+I1317*VLOOKUP(E1317,WEIGHTS!$A$2:$F$4,5,FALSE)+J1317*VLOOKUP(E1317,WEIGHTS!$A$2:$F$4,6,FALSE))</f>
        <v/>
      </c>
      <c r="N1317" s="2" t="str">
        <f t="shared" si="4"/>
        <v/>
      </c>
    </row>
    <row r="1318" ht="15.75" customHeight="1">
      <c r="A1318" s="3"/>
      <c r="B1318" s="2" t="str">
        <f t="shared" si="1"/>
        <v/>
      </c>
      <c r="E1318" s="2"/>
      <c r="F1318" s="2"/>
      <c r="G1318" s="2"/>
      <c r="H1318" s="2"/>
      <c r="I1318" s="2"/>
      <c r="J1318" s="2"/>
      <c r="K1318" s="2" t="str">
        <f t="shared" si="2"/>
        <v/>
      </c>
      <c r="L1318" s="2" t="str">
        <f t="shared" si="3"/>
        <v>No</v>
      </c>
      <c r="M1318" s="2" t="str">
        <f>IF(K1318="","",F1318*VLOOKUP(E1318,WEIGHTS!$A$2:$F$4,2,FALSE)+G1318*VLOOKUP(E1318,WEIGHTS!$A$2:$F$4,3,FALSE)+H1318*VLOOKUP(E1318,WEIGHTS!$A$2:$F$4,4,FALSE)+I1318*VLOOKUP(E1318,WEIGHTS!$A$2:$F$4,5,FALSE)+J1318*VLOOKUP(E1318,WEIGHTS!$A$2:$F$4,6,FALSE))</f>
        <v/>
      </c>
      <c r="N1318" s="2" t="str">
        <f t="shared" si="4"/>
        <v/>
      </c>
    </row>
    <row r="1319" ht="15.75" customHeight="1">
      <c r="A1319" s="3"/>
      <c r="B1319" s="2" t="str">
        <f t="shared" si="1"/>
        <v/>
      </c>
      <c r="E1319" s="2"/>
      <c r="F1319" s="2"/>
      <c r="G1319" s="2"/>
      <c r="H1319" s="2"/>
      <c r="I1319" s="2"/>
      <c r="J1319" s="2"/>
      <c r="K1319" s="2" t="str">
        <f t="shared" si="2"/>
        <v/>
      </c>
      <c r="L1319" s="2" t="str">
        <f t="shared" si="3"/>
        <v>No</v>
      </c>
      <c r="M1319" s="2" t="str">
        <f>IF(K1319="","",F1319*VLOOKUP(E1319,WEIGHTS!$A$2:$F$4,2,FALSE)+G1319*VLOOKUP(E1319,WEIGHTS!$A$2:$F$4,3,FALSE)+H1319*VLOOKUP(E1319,WEIGHTS!$A$2:$F$4,4,FALSE)+I1319*VLOOKUP(E1319,WEIGHTS!$A$2:$F$4,5,FALSE)+J1319*VLOOKUP(E1319,WEIGHTS!$A$2:$F$4,6,FALSE))</f>
        <v/>
      </c>
      <c r="N1319" s="2" t="str">
        <f t="shared" si="4"/>
        <v/>
      </c>
    </row>
    <row r="1320" ht="15.75" customHeight="1">
      <c r="A1320" s="3"/>
      <c r="B1320" s="2" t="str">
        <f t="shared" si="1"/>
        <v/>
      </c>
      <c r="E1320" s="2"/>
      <c r="F1320" s="2"/>
      <c r="G1320" s="2"/>
      <c r="H1320" s="2"/>
      <c r="I1320" s="2"/>
      <c r="J1320" s="2"/>
      <c r="K1320" s="2" t="str">
        <f t="shared" si="2"/>
        <v/>
      </c>
      <c r="L1320" s="2" t="str">
        <f t="shared" si="3"/>
        <v>No</v>
      </c>
      <c r="M1320" s="2" t="str">
        <f>IF(K1320="","",F1320*VLOOKUP(E1320,WEIGHTS!$A$2:$F$4,2,FALSE)+G1320*VLOOKUP(E1320,WEIGHTS!$A$2:$F$4,3,FALSE)+H1320*VLOOKUP(E1320,WEIGHTS!$A$2:$F$4,4,FALSE)+I1320*VLOOKUP(E1320,WEIGHTS!$A$2:$F$4,5,FALSE)+J1320*VLOOKUP(E1320,WEIGHTS!$A$2:$F$4,6,FALSE))</f>
        <v/>
      </c>
      <c r="N1320" s="2" t="str">
        <f t="shared" si="4"/>
        <v/>
      </c>
    </row>
    <row r="1321" ht="15.75" customHeight="1">
      <c r="A1321" s="3"/>
      <c r="B1321" s="2" t="str">
        <f t="shared" si="1"/>
        <v/>
      </c>
      <c r="E1321" s="2"/>
      <c r="F1321" s="2"/>
      <c r="G1321" s="2"/>
      <c r="H1321" s="2"/>
      <c r="I1321" s="2"/>
      <c r="J1321" s="2"/>
      <c r="K1321" s="2" t="str">
        <f t="shared" si="2"/>
        <v/>
      </c>
      <c r="L1321" s="2" t="str">
        <f t="shared" si="3"/>
        <v>No</v>
      </c>
      <c r="M1321" s="2" t="str">
        <f>IF(K1321="","",F1321*VLOOKUP(E1321,WEIGHTS!$A$2:$F$4,2,FALSE)+G1321*VLOOKUP(E1321,WEIGHTS!$A$2:$F$4,3,FALSE)+H1321*VLOOKUP(E1321,WEIGHTS!$A$2:$F$4,4,FALSE)+I1321*VLOOKUP(E1321,WEIGHTS!$A$2:$F$4,5,FALSE)+J1321*VLOOKUP(E1321,WEIGHTS!$A$2:$F$4,6,FALSE))</f>
        <v/>
      </c>
      <c r="N1321" s="2" t="str">
        <f t="shared" si="4"/>
        <v/>
      </c>
    </row>
    <row r="1322" ht="15.75" customHeight="1">
      <c r="A1322" s="3"/>
      <c r="B1322" s="2" t="str">
        <f t="shared" si="1"/>
        <v/>
      </c>
      <c r="E1322" s="2"/>
      <c r="F1322" s="2"/>
      <c r="G1322" s="2"/>
      <c r="H1322" s="2"/>
      <c r="I1322" s="2"/>
      <c r="J1322" s="2"/>
      <c r="K1322" s="2" t="str">
        <f t="shared" si="2"/>
        <v/>
      </c>
      <c r="L1322" s="2" t="str">
        <f t="shared" si="3"/>
        <v>No</v>
      </c>
      <c r="M1322" s="2" t="str">
        <f>IF(K1322="","",F1322*VLOOKUP(E1322,WEIGHTS!$A$2:$F$4,2,FALSE)+G1322*VLOOKUP(E1322,WEIGHTS!$A$2:$F$4,3,FALSE)+H1322*VLOOKUP(E1322,WEIGHTS!$A$2:$F$4,4,FALSE)+I1322*VLOOKUP(E1322,WEIGHTS!$A$2:$F$4,5,FALSE)+J1322*VLOOKUP(E1322,WEIGHTS!$A$2:$F$4,6,FALSE))</f>
        <v/>
      </c>
      <c r="N1322" s="2" t="str">
        <f t="shared" si="4"/>
        <v/>
      </c>
    </row>
    <row r="1323" ht="15.75" customHeight="1">
      <c r="A1323" s="3"/>
      <c r="B1323" s="2" t="str">
        <f t="shared" si="1"/>
        <v/>
      </c>
      <c r="E1323" s="2"/>
      <c r="F1323" s="2"/>
      <c r="G1323" s="2"/>
      <c r="H1323" s="2"/>
      <c r="I1323" s="2"/>
      <c r="J1323" s="2"/>
      <c r="K1323" s="2" t="str">
        <f t="shared" si="2"/>
        <v/>
      </c>
      <c r="L1323" s="2" t="str">
        <f t="shared" si="3"/>
        <v>No</v>
      </c>
      <c r="M1323" s="2" t="str">
        <f>IF(K1323="","",F1323*VLOOKUP(E1323,WEIGHTS!$A$2:$F$4,2,FALSE)+G1323*VLOOKUP(E1323,WEIGHTS!$A$2:$F$4,3,FALSE)+H1323*VLOOKUP(E1323,WEIGHTS!$A$2:$F$4,4,FALSE)+I1323*VLOOKUP(E1323,WEIGHTS!$A$2:$F$4,5,FALSE)+J1323*VLOOKUP(E1323,WEIGHTS!$A$2:$F$4,6,FALSE))</f>
        <v/>
      </c>
      <c r="N1323" s="2" t="str">
        <f t="shared" si="4"/>
        <v/>
      </c>
    </row>
    <row r="1324" ht="15.75" customHeight="1">
      <c r="A1324" s="3"/>
      <c r="B1324" s="2" t="str">
        <f t="shared" si="1"/>
        <v/>
      </c>
      <c r="E1324" s="2"/>
      <c r="F1324" s="2"/>
      <c r="G1324" s="2"/>
      <c r="H1324" s="2"/>
      <c r="I1324" s="2"/>
      <c r="J1324" s="2"/>
      <c r="K1324" s="2" t="str">
        <f t="shared" si="2"/>
        <v/>
      </c>
      <c r="L1324" s="2" t="str">
        <f t="shared" si="3"/>
        <v>No</v>
      </c>
      <c r="M1324" s="2" t="str">
        <f>IF(K1324="","",F1324*VLOOKUP(E1324,WEIGHTS!$A$2:$F$4,2,FALSE)+G1324*VLOOKUP(E1324,WEIGHTS!$A$2:$F$4,3,FALSE)+H1324*VLOOKUP(E1324,WEIGHTS!$A$2:$F$4,4,FALSE)+I1324*VLOOKUP(E1324,WEIGHTS!$A$2:$F$4,5,FALSE)+J1324*VLOOKUP(E1324,WEIGHTS!$A$2:$F$4,6,FALSE))</f>
        <v/>
      </c>
      <c r="N1324" s="2" t="str">
        <f t="shared" si="4"/>
        <v/>
      </c>
    </row>
    <row r="1325" ht="15.75" customHeight="1">
      <c r="A1325" s="3"/>
      <c r="B1325" s="2" t="str">
        <f t="shared" si="1"/>
        <v/>
      </c>
      <c r="E1325" s="2"/>
      <c r="F1325" s="2"/>
      <c r="G1325" s="2"/>
      <c r="H1325" s="2"/>
      <c r="I1325" s="2"/>
      <c r="J1325" s="2"/>
      <c r="K1325" s="2" t="str">
        <f t="shared" si="2"/>
        <v/>
      </c>
      <c r="L1325" s="2" t="str">
        <f t="shared" si="3"/>
        <v>No</v>
      </c>
      <c r="M1325" s="2" t="str">
        <f>IF(K1325="","",F1325*VLOOKUP(E1325,WEIGHTS!$A$2:$F$4,2,FALSE)+G1325*VLOOKUP(E1325,WEIGHTS!$A$2:$F$4,3,FALSE)+H1325*VLOOKUP(E1325,WEIGHTS!$A$2:$F$4,4,FALSE)+I1325*VLOOKUP(E1325,WEIGHTS!$A$2:$F$4,5,FALSE)+J1325*VLOOKUP(E1325,WEIGHTS!$A$2:$F$4,6,FALSE))</f>
        <v/>
      </c>
      <c r="N1325" s="2" t="str">
        <f t="shared" si="4"/>
        <v/>
      </c>
    </row>
    <row r="1326" ht="15.75" customHeight="1">
      <c r="A1326" s="3"/>
      <c r="B1326" s="2" t="str">
        <f t="shared" si="1"/>
        <v/>
      </c>
      <c r="E1326" s="2"/>
      <c r="F1326" s="2"/>
      <c r="G1326" s="2"/>
      <c r="H1326" s="2"/>
      <c r="I1326" s="2"/>
      <c r="J1326" s="2"/>
      <c r="K1326" s="2" t="str">
        <f t="shared" si="2"/>
        <v/>
      </c>
      <c r="L1326" s="2" t="str">
        <f t="shared" si="3"/>
        <v>No</v>
      </c>
      <c r="M1326" s="2" t="str">
        <f>IF(K1326="","",F1326*VLOOKUP(E1326,WEIGHTS!$A$2:$F$4,2,FALSE)+G1326*VLOOKUP(E1326,WEIGHTS!$A$2:$F$4,3,FALSE)+H1326*VLOOKUP(E1326,WEIGHTS!$A$2:$F$4,4,FALSE)+I1326*VLOOKUP(E1326,WEIGHTS!$A$2:$F$4,5,FALSE)+J1326*VLOOKUP(E1326,WEIGHTS!$A$2:$F$4,6,FALSE))</f>
        <v/>
      </c>
      <c r="N1326" s="2" t="str">
        <f t="shared" si="4"/>
        <v/>
      </c>
    </row>
    <row r="1327" ht="15.75" customHeight="1">
      <c r="A1327" s="3"/>
      <c r="B1327" s="2" t="str">
        <f t="shared" si="1"/>
        <v/>
      </c>
      <c r="E1327" s="2"/>
      <c r="F1327" s="2"/>
      <c r="G1327" s="2"/>
      <c r="H1327" s="2"/>
      <c r="I1327" s="2"/>
      <c r="J1327" s="2"/>
      <c r="K1327" s="2" t="str">
        <f t="shared" si="2"/>
        <v/>
      </c>
      <c r="L1327" s="2" t="str">
        <f t="shared" si="3"/>
        <v>No</v>
      </c>
      <c r="M1327" s="2" t="str">
        <f>IF(K1327="","",F1327*VLOOKUP(E1327,WEIGHTS!$A$2:$F$4,2,FALSE)+G1327*VLOOKUP(E1327,WEIGHTS!$A$2:$F$4,3,FALSE)+H1327*VLOOKUP(E1327,WEIGHTS!$A$2:$F$4,4,FALSE)+I1327*VLOOKUP(E1327,WEIGHTS!$A$2:$F$4,5,FALSE)+J1327*VLOOKUP(E1327,WEIGHTS!$A$2:$F$4,6,FALSE))</f>
        <v/>
      </c>
      <c r="N1327" s="2" t="str">
        <f t="shared" si="4"/>
        <v/>
      </c>
    </row>
    <row r="1328" ht="15.75" customHeight="1">
      <c r="A1328" s="3"/>
      <c r="B1328" s="2" t="str">
        <f t="shared" si="1"/>
        <v/>
      </c>
      <c r="E1328" s="2"/>
      <c r="F1328" s="2"/>
      <c r="G1328" s="2"/>
      <c r="H1328" s="2"/>
      <c r="I1328" s="2"/>
      <c r="J1328" s="2"/>
      <c r="K1328" s="2" t="str">
        <f t="shared" si="2"/>
        <v/>
      </c>
      <c r="L1328" s="2" t="str">
        <f t="shared" si="3"/>
        <v>No</v>
      </c>
      <c r="M1328" s="2" t="str">
        <f>IF(K1328="","",F1328*VLOOKUP(E1328,WEIGHTS!$A$2:$F$4,2,FALSE)+G1328*VLOOKUP(E1328,WEIGHTS!$A$2:$F$4,3,FALSE)+H1328*VLOOKUP(E1328,WEIGHTS!$A$2:$F$4,4,FALSE)+I1328*VLOOKUP(E1328,WEIGHTS!$A$2:$F$4,5,FALSE)+J1328*VLOOKUP(E1328,WEIGHTS!$A$2:$F$4,6,FALSE))</f>
        <v/>
      </c>
      <c r="N1328" s="2" t="str">
        <f t="shared" si="4"/>
        <v/>
      </c>
    </row>
    <row r="1329" ht="15.75" customHeight="1">
      <c r="A1329" s="3"/>
      <c r="B1329" s="2" t="str">
        <f t="shared" si="1"/>
        <v/>
      </c>
      <c r="E1329" s="2"/>
      <c r="F1329" s="2"/>
      <c r="G1329" s="2"/>
      <c r="H1329" s="2"/>
      <c r="I1329" s="2"/>
      <c r="J1329" s="2"/>
      <c r="K1329" s="2" t="str">
        <f t="shared" si="2"/>
        <v/>
      </c>
      <c r="L1329" s="2" t="str">
        <f t="shared" si="3"/>
        <v>No</v>
      </c>
      <c r="M1329" s="2" t="str">
        <f>IF(K1329="","",F1329*VLOOKUP(E1329,WEIGHTS!$A$2:$F$4,2,FALSE)+G1329*VLOOKUP(E1329,WEIGHTS!$A$2:$F$4,3,FALSE)+H1329*VLOOKUP(E1329,WEIGHTS!$A$2:$F$4,4,FALSE)+I1329*VLOOKUP(E1329,WEIGHTS!$A$2:$F$4,5,FALSE)+J1329*VLOOKUP(E1329,WEIGHTS!$A$2:$F$4,6,FALSE))</f>
        <v/>
      </c>
      <c r="N1329" s="2" t="str">
        <f t="shared" si="4"/>
        <v/>
      </c>
    </row>
    <row r="1330" ht="15.75" customHeight="1">
      <c r="A1330" s="3"/>
      <c r="B1330" s="2" t="str">
        <f t="shared" si="1"/>
        <v/>
      </c>
      <c r="E1330" s="2"/>
      <c r="F1330" s="2"/>
      <c r="G1330" s="2"/>
      <c r="H1330" s="2"/>
      <c r="I1330" s="2"/>
      <c r="J1330" s="2"/>
      <c r="K1330" s="2" t="str">
        <f t="shared" si="2"/>
        <v/>
      </c>
      <c r="L1330" s="2" t="str">
        <f t="shared" si="3"/>
        <v>No</v>
      </c>
      <c r="M1330" s="2" t="str">
        <f>IF(K1330="","",F1330*VLOOKUP(E1330,WEIGHTS!$A$2:$F$4,2,FALSE)+G1330*VLOOKUP(E1330,WEIGHTS!$A$2:$F$4,3,FALSE)+H1330*VLOOKUP(E1330,WEIGHTS!$A$2:$F$4,4,FALSE)+I1330*VLOOKUP(E1330,WEIGHTS!$A$2:$F$4,5,FALSE)+J1330*VLOOKUP(E1330,WEIGHTS!$A$2:$F$4,6,FALSE))</f>
        <v/>
      </c>
      <c r="N1330" s="2" t="str">
        <f t="shared" si="4"/>
        <v/>
      </c>
    </row>
    <row r="1331" ht="15.75" customHeight="1">
      <c r="A1331" s="3"/>
      <c r="B1331" s="2" t="str">
        <f t="shared" si="1"/>
        <v/>
      </c>
      <c r="E1331" s="2"/>
      <c r="F1331" s="2"/>
      <c r="G1331" s="2"/>
      <c r="H1331" s="2"/>
      <c r="I1331" s="2"/>
      <c r="J1331" s="2"/>
      <c r="K1331" s="2" t="str">
        <f t="shared" si="2"/>
        <v/>
      </c>
      <c r="L1331" s="2" t="str">
        <f t="shared" si="3"/>
        <v>No</v>
      </c>
      <c r="M1331" s="2" t="str">
        <f>IF(K1331="","",F1331*VLOOKUP(E1331,WEIGHTS!$A$2:$F$4,2,FALSE)+G1331*VLOOKUP(E1331,WEIGHTS!$A$2:$F$4,3,FALSE)+H1331*VLOOKUP(E1331,WEIGHTS!$A$2:$F$4,4,FALSE)+I1331*VLOOKUP(E1331,WEIGHTS!$A$2:$F$4,5,FALSE)+J1331*VLOOKUP(E1331,WEIGHTS!$A$2:$F$4,6,FALSE))</f>
        <v/>
      </c>
      <c r="N1331" s="2" t="str">
        <f t="shared" si="4"/>
        <v/>
      </c>
    </row>
    <row r="1332" ht="15.75" customHeight="1">
      <c r="A1332" s="3"/>
      <c r="B1332" s="2" t="str">
        <f t="shared" si="1"/>
        <v/>
      </c>
      <c r="E1332" s="2"/>
      <c r="F1332" s="2"/>
      <c r="G1332" s="2"/>
      <c r="H1332" s="2"/>
      <c r="I1332" s="2"/>
      <c r="J1332" s="2"/>
      <c r="K1332" s="2" t="str">
        <f t="shared" si="2"/>
        <v/>
      </c>
      <c r="L1332" s="2" t="str">
        <f t="shared" si="3"/>
        <v>No</v>
      </c>
      <c r="M1332" s="2" t="str">
        <f>IF(K1332="","",F1332*VLOOKUP(E1332,WEIGHTS!$A$2:$F$4,2,FALSE)+G1332*VLOOKUP(E1332,WEIGHTS!$A$2:$F$4,3,FALSE)+H1332*VLOOKUP(E1332,WEIGHTS!$A$2:$F$4,4,FALSE)+I1332*VLOOKUP(E1332,WEIGHTS!$A$2:$F$4,5,FALSE)+J1332*VLOOKUP(E1332,WEIGHTS!$A$2:$F$4,6,FALSE))</f>
        <v/>
      </c>
      <c r="N1332" s="2" t="str">
        <f t="shared" si="4"/>
        <v/>
      </c>
    </row>
    <row r="1333" ht="15.75" customHeight="1">
      <c r="A1333" s="3"/>
      <c r="B1333" s="2" t="str">
        <f t="shared" si="1"/>
        <v/>
      </c>
      <c r="E1333" s="2"/>
      <c r="F1333" s="2"/>
      <c r="G1333" s="2"/>
      <c r="H1333" s="2"/>
      <c r="I1333" s="2"/>
      <c r="J1333" s="2"/>
      <c r="K1333" s="2" t="str">
        <f t="shared" si="2"/>
        <v/>
      </c>
      <c r="L1333" s="2" t="str">
        <f t="shared" si="3"/>
        <v>No</v>
      </c>
      <c r="M1333" s="2" t="str">
        <f>IF(K1333="","",F1333*VLOOKUP(E1333,WEIGHTS!$A$2:$F$4,2,FALSE)+G1333*VLOOKUP(E1333,WEIGHTS!$A$2:$F$4,3,FALSE)+H1333*VLOOKUP(E1333,WEIGHTS!$A$2:$F$4,4,FALSE)+I1333*VLOOKUP(E1333,WEIGHTS!$A$2:$F$4,5,FALSE)+J1333*VLOOKUP(E1333,WEIGHTS!$A$2:$F$4,6,FALSE))</f>
        <v/>
      </c>
      <c r="N1333" s="2" t="str">
        <f t="shared" si="4"/>
        <v/>
      </c>
    </row>
    <row r="1334" ht="15.75" customHeight="1">
      <c r="A1334" s="3"/>
      <c r="B1334" s="2" t="str">
        <f t="shared" si="1"/>
        <v/>
      </c>
      <c r="E1334" s="2"/>
      <c r="F1334" s="2"/>
      <c r="G1334" s="2"/>
      <c r="H1334" s="2"/>
      <c r="I1334" s="2"/>
      <c r="J1334" s="2"/>
      <c r="K1334" s="2" t="str">
        <f t="shared" si="2"/>
        <v/>
      </c>
      <c r="L1334" s="2" t="str">
        <f t="shared" si="3"/>
        <v>No</v>
      </c>
      <c r="M1334" s="2" t="str">
        <f>IF(K1334="","",F1334*VLOOKUP(E1334,WEIGHTS!$A$2:$F$4,2,FALSE)+G1334*VLOOKUP(E1334,WEIGHTS!$A$2:$F$4,3,FALSE)+H1334*VLOOKUP(E1334,WEIGHTS!$A$2:$F$4,4,FALSE)+I1334*VLOOKUP(E1334,WEIGHTS!$A$2:$F$4,5,FALSE)+J1334*VLOOKUP(E1334,WEIGHTS!$A$2:$F$4,6,FALSE))</f>
        <v/>
      </c>
      <c r="N1334" s="2" t="str">
        <f t="shared" si="4"/>
        <v/>
      </c>
    </row>
    <row r="1335" ht="15.75" customHeight="1">
      <c r="A1335" s="3"/>
      <c r="B1335" s="2" t="str">
        <f t="shared" si="1"/>
        <v/>
      </c>
      <c r="E1335" s="2"/>
      <c r="F1335" s="2"/>
      <c r="G1335" s="2"/>
      <c r="H1335" s="2"/>
      <c r="I1335" s="2"/>
      <c r="J1335" s="2"/>
      <c r="K1335" s="2" t="str">
        <f t="shared" si="2"/>
        <v/>
      </c>
      <c r="L1335" s="2" t="str">
        <f t="shared" si="3"/>
        <v>No</v>
      </c>
      <c r="M1335" s="2" t="str">
        <f>IF(K1335="","",F1335*VLOOKUP(E1335,WEIGHTS!$A$2:$F$4,2,FALSE)+G1335*VLOOKUP(E1335,WEIGHTS!$A$2:$F$4,3,FALSE)+H1335*VLOOKUP(E1335,WEIGHTS!$A$2:$F$4,4,FALSE)+I1335*VLOOKUP(E1335,WEIGHTS!$A$2:$F$4,5,FALSE)+J1335*VLOOKUP(E1335,WEIGHTS!$A$2:$F$4,6,FALSE))</f>
        <v/>
      </c>
      <c r="N1335" s="2" t="str">
        <f t="shared" si="4"/>
        <v/>
      </c>
    </row>
    <row r="1336" ht="15.75" customHeight="1">
      <c r="A1336" s="3"/>
      <c r="B1336" s="2" t="str">
        <f t="shared" si="1"/>
        <v/>
      </c>
      <c r="E1336" s="2"/>
      <c r="F1336" s="2"/>
      <c r="G1336" s="2"/>
      <c r="H1336" s="2"/>
      <c r="I1336" s="2"/>
      <c r="J1336" s="2"/>
      <c r="K1336" s="2" t="str">
        <f t="shared" si="2"/>
        <v/>
      </c>
      <c r="L1336" s="2" t="str">
        <f t="shared" si="3"/>
        <v>No</v>
      </c>
      <c r="M1336" s="2" t="str">
        <f>IF(K1336="","",F1336*VLOOKUP(E1336,WEIGHTS!$A$2:$F$4,2,FALSE)+G1336*VLOOKUP(E1336,WEIGHTS!$A$2:$F$4,3,FALSE)+H1336*VLOOKUP(E1336,WEIGHTS!$A$2:$F$4,4,FALSE)+I1336*VLOOKUP(E1336,WEIGHTS!$A$2:$F$4,5,FALSE)+J1336*VLOOKUP(E1336,WEIGHTS!$A$2:$F$4,6,FALSE))</f>
        <v/>
      </c>
      <c r="N1336" s="2" t="str">
        <f t="shared" si="4"/>
        <v/>
      </c>
    </row>
    <row r="1337" ht="15.75" customHeight="1">
      <c r="A1337" s="3"/>
      <c r="B1337" s="2" t="str">
        <f t="shared" si="1"/>
        <v/>
      </c>
      <c r="E1337" s="2"/>
      <c r="F1337" s="2"/>
      <c r="G1337" s="2"/>
      <c r="H1337" s="2"/>
      <c r="I1337" s="2"/>
      <c r="J1337" s="2"/>
      <c r="K1337" s="2" t="str">
        <f t="shared" si="2"/>
        <v/>
      </c>
      <c r="L1337" s="2" t="str">
        <f t="shared" si="3"/>
        <v>No</v>
      </c>
      <c r="M1337" s="2" t="str">
        <f>IF(K1337="","",F1337*VLOOKUP(E1337,WEIGHTS!$A$2:$F$4,2,FALSE)+G1337*VLOOKUP(E1337,WEIGHTS!$A$2:$F$4,3,FALSE)+H1337*VLOOKUP(E1337,WEIGHTS!$A$2:$F$4,4,FALSE)+I1337*VLOOKUP(E1337,WEIGHTS!$A$2:$F$4,5,FALSE)+J1337*VLOOKUP(E1337,WEIGHTS!$A$2:$F$4,6,FALSE))</f>
        <v/>
      </c>
      <c r="N1337" s="2" t="str">
        <f t="shared" si="4"/>
        <v/>
      </c>
    </row>
    <row r="1338" ht="15.75" customHeight="1">
      <c r="A1338" s="3"/>
      <c r="B1338" s="2" t="str">
        <f t="shared" si="1"/>
        <v/>
      </c>
      <c r="E1338" s="2"/>
      <c r="F1338" s="2"/>
      <c r="G1338" s="2"/>
      <c r="H1338" s="2"/>
      <c r="I1338" s="2"/>
      <c r="J1338" s="2"/>
      <c r="K1338" s="2" t="str">
        <f t="shared" si="2"/>
        <v/>
      </c>
      <c r="L1338" s="2" t="str">
        <f t="shared" si="3"/>
        <v>No</v>
      </c>
      <c r="M1338" s="2" t="str">
        <f>IF(K1338="","",F1338*VLOOKUP(E1338,WEIGHTS!$A$2:$F$4,2,FALSE)+G1338*VLOOKUP(E1338,WEIGHTS!$A$2:$F$4,3,FALSE)+H1338*VLOOKUP(E1338,WEIGHTS!$A$2:$F$4,4,FALSE)+I1338*VLOOKUP(E1338,WEIGHTS!$A$2:$F$4,5,FALSE)+J1338*VLOOKUP(E1338,WEIGHTS!$A$2:$F$4,6,FALSE))</f>
        <v/>
      </c>
      <c r="N1338" s="2" t="str">
        <f t="shared" si="4"/>
        <v/>
      </c>
    </row>
    <row r="1339" ht="15.75" customHeight="1">
      <c r="A1339" s="3"/>
      <c r="B1339" s="2" t="str">
        <f t="shared" si="1"/>
        <v/>
      </c>
      <c r="E1339" s="2"/>
      <c r="F1339" s="2"/>
      <c r="G1339" s="2"/>
      <c r="H1339" s="2"/>
      <c r="I1339" s="2"/>
      <c r="J1339" s="2"/>
      <c r="K1339" s="2" t="str">
        <f t="shared" si="2"/>
        <v/>
      </c>
      <c r="L1339" s="2" t="str">
        <f t="shared" si="3"/>
        <v>No</v>
      </c>
      <c r="M1339" s="2" t="str">
        <f>IF(K1339="","",F1339*VLOOKUP(E1339,WEIGHTS!$A$2:$F$4,2,FALSE)+G1339*VLOOKUP(E1339,WEIGHTS!$A$2:$F$4,3,FALSE)+H1339*VLOOKUP(E1339,WEIGHTS!$A$2:$F$4,4,FALSE)+I1339*VLOOKUP(E1339,WEIGHTS!$A$2:$F$4,5,FALSE)+J1339*VLOOKUP(E1339,WEIGHTS!$A$2:$F$4,6,FALSE))</f>
        <v/>
      </c>
      <c r="N1339" s="2" t="str">
        <f t="shared" si="4"/>
        <v/>
      </c>
    </row>
    <row r="1340" ht="15.75" customHeight="1">
      <c r="A1340" s="3"/>
      <c r="B1340" s="2" t="str">
        <f t="shared" si="1"/>
        <v/>
      </c>
      <c r="E1340" s="2"/>
      <c r="F1340" s="2"/>
      <c r="G1340" s="2"/>
      <c r="H1340" s="2"/>
      <c r="I1340" s="2"/>
      <c r="J1340" s="2"/>
      <c r="K1340" s="2" t="str">
        <f t="shared" si="2"/>
        <v/>
      </c>
      <c r="L1340" s="2" t="str">
        <f t="shared" si="3"/>
        <v>No</v>
      </c>
      <c r="M1340" s="2" t="str">
        <f>IF(K1340="","",F1340*VLOOKUP(E1340,WEIGHTS!$A$2:$F$4,2,FALSE)+G1340*VLOOKUP(E1340,WEIGHTS!$A$2:$F$4,3,FALSE)+H1340*VLOOKUP(E1340,WEIGHTS!$A$2:$F$4,4,FALSE)+I1340*VLOOKUP(E1340,WEIGHTS!$A$2:$F$4,5,FALSE)+J1340*VLOOKUP(E1340,WEIGHTS!$A$2:$F$4,6,FALSE))</f>
        <v/>
      </c>
      <c r="N1340" s="2" t="str">
        <f t="shared" si="4"/>
        <v/>
      </c>
    </row>
    <row r="1341" ht="15.75" customHeight="1">
      <c r="A1341" s="3"/>
      <c r="B1341" s="2" t="str">
        <f t="shared" si="1"/>
        <v/>
      </c>
      <c r="E1341" s="2"/>
      <c r="F1341" s="2"/>
      <c r="G1341" s="2"/>
      <c r="H1341" s="2"/>
      <c r="I1341" s="2"/>
      <c r="J1341" s="2"/>
      <c r="K1341" s="2" t="str">
        <f t="shared" si="2"/>
        <v/>
      </c>
      <c r="L1341" s="2" t="str">
        <f t="shared" si="3"/>
        <v>No</v>
      </c>
      <c r="M1341" s="2" t="str">
        <f>IF(K1341="","",F1341*VLOOKUP(E1341,WEIGHTS!$A$2:$F$4,2,FALSE)+G1341*VLOOKUP(E1341,WEIGHTS!$A$2:$F$4,3,FALSE)+H1341*VLOOKUP(E1341,WEIGHTS!$A$2:$F$4,4,FALSE)+I1341*VLOOKUP(E1341,WEIGHTS!$A$2:$F$4,5,FALSE)+J1341*VLOOKUP(E1341,WEIGHTS!$A$2:$F$4,6,FALSE))</f>
        <v/>
      </c>
      <c r="N1341" s="2" t="str">
        <f t="shared" si="4"/>
        <v/>
      </c>
    </row>
    <row r="1342" ht="15.75" customHeight="1">
      <c r="A1342" s="3"/>
      <c r="B1342" s="2" t="str">
        <f t="shared" si="1"/>
        <v/>
      </c>
      <c r="E1342" s="2"/>
      <c r="F1342" s="2"/>
      <c r="G1342" s="2"/>
      <c r="H1342" s="2"/>
      <c r="I1342" s="2"/>
      <c r="J1342" s="2"/>
      <c r="K1342" s="2" t="str">
        <f t="shared" si="2"/>
        <v/>
      </c>
      <c r="L1342" s="2" t="str">
        <f t="shared" si="3"/>
        <v>No</v>
      </c>
      <c r="M1342" s="2" t="str">
        <f>IF(K1342="","",F1342*VLOOKUP(E1342,WEIGHTS!$A$2:$F$4,2,FALSE)+G1342*VLOOKUP(E1342,WEIGHTS!$A$2:$F$4,3,FALSE)+H1342*VLOOKUP(E1342,WEIGHTS!$A$2:$F$4,4,FALSE)+I1342*VLOOKUP(E1342,WEIGHTS!$A$2:$F$4,5,FALSE)+J1342*VLOOKUP(E1342,WEIGHTS!$A$2:$F$4,6,FALSE))</f>
        <v/>
      </c>
      <c r="N1342" s="2" t="str">
        <f t="shared" si="4"/>
        <v/>
      </c>
    </row>
    <row r="1343" ht="15.75" customHeight="1">
      <c r="A1343" s="3"/>
      <c r="B1343" s="2" t="str">
        <f t="shared" si="1"/>
        <v/>
      </c>
      <c r="E1343" s="2"/>
      <c r="F1343" s="2"/>
      <c r="G1343" s="2"/>
      <c r="H1343" s="2"/>
      <c r="I1343" s="2"/>
      <c r="J1343" s="2"/>
      <c r="K1343" s="2" t="str">
        <f t="shared" si="2"/>
        <v/>
      </c>
      <c r="L1343" s="2" t="str">
        <f t="shared" si="3"/>
        <v>No</v>
      </c>
      <c r="M1343" s="2" t="str">
        <f>IF(K1343="","",F1343*VLOOKUP(E1343,WEIGHTS!$A$2:$F$4,2,FALSE)+G1343*VLOOKUP(E1343,WEIGHTS!$A$2:$F$4,3,FALSE)+H1343*VLOOKUP(E1343,WEIGHTS!$A$2:$F$4,4,FALSE)+I1343*VLOOKUP(E1343,WEIGHTS!$A$2:$F$4,5,FALSE)+J1343*VLOOKUP(E1343,WEIGHTS!$A$2:$F$4,6,FALSE))</f>
        <v/>
      </c>
      <c r="N1343" s="2" t="str">
        <f t="shared" si="4"/>
        <v/>
      </c>
    </row>
    <row r="1344" ht="15.75" customHeight="1">
      <c r="A1344" s="3"/>
      <c r="B1344" s="2" t="str">
        <f t="shared" si="1"/>
        <v/>
      </c>
      <c r="E1344" s="2"/>
      <c r="F1344" s="2"/>
      <c r="G1344" s="2"/>
      <c r="H1344" s="2"/>
      <c r="I1344" s="2"/>
      <c r="J1344" s="2"/>
      <c r="K1344" s="2" t="str">
        <f t="shared" si="2"/>
        <v/>
      </c>
      <c r="L1344" s="2" t="str">
        <f t="shared" si="3"/>
        <v>No</v>
      </c>
      <c r="M1344" s="2" t="str">
        <f>IF(K1344="","",F1344*VLOOKUP(E1344,WEIGHTS!$A$2:$F$4,2,FALSE)+G1344*VLOOKUP(E1344,WEIGHTS!$A$2:$F$4,3,FALSE)+H1344*VLOOKUP(E1344,WEIGHTS!$A$2:$F$4,4,FALSE)+I1344*VLOOKUP(E1344,WEIGHTS!$A$2:$F$4,5,FALSE)+J1344*VLOOKUP(E1344,WEIGHTS!$A$2:$F$4,6,FALSE))</f>
        <v/>
      </c>
      <c r="N1344" s="2" t="str">
        <f t="shared" si="4"/>
        <v/>
      </c>
    </row>
    <row r="1345" ht="15.75" customHeight="1">
      <c r="A1345" s="3"/>
      <c r="B1345" s="2" t="str">
        <f t="shared" si="1"/>
        <v/>
      </c>
      <c r="E1345" s="2"/>
      <c r="F1345" s="2"/>
      <c r="G1345" s="2"/>
      <c r="H1345" s="2"/>
      <c r="I1345" s="2"/>
      <c r="J1345" s="2"/>
      <c r="K1345" s="2" t="str">
        <f t="shared" si="2"/>
        <v/>
      </c>
      <c r="L1345" s="2" t="str">
        <f t="shared" si="3"/>
        <v>No</v>
      </c>
      <c r="M1345" s="2" t="str">
        <f>IF(K1345="","",F1345*VLOOKUP(E1345,WEIGHTS!$A$2:$F$4,2,FALSE)+G1345*VLOOKUP(E1345,WEIGHTS!$A$2:$F$4,3,FALSE)+H1345*VLOOKUP(E1345,WEIGHTS!$A$2:$F$4,4,FALSE)+I1345*VLOOKUP(E1345,WEIGHTS!$A$2:$F$4,5,FALSE)+J1345*VLOOKUP(E1345,WEIGHTS!$A$2:$F$4,6,FALSE))</f>
        <v/>
      </c>
      <c r="N1345" s="2" t="str">
        <f t="shared" si="4"/>
        <v/>
      </c>
    </row>
    <row r="1346" ht="15.75" customHeight="1">
      <c r="A1346" s="3"/>
      <c r="B1346" s="2" t="str">
        <f t="shared" si="1"/>
        <v/>
      </c>
      <c r="E1346" s="2"/>
      <c r="F1346" s="2"/>
      <c r="G1346" s="2"/>
      <c r="H1346" s="2"/>
      <c r="I1346" s="2"/>
      <c r="J1346" s="2"/>
      <c r="K1346" s="2" t="str">
        <f t="shared" si="2"/>
        <v/>
      </c>
      <c r="L1346" s="2" t="str">
        <f t="shared" si="3"/>
        <v>No</v>
      </c>
      <c r="M1346" s="2" t="str">
        <f>IF(K1346="","",F1346*VLOOKUP(E1346,WEIGHTS!$A$2:$F$4,2,FALSE)+G1346*VLOOKUP(E1346,WEIGHTS!$A$2:$F$4,3,FALSE)+H1346*VLOOKUP(E1346,WEIGHTS!$A$2:$F$4,4,FALSE)+I1346*VLOOKUP(E1346,WEIGHTS!$A$2:$F$4,5,FALSE)+J1346*VLOOKUP(E1346,WEIGHTS!$A$2:$F$4,6,FALSE))</f>
        <v/>
      </c>
      <c r="N1346" s="2" t="str">
        <f t="shared" si="4"/>
        <v/>
      </c>
    </row>
    <row r="1347" ht="15.75" customHeight="1">
      <c r="A1347" s="3"/>
      <c r="B1347" s="2" t="str">
        <f t="shared" si="1"/>
        <v/>
      </c>
      <c r="E1347" s="2"/>
      <c r="F1347" s="2"/>
      <c r="G1347" s="2"/>
      <c r="H1347" s="2"/>
      <c r="I1347" s="2"/>
      <c r="J1347" s="2"/>
      <c r="K1347" s="2" t="str">
        <f t="shared" si="2"/>
        <v/>
      </c>
      <c r="L1347" s="2" t="str">
        <f t="shared" si="3"/>
        <v>No</v>
      </c>
      <c r="M1347" s="2" t="str">
        <f>IF(K1347="","",F1347*VLOOKUP(E1347,WEIGHTS!$A$2:$F$4,2,FALSE)+G1347*VLOOKUP(E1347,WEIGHTS!$A$2:$F$4,3,FALSE)+H1347*VLOOKUP(E1347,WEIGHTS!$A$2:$F$4,4,FALSE)+I1347*VLOOKUP(E1347,WEIGHTS!$A$2:$F$4,5,FALSE)+J1347*VLOOKUP(E1347,WEIGHTS!$A$2:$F$4,6,FALSE))</f>
        <v/>
      </c>
      <c r="N1347" s="2" t="str">
        <f t="shared" si="4"/>
        <v/>
      </c>
    </row>
    <row r="1348" ht="15.75" customHeight="1">
      <c r="A1348" s="3"/>
      <c r="B1348" s="2" t="str">
        <f t="shared" si="1"/>
        <v/>
      </c>
      <c r="E1348" s="2"/>
      <c r="F1348" s="2"/>
      <c r="G1348" s="2"/>
      <c r="H1348" s="2"/>
      <c r="I1348" s="2"/>
      <c r="J1348" s="2"/>
      <c r="K1348" s="2" t="str">
        <f t="shared" si="2"/>
        <v/>
      </c>
      <c r="L1348" s="2" t="str">
        <f t="shared" si="3"/>
        <v>No</v>
      </c>
      <c r="M1348" s="2" t="str">
        <f>IF(K1348="","",F1348*VLOOKUP(E1348,WEIGHTS!$A$2:$F$4,2,FALSE)+G1348*VLOOKUP(E1348,WEIGHTS!$A$2:$F$4,3,FALSE)+H1348*VLOOKUP(E1348,WEIGHTS!$A$2:$F$4,4,FALSE)+I1348*VLOOKUP(E1348,WEIGHTS!$A$2:$F$4,5,FALSE)+J1348*VLOOKUP(E1348,WEIGHTS!$A$2:$F$4,6,FALSE))</f>
        <v/>
      </c>
      <c r="N1348" s="2" t="str">
        <f t="shared" si="4"/>
        <v/>
      </c>
    </row>
    <row r="1349" ht="15.75" customHeight="1">
      <c r="A1349" s="3"/>
      <c r="B1349" s="2" t="str">
        <f t="shared" si="1"/>
        <v/>
      </c>
      <c r="E1349" s="2"/>
      <c r="F1349" s="2"/>
      <c r="G1349" s="2"/>
      <c r="H1349" s="2"/>
      <c r="I1349" s="2"/>
      <c r="J1349" s="2"/>
      <c r="K1349" s="2" t="str">
        <f t="shared" si="2"/>
        <v/>
      </c>
      <c r="L1349" s="2" t="str">
        <f t="shared" si="3"/>
        <v>No</v>
      </c>
      <c r="M1349" s="2" t="str">
        <f>IF(K1349="","",F1349*VLOOKUP(E1349,WEIGHTS!$A$2:$F$4,2,FALSE)+G1349*VLOOKUP(E1349,WEIGHTS!$A$2:$F$4,3,FALSE)+H1349*VLOOKUP(E1349,WEIGHTS!$A$2:$F$4,4,FALSE)+I1349*VLOOKUP(E1349,WEIGHTS!$A$2:$F$4,5,FALSE)+J1349*VLOOKUP(E1349,WEIGHTS!$A$2:$F$4,6,FALSE))</f>
        <v/>
      </c>
      <c r="N1349" s="2" t="str">
        <f t="shared" si="4"/>
        <v/>
      </c>
    </row>
    <row r="1350" ht="15.75" customHeight="1">
      <c r="A1350" s="3"/>
      <c r="B1350" s="2" t="str">
        <f t="shared" si="1"/>
        <v/>
      </c>
      <c r="E1350" s="2"/>
      <c r="F1350" s="2"/>
      <c r="G1350" s="2"/>
      <c r="H1350" s="2"/>
      <c r="I1350" s="2"/>
      <c r="J1350" s="2"/>
      <c r="K1350" s="2" t="str">
        <f t="shared" si="2"/>
        <v/>
      </c>
      <c r="L1350" s="2" t="str">
        <f t="shared" si="3"/>
        <v>No</v>
      </c>
      <c r="M1350" s="2" t="str">
        <f>IF(K1350="","",F1350*VLOOKUP(E1350,WEIGHTS!$A$2:$F$4,2,FALSE)+G1350*VLOOKUP(E1350,WEIGHTS!$A$2:$F$4,3,FALSE)+H1350*VLOOKUP(E1350,WEIGHTS!$A$2:$F$4,4,FALSE)+I1350*VLOOKUP(E1350,WEIGHTS!$A$2:$F$4,5,FALSE)+J1350*VLOOKUP(E1350,WEIGHTS!$A$2:$F$4,6,FALSE))</f>
        <v/>
      </c>
      <c r="N1350" s="2" t="str">
        <f t="shared" si="4"/>
        <v/>
      </c>
    </row>
    <row r="1351" ht="15.75" customHeight="1">
      <c r="A1351" s="3"/>
      <c r="B1351" s="2" t="str">
        <f t="shared" si="1"/>
        <v/>
      </c>
      <c r="E1351" s="2"/>
      <c r="F1351" s="2"/>
      <c r="G1351" s="2"/>
      <c r="H1351" s="2"/>
      <c r="I1351" s="2"/>
      <c r="J1351" s="2"/>
      <c r="K1351" s="2" t="str">
        <f t="shared" si="2"/>
        <v/>
      </c>
      <c r="L1351" s="2" t="str">
        <f t="shared" si="3"/>
        <v>No</v>
      </c>
      <c r="M1351" s="2" t="str">
        <f>IF(K1351="","",F1351*VLOOKUP(E1351,WEIGHTS!$A$2:$F$4,2,FALSE)+G1351*VLOOKUP(E1351,WEIGHTS!$A$2:$F$4,3,FALSE)+H1351*VLOOKUP(E1351,WEIGHTS!$A$2:$F$4,4,FALSE)+I1351*VLOOKUP(E1351,WEIGHTS!$A$2:$F$4,5,FALSE)+J1351*VLOOKUP(E1351,WEIGHTS!$A$2:$F$4,6,FALSE))</f>
        <v/>
      </c>
      <c r="N1351" s="2" t="str">
        <f t="shared" si="4"/>
        <v/>
      </c>
    </row>
    <row r="1352" ht="15.75" customHeight="1">
      <c r="A1352" s="3"/>
      <c r="B1352" s="2" t="str">
        <f t="shared" si="1"/>
        <v/>
      </c>
      <c r="E1352" s="2"/>
      <c r="F1352" s="2"/>
      <c r="G1352" s="2"/>
      <c r="H1352" s="2"/>
      <c r="I1352" s="2"/>
      <c r="J1352" s="2"/>
      <c r="K1352" s="2" t="str">
        <f t="shared" si="2"/>
        <v/>
      </c>
      <c r="L1352" s="2" t="str">
        <f t="shared" si="3"/>
        <v>No</v>
      </c>
      <c r="M1352" s="2" t="str">
        <f>IF(K1352="","",F1352*VLOOKUP(E1352,WEIGHTS!$A$2:$F$4,2,FALSE)+G1352*VLOOKUP(E1352,WEIGHTS!$A$2:$F$4,3,FALSE)+H1352*VLOOKUP(E1352,WEIGHTS!$A$2:$F$4,4,FALSE)+I1352*VLOOKUP(E1352,WEIGHTS!$A$2:$F$4,5,FALSE)+J1352*VLOOKUP(E1352,WEIGHTS!$A$2:$F$4,6,FALSE))</f>
        <v/>
      </c>
      <c r="N1352" s="2" t="str">
        <f t="shared" si="4"/>
        <v/>
      </c>
    </row>
    <row r="1353" ht="15.75" customHeight="1">
      <c r="A1353" s="3"/>
      <c r="B1353" s="2" t="str">
        <f t="shared" si="1"/>
        <v/>
      </c>
      <c r="E1353" s="2"/>
      <c r="F1353" s="2"/>
      <c r="G1353" s="2"/>
      <c r="H1353" s="2"/>
      <c r="I1353" s="2"/>
      <c r="J1353" s="2"/>
      <c r="K1353" s="2" t="str">
        <f t="shared" si="2"/>
        <v/>
      </c>
      <c r="L1353" s="2" t="str">
        <f t="shared" si="3"/>
        <v>No</v>
      </c>
      <c r="M1353" s="2" t="str">
        <f>IF(K1353="","",F1353*VLOOKUP(E1353,WEIGHTS!$A$2:$F$4,2,FALSE)+G1353*VLOOKUP(E1353,WEIGHTS!$A$2:$F$4,3,FALSE)+H1353*VLOOKUP(E1353,WEIGHTS!$A$2:$F$4,4,FALSE)+I1353*VLOOKUP(E1353,WEIGHTS!$A$2:$F$4,5,FALSE)+J1353*VLOOKUP(E1353,WEIGHTS!$A$2:$F$4,6,FALSE))</f>
        <v/>
      </c>
      <c r="N1353" s="2" t="str">
        <f t="shared" si="4"/>
        <v/>
      </c>
    </row>
    <row r="1354" ht="15.75" customHeight="1">
      <c r="A1354" s="3"/>
      <c r="B1354" s="2" t="str">
        <f t="shared" si="1"/>
        <v/>
      </c>
      <c r="E1354" s="2"/>
      <c r="F1354" s="2"/>
      <c r="G1354" s="2"/>
      <c r="H1354" s="2"/>
      <c r="I1354" s="2"/>
      <c r="J1354" s="2"/>
      <c r="K1354" s="2" t="str">
        <f t="shared" si="2"/>
        <v/>
      </c>
      <c r="L1354" s="2" t="str">
        <f t="shared" si="3"/>
        <v>No</v>
      </c>
      <c r="M1354" s="2" t="str">
        <f>IF(K1354="","",F1354*VLOOKUP(E1354,WEIGHTS!$A$2:$F$4,2,FALSE)+G1354*VLOOKUP(E1354,WEIGHTS!$A$2:$F$4,3,FALSE)+H1354*VLOOKUP(E1354,WEIGHTS!$A$2:$F$4,4,FALSE)+I1354*VLOOKUP(E1354,WEIGHTS!$A$2:$F$4,5,FALSE)+J1354*VLOOKUP(E1354,WEIGHTS!$A$2:$F$4,6,FALSE))</f>
        <v/>
      </c>
      <c r="N1354" s="2" t="str">
        <f t="shared" si="4"/>
        <v/>
      </c>
    </row>
    <row r="1355" ht="15.75" customHeight="1">
      <c r="A1355" s="3"/>
      <c r="B1355" s="2" t="str">
        <f t="shared" si="1"/>
        <v/>
      </c>
      <c r="E1355" s="2"/>
      <c r="F1355" s="2"/>
      <c r="G1355" s="2"/>
      <c r="H1355" s="2"/>
      <c r="I1355" s="2"/>
      <c r="J1355" s="2"/>
      <c r="K1355" s="2" t="str">
        <f t="shared" si="2"/>
        <v/>
      </c>
      <c r="L1355" s="2" t="str">
        <f t="shared" si="3"/>
        <v>No</v>
      </c>
      <c r="M1355" s="2" t="str">
        <f>IF(K1355="","",F1355*VLOOKUP(E1355,WEIGHTS!$A$2:$F$4,2,FALSE)+G1355*VLOOKUP(E1355,WEIGHTS!$A$2:$F$4,3,FALSE)+H1355*VLOOKUP(E1355,WEIGHTS!$A$2:$F$4,4,FALSE)+I1355*VLOOKUP(E1355,WEIGHTS!$A$2:$F$4,5,FALSE)+J1355*VLOOKUP(E1355,WEIGHTS!$A$2:$F$4,6,FALSE))</f>
        <v/>
      </c>
      <c r="N1355" s="2" t="str">
        <f t="shared" si="4"/>
        <v/>
      </c>
    </row>
    <row r="1356" ht="15.75" customHeight="1">
      <c r="A1356" s="3"/>
      <c r="B1356" s="2" t="str">
        <f t="shared" si="1"/>
        <v/>
      </c>
      <c r="E1356" s="2"/>
      <c r="F1356" s="2"/>
      <c r="G1356" s="2"/>
      <c r="H1356" s="2"/>
      <c r="I1356" s="2"/>
      <c r="J1356" s="2"/>
      <c r="K1356" s="2" t="str">
        <f t="shared" si="2"/>
        <v/>
      </c>
      <c r="L1356" s="2" t="str">
        <f t="shared" si="3"/>
        <v>No</v>
      </c>
      <c r="M1356" s="2" t="str">
        <f>IF(K1356="","",F1356*VLOOKUP(E1356,WEIGHTS!$A$2:$F$4,2,FALSE)+G1356*VLOOKUP(E1356,WEIGHTS!$A$2:$F$4,3,FALSE)+H1356*VLOOKUP(E1356,WEIGHTS!$A$2:$F$4,4,FALSE)+I1356*VLOOKUP(E1356,WEIGHTS!$A$2:$F$4,5,FALSE)+J1356*VLOOKUP(E1356,WEIGHTS!$A$2:$F$4,6,FALSE))</f>
        <v/>
      </c>
      <c r="N1356" s="2" t="str">
        <f t="shared" si="4"/>
        <v/>
      </c>
    </row>
    <row r="1357" ht="15.75" customHeight="1">
      <c r="A1357" s="3"/>
      <c r="B1357" s="2" t="str">
        <f t="shared" si="1"/>
        <v/>
      </c>
      <c r="E1357" s="2"/>
      <c r="F1357" s="2"/>
      <c r="G1357" s="2"/>
      <c r="H1357" s="2"/>
      <c r="I1357" s="2"/>
      <c r="J1357" s="2"/>
      <c r="K1357" s="2" t="str">
        <f t="shared" si="2"/>
        <v/>
      </c>
      <c r="L1357" s="2" t="str">
        <f t="shared" si="3"/>
        <v>No</v>
      </c>
      <c r="M1357" s="2" t="str">
        <f>IF(K1357="","",F1357*VLOOKUP(E1357,WEIGHTS!$A$2:$F$4,2,FALSE)+G1357*VLOOKUP(E1357,WEIGHTS!$A$2:$F$4,3,FALSE)+H1357*VLOOKUP(E1357,WEIGHTS!$A$2:$F$4,4,FALSE)+I1357*VLOOKUP(E1357,WEIGHTS!$A$2:$F$4,5,FALSE)+J1357*VLOOKUP(E1357,WEIGHTS!$A$2:$F$4,6,FALSE))</f>
        <v/>
      </c>
      <c r="N1357" s="2" t="str">
        <f t="shared" si="4"/>
        <v/>
      </c>
    </row>
    <row r="1358" ht="15.75" customHeight="1">
      <c r="A1358" s="3"/>
      <c r="B1358" s="2" t="str">
        <f t="shared" si="1"/>
        <v/>
      </c>
      <c r="E1358" s="2"/>
      <c r="F1358" s="2"/>
      <c r="G1358" s="2"/>
      <c r="H1358" s="2"/>
      <c r="I1358" s="2"/>
      <c r="J1358" s="2"/>
      <c r="K1358" s="2" t="str">
        <f t="shared" si="2"/>
        <v/>
      </c>
      <c r="L1358" s="2" t="str">
        <f t="shared" si="3"/>
        <v>No</v>
      </c>
      <c r="M1358" s="2" t="str">
        <f>IF(K1358="","",F1358*VLOOKUP(E1358,WEIGHTS!$A$2:$F$4,2,FALSE)+G1358*VLOOKUP(E1358,WEIGHTS!$A$2:$F$4,3,FALSE)+H1358*VLOOKUP(E1358,WEIGHTS!$A$2:$F$4,4,FALSE)+I1358*VLOOKUP(E1358,WEIGHTS!$A$2:$F$4,5,FALSE)+J1358*VLOOKUP(E1358,WEIGHTS!$A$2:$F$4,6,FALSE))</f>
        <v/>
      </c>
      <c r="N1358" s="2" t="str">
        <f t="shared" si="4"/>
        <v/>
      </c>
    </row>
    <row r="1359" ht="15.75" customHeight="1">
      <c r="A1359" s="3"/>
      <c r="B1359" s="2" t="str">
        <f t="shared" si="1"/>
        <v/>
      </c>
      <c r="E1359" s="2"/>
      <c r="F1359" s="2"/>
      <c r="G1359" s="2"/>
      <c r="H1359" s="2"/>
      <c r="I1359" s="2"/>
      <c r="J1359" s="2"/>
      <c r="K1359" s="2" t="str">
        <f t="shared" si="2"/>
        <v/>
      </c>
      <c r="L1359" s="2" t="str">
        <f t="shared" si="3"/>
        <v>No</v>
      </c>
      <c r="M1359" s="2" t="str">
        <f>IF(K1359="","",F1359*VLOOKUP(E1359,WEIGHTS!$A$2:$F$4,2,FALSE)+G1359*VLOOKUP(E1359,WEIGHTS!$A$2:$F$4,3,FALSE)+H1359*VLOOKUP(E1359,WEIGHTS!$A$2:$F$4,4,FALSE)+I1359*VLOOKUP(E1359,WEIGHTS!$A$2:$F$4,5,FALSE)+J1359*VLOOKUP(E1359,WEIGHTS!$A$2:$F$4,6,FALSE))</f>
        <v/>
      </c>
      <c r="N1359" s="2" t="str">
        <f t="shared" si="4"/>
        <v/>
      </c>
    </row>
    <row r="1360" ht="15.75" customHeight="1">
      <c r="A1360" s="3"/>
      <c r="B1360" s="2" t="str">
        <f t="shared" si="1"/>
        <v/>
      </c>
      <c r="E1360" s="2"/>
      <c r="F1360" s="2"/>
      <c r="G1360" s="2"/>
      <c r="H1360" s="2"/>
      <c r="I1360" s="2"/>
      <c r="J1360" s="2"/>
      <c r="K1360" s="2" t="str">
        <f t="shared" si="2"/>
        <v/>
      </c>
      <c r="L1360" s="2" t="str">
        <f t="shared" si="3"/>
        <v>No</v>
      </c>
      <c r="M1360" s="2" t="str">
        <f>IF(K1360="","",F1360*VLOOKUP(E1360,WEIGHTS!$A$2:$F$4,2,FALSE)+G1360*VLOOKUP(E1360,WEIGHTS!$A$2:$F$4,3,FALSE)+H1360*VLOOKUP(E1360,WEIGHTS!$A$2:$F$4,4,FALSE)+I1360*VLOOKUP(E1360,WEIGHTS!$A$2:$F$4,5,FALSE)+J1360*VLOOKUP(E1360,WEIGHTS!$A$2:$F$4,6,FALSE))</f>
        <v/>
      </c>
      <c r="N1360" s="2" t="str">
        <f t="shared" si="4"/>
        <v/>
      </c>
    </row>
    <row r="1361" ht="15.75" customHeight="1">
      <c r="A1361" s="3"/>
      <c r="B1361" s="2" t="str">
        <f t="shared" si="1"/>
        <v/>
      </c>
      <c r="E1361" s="2"/>
      <c r="F1361" s="2"/>
      <c r="G1361" s="2"/>
      <c r="H1361" s="2"/>
      <c r="I1361" s="2"/>
      <c r="J1361" s="2"/>
      <c r="K1361" s="2" t="str">
        <f t="shared" si="2"/>
        <v/>
      </c>
      <c r="L1361" s="2" t="str">
        <f t="shared" si="3"/>
        <v>No</v>
      </c>
      <c r="M1361" s="2" t="str">
        <f>IF(K1361="","",F1361*VLOOKUP(E1361,WEIGHTS!$A$2:$F$4,2,FALSE)+G1361*VLOOKUP(E1361,WEIGHTS!$A$2:$F$4,3,FALSE)+H1361*VLOOKUP(E1361,WEIGHTS!$A$2:$F$4,4,FALSE)+I1361*VLOOKUP(E1361,WEIGHTS!$A$2:$F$4,5,FALSE)+J1361*VLOOKUP(E1361,WEIGHTS!$A$2:$F$4,6,FALSE))</f>
        <v/>
      </c>
      <c r="N1361" s="2" t="str">
        <f t="shared" si="4"/>
        <v/>
      </c>
    </row>
    <row r="1362" ht="15.75" customHeight="1">
      <c r="A1362" s="3"/>
      <c r="B1362" s="2" t="str">
        <f t="shared" si="1"/>
        <v/>
      </c>
      <c r="E1362" s="2"/>
      <c r="F1362" s="2"/>
      <c r="G1362" s="2"/>
      <c r="H1362" s="2"/>
      <c r="I1362" s="2"/>
      <c r="J1362" s="2"/>
      <c r="K1362" s="2" t="str">
        <f t="shared" si="2"/>
        <v/>
      </c>
      <c r="L1362" s="2" t="str">
        <f t="shared" si="3"/>
        <v>No</v>
      </c>
      <c r="M1362" s="2" t="str">
        <f>IF(K1362="","",F1362*VLOOKUP(E1362,WEIGHTS!$A$2:$F$4,2,FALSE)+G1362*VLOOKUP(E1362,WEIGHTS!$A$2:$F$4,3,FALSE)+H1362*VLOOKUP(E1362,WEIGHTS!$A$2:$F$4,4,FALSE)+I1362*VLOOKUP(E1362,WEIGHTS!$A$2:$F$4,5,FALSE)+J1362*VLOOKUP(E1362,WEIGHTS!$A$2:$F$4,6,FALSE))</f>
        <v/>
      </c>
      <c r="N1362" s="2" t="str">
        <f t="shared" si="4"/>
        <v/>
      </c>
    </row>
    <row r="1363" ht="15.75" customHeight="1">
      <c r="A1363" s="3"/>
      <c r="B1363" s="2" t="str">
        <f t="shared" si="1"/>
        <v/>
      </c>
      <c r="E1363" s="2"/>
      <c r="F1363" s="2"/>
      <c r="G1363" s="2"/>
      <c r="H1363" s="2"/>
      <c r="I1363" s="2"/>
      <c r="J1363" s="2"/>
      <c r="K1363" s="2" t="str">
        <f t="shared" si="2"/>
        <v/>
      </c>
      <c r="L1363" s="2" t="str">
        <f t="shared" si="3"/>
        <v>No</v>
      </c>
      <c r="M1363" s="2" t="str">
        <f>IF(K1363="","",F1363*VLOOKUP(E1363,WEIGHTS!$A$2:$F$4,2,FALSE)+G1363*VLOOKUP(E1363,WEIGHTS!$A$2:$F$4,3,FALSE)+H1363*VLOOKUP(E1363,WEIGHTS!$A$2:$F$4,4,FALSE)+I1363*VLOOKUP(E1363,WEIGHTS!$A$2:$F$4,5,FALSE)+J1363*VLOOKUP(E1363,WEIGHTS!$A$2:$F$4,6,FALSE))</f>
        <v/>
      </c>
      <c r="N1363" s="2" t="str">
        <f t="shared" si="4"/>
        <v/>
      </c>
    </row>
    <row r="1364" ht="15.75" customHeight="1">
      <c r="A1364" s="3"/>
      <c r="B1364" s="2" t="str">
        <f t="shared" si="1"/>
        <v/>
      </c>
      <c r="E1364" s="2"/>
      <c r="F1364" s="2"/>
      <c r="G1364" s="2"/>
      <c r="H1364" s="2"/>
      <c r="I1364" s="2"/>
      <c r="J1364" s="2"/>
      <c r="K1364" s="2" t="str">
        <f t="shared" si="2"/>
        <v/>
      </c>
      <c r="L1364" s="2" t="str">
        <f t="shared" si="3"/>
        <v>No</v>
      </c>
      <c r="M1364" s="2" t="str">
        <f>IF(K1364="","",F1364*VLOOKUP(E1364,WEIGHTS!$A$2:$F$4,2,FALSE)+G1364*VLOOKUP(E1364,WEIGHTS!$A$2:$F$4,3,FALSE)+H1364*VLOOKUP(E1364,WEIGHTS!$A$2:$F$4,4,FALSE)+I1364*VLOOKUP(E1364,WEIGHTS!$A$2:$F$4,5,FALSE)+J1364*VLOOKUP(E1364,WEIGHTS!$A$2:$F$4,6,FALSE))</f>
        <v/>
      </c>
      <c r="N1364" s="2" t="str">
        <f t="shared" si="4"/>
        <v/>
      </c>
    </row>
    <row r="1365" ht="15.75" customHeight="1">
      <c r="A1365" s="3"/>
      <c r="B1365" s="2" t="str">
        <f t="shared" si="1"/>
        <v/>
      </c>
      <c r="E1365" s="2"/>
      <c r="F1365" s="2"/>
      <c r="G1365" s="2"/>
      <c r="H1365" s="2"/>
      <c r="I1365" s="2"/>
      <c r="J1365" s="2"/>
      <c r="K1365" s="2" t="str">
        <f t="shared" si="2"/>
        <v/>
      </c>
      <c r="L1365" s="2" t="str">
        <f t="shared" si="3"/>
        <v>No</v>
      </c>
      <c r="M1365" s="2" t="str">
        <f>IF(K1365="","",F1365*VLOOKUP(E1365,WEIGHTS!$A$2:$F$4,2,FALSE)+G1365*VLOOKUP(E1365,WEIGHTS!$A$2:$F$4,3,FALSE)+H1365*VLOOKUP(E1365,WEIGHTS!$A$2:$F$4,4,FALSE)+I1365*VLOOKUP(E1365,WEIGHTS!$A$2:$F$4,5,FALSE)+J1365*VLOOKUP(E1365,WEIGHTS!$A$2:$F$4,6,FALSE))</f>
        <v/>
      </c>
      <c r="N1365" s="2" t="str">
        <f t="shared" si="4"/>
        <v/>
      </c>
    </row>
    <row r="1366" ht="15.75" customHeight="1">
      <c r="A1366" s="3"/>
      <c r="B1366" s="2" t="str">
        <f t="shared" si="1"/>
        <v/>
      </c>
      <c r="E1366" s="2"/>
      <c r="F1366" s="2"/>
      <c r="G1366" s="2"/>
      <c r="H1366" s="2"/>
      <c r="I1366" s="2"/>
      <c r="J1366" s="2"/>
      <c r="K1366" s="2" t="str">
        <f t="shared" si="2"/>
        <v/>
      </c>
      <c r="L1366" s="2" t="str">
        <f t="shared" si="3"/>
        <v>No</v>
      </c>
      <c r="M1366" s="2" t="str">
        <f>IF(K1366="","",F1366*VLOOKUP(E1366,WEIGHTS!$A$2:$F$4,2,FALSE)+G1366*VLOOKUP(E1366,WEIGHTS!$A$2:$F$4,3,FALSE)+H1366*VLOOKUP(E1366,WEIGHTS!$A$2:$F$4,4,FALSE)+I1366*VLOOKUP(E1366,WEIGHTS!$A$2:$F$4,5,FALSE)+J1366*VLOOKUP(E1366,WEIGHTS!$A$2:$F$4,6,FALSE))</f>
        <v/>
      </c>
      <c r="N1366" s="2" t="str">
        <f t="shared" si="4"/>
        <v/>
      </c>
    </row>
    <row r="1367" ht="15.75" customHeight="1">
      <c r="A1367" s="3"/>
      <c r="B1367" s="2" t="str">
        <f t="shared" si="1"/>
        <v/>
      </c>
      <c r="E1367" s="2"/>
      <c r="F1367" s="2"/>
      <c r="G1367" s="2"/>
      <c r="H1367" s="2"/>
      <c r="I1367" s="2"/>
      <c r="J1367" s="2"/>
      <c r="K1367" s="2" t="str">
        <f t="shared" si="2"/>
        <v/>
      </c>
      <c r="L1367" s="2" t="str">
        <f t="shared" si="3"/>
        <v>No</v>
      </c>
      <c r="M1367" s="2" t="str">
        <f>IF(K1367="","",F1367*VLOOKUP(E1367,WEIGHTS!$A$2:$F$4,2,FALSE)+G1367*VLOOKUP(E1367,WEIGHTS!$A$2:$F$4,3,FALSE)+H1367*VLOOKUP(E1367,WEIGHTS!$A$2:$F$4,4,FALSE)+I1367*VLOOKUP(E1367,WEIGHTS!$A$2:$F$4,5,FALSE)+J1367*VLOOKUP(E1367,WEIGHTS!$A$2:$F$4,6,FALSE))</f>
        <v/>
      </c>
      <c r="N1367" s="2" t="str">
        <f t="shared" si="4"/>
        <v/>
      </c>
    </row>
    <row r="1368" ht="15.75" customHeight="1">
      <c r="A1368" s="3"/>
      <c r="B1368" s="2" t="str">
        <f t="shared" si="1"/>
        <v/>
      </c>
      <c r="E1368" s="2"/>
      <c r="F1368" s="2"/>
      <c r="G1368" s="2"/>
      <c r="H1368" s="2"/>
      <c r="I1368" s="2"/>
      <c r="J1368" s="2"/>
      <c r="K1368" s="2" t="str">
        <f t="shared" si="2"/>
        <v/>
      </c>
      <c r="L1368" s="2" t="str">
        <f t="shared" si="3"/>
        <v>No</v>
      </c>
      <c r="M1368" s="2" t="str">
        <f>IF(K1368="","",F1368*VLOOKUP(E1368,WEIGHTS!$A$2:$F$4,2,FALSE)+G1368*VLOOKUP(E1368,WEIGHTS!$A$2:$F$4,3,FALSE)+H1368*VLOOKUP(E1368,WEIGHTS!$A$2:$F$4,4,FALSE)+I1368*VLOOKUP(E1368,WEIGHTS!$A$2:$F$4,5,FALSE)+J1368*VLOOKUP(E1368,WEIGHTS!$A$2:$F$4,6,FALSE))</f>
        <v/>
      </c>
      <c r="N1368" s="2" t="str">
        <f t="shared" si="4"/>
        <v/>
      </c>
    </row>
    <row r="1369" ht="15.75" customHeight="1">
      <c r="A1369" s="3"/>
      <c r="B1369" s="2" t="str">
        <f t="shared" si="1"/>
        <v/>
      </c>
      <c r="E1369" s="2"/>
      <c r="F1369" s="2"/>
      <c r="G1369" s="2"/>
      <c r="H1369" s="2"/>
      <c r="I1369" s="2"/>
      <c r="J1369" s="2"/>
      <c r="K1369" s="2" t="str">
        <f t="shared" si="2"/>
        <v/>
      </c>
      <c r="L1369" s="2" t="str">
        <f t="shared" si="3"/>
        <v>No</v>
      </c>
      <c r="M1369" s="2" t="str">
        <f>IF(K1369="","",F1369*VLOOKUP(E1369,WEIGHTS!$A$2:$F$4,2,FALSE)+G1369*VLOOKUP(E1369,WEIGHTS!$A$2:$F$4,3,FALSE)+H1369*VLOOKUP(E1369,WEIGHTS!$A$2:$F$4,4,FALSE)+I1369*VLOOKUP(E1369,WEIGHTS!$A$2:$F$4,5,FALSE)+J1369*VLOOKUP(E1369,WEIGHTS!$A$2:$F$4,6,FALSE))</f>
        <v/>
      </c>
      <c r="N1369" s="2" t="str">
        <f t="shared" si="4"/>
        <v/>
      </c>
    </row>
    <row r="1370" ht="15.75" customHeight="1">
      <c r="A1370" s="3"/>
      <c r="B1370" s="2" t="str">
        <f t="shared" si="1"/>
        <v/>
      </c>
      <c r="E1370" s="2"/>
      <c r="F1370" s="2"/>
      <c r="G1370" s="2"/>
      <c r="H1370" s="2"/>
      <c r="I1370" s="2"/>
      <c r="J1370" s="2"/>
      <c r="K1370" s="2" t="str">
        <f t="shared" si="2"/>
        <v/>
      </c>
      <c r="L1370" s="2" t="str">
        <f t="shared" si="3"/>
        <v>No</v>
      </c>
      <c r="M1370" s="2" t="str">
        <f>IF(K1370="","",F1370*VLOOKUP(E1370,WEIGHTS!$A$2:$F$4,2,FALSE)+G1370*VLOOKUP(E1370,WEIGHTS!$A$2:$F$4,3,FALSE)+H1370*VLOOKUP(E1370,WEIGHTS!$A$2:$F$4,4,FALSE)+I1370*VLOOKUP(E1370,WEIGHTS!$A$2:$F$4,5,FALSE)+J1370*VLOOKUP(E1370,WEIGHTS!$A$2:$F$4,6,FALSE))</f>
        <v/>
      </c>
      <c r="N1370" s="2" t="str">
        <f t="shared" si="4"/>
        <v/>
      </c>
    </row>
    <row r="1371" ht="15.75" customHeight="1">
      <c r="A1371" s="3"/>
      <c r="B1371" s="2" t="str">
        <f t="shared" si="1"/>
        <v/>
      </c>
      <c r="E1371" s="2"/>
      <c r="F1371" s="2"/>
      <c r="G1371" s="2"/>
      <c r="H1371" s="2"/>
      <c r="I1371" s="2"/>
      <c r="J1371" s="2"/>
      <c r="K1371" s="2" t="str">
        <f t="shared" si="2"/>
        <v/>
      </c>
      <c r="L1371" s="2" t="str">
        <f t="shared" si="3"/>
        <v>No</v>
      </c>
      <c r="M1371" s="2" t="str">
        <f>IF(K1371="","",F1371*VLOOKUP(E1371,WEIGHTS!$A$2:$F$4,2,FALSE)+G1371*VLOOKUP(E1371,WEIGHTS!$A$2:$F$4,3,FALSE)+H1371*VLOOKUP(E1371,WEIGHTS!$A$2:$F$4,4,FALSE)+I1371*VLOOKUP(E1371,WEIGHTS!$A$2:$F$4,5,FALSE)+J1371*VLOOKUP(E1371,WEIGHTS!$A$2:$F$4,6,FALSE))</f>
        <v/>
      </c>
      <c r="N1371" s="2" t="str">
        <f t="shared" si="4"/>
        <v/>
      </c>
    </row>
    <row r="1372" ht="15.75" customHeight="1">
      <c r="A1372" s="3"/>
      <c r="B1372" s="2" t="str">
        <f t="shared" si="1"/>
        <v/>
      </c>
      <c r="E1372" s="2"/>
      <c r="F1372" s="2"/>
      <c r="G1372" s="2"/>
      <c r="H1372" s="2"/>
      <c r="I1372" s="2"/>
      <c r="J1372" s="2"/>
      <c r="K1372" s="2" t="str">
        <f t="shared" si="2"/>
        <v/>
      </c>
      <c r="L1372" s="2" t="str">
        <f t="shared" si="3"/>
        <v>No</v>
      </c>
      <c r="M1372" s="2" t="str">
        <f>IF(K1372="","",F1372*VLOOKUP(E1372,WEIGHTS!$A$2:$F$4,2,FALSE)+G1372*VLOOKUP(E1372,WEIGHTS!$A$2:$F$4,3,FALSE)+H1372*VLOOKUP(E1372,WEIGHTS!$A$2:$F$4,4,FALSE)+I1372*VLOOKUP(E1372,WEIGHTS!$A$2:$F$4,5,FALSE)+J1372*VLOOKUP(E1372,WEIGHTS!$A$2:$F$4,6,FALSE))</f>
        <v/>
      </c>
      <c r="N1372" s="2" t="str">
        <f t="shared" si="4"/>
        <v/>
      </c>
    </row>
    <row r="1373" ht="15.75" customHeight="1">
      <c r="A1373" s="3"/>
      <c r="B1373" s="2" t="str">
        <f t="shared" si="1"/>
        <v/>
      </c>
      <c r="E1373" s="2"/>
      <c r="F1373" s="2"/>
      <c r="G1373" s="2"/>
      <c r="H1373" s="2"/>
      <c r="I1373" s="2"/>
      <c r="J1373" s="2"/>
      <c r="K1373" s="2" t="str">
        <f t="shared" si="2"/>
        <v/>
      </c>
      <c r="L1373" s="2" t="str">
        <f t="shared" si="3"/>
        <v>No</v>
      </c>
      <c r="M1373" s="2" t="str">
        <f>IF(K1373="","",F1373*VLOOKUP(E1373,WEIGHTS!$A$2:$F$4,2,FALSE)+G1373*VLOOKUP(E1373,WEIGHTS!$A$2:$F$4,3,FALSE)+H1373*VLOOKUP(E1373,WEIGHTS!$A$2:$F$4,4,FALSE)+I1373*VLOOKUP(E1373,WEIGHTS!$A$2:$F$4,5,FALSE)+J1373*VLOOKUP(E1373,WEIGHTS!$A$2:$F$4,6,FALSE))</f>
        <v/>
      </c>
      <c r="N1373" s="2" t="str">
        <f t="shared" si="4"/>
        <v/>
      </c>
    </row>
    <row r="1374" ht="15.75" customHeight="1">
      <c r="A1374" s="3"/>
      <c r="B1374" s="2" t="str">
        <f t="shared" si="1"/>
        <v/>
      </c>
      <c r="E1374" s="2"/>
      <c r="F1374" s="2"/>
      <c r="G1374" s="2"/>
      <c r="H1374" s="2"/>
      <c r="I1374" s="2"/>
      <c r="J1374" s="2"/>
      <c r="K1374" s="2" t="str">
        <f t="shared" si="2"/>
        <v/>
      </c>
      <c r="L1374" s="2" t="str">
        <f t="shared" si="3"/>
        <v>No</v>
      </c>
      <c r="M1374" s="2" t="str">
        <f>IF(K1374="","",F1374*VLOOKUP(E1374,WEIGHTS!$A$2:$F$4,2,FALSE)+G1374*VLOOKUP(E1374,WEIGHTS!$A$2:$F$4,3,FALSE)+H1374*VLOOKUP(E1374,WEIGHTS!$A$2:$F$4,4,FALSE)+I1374*VLOOKUP(E1374,WEIGHTS!$A$2:$F$4,5,FALSE)+J1374*VLOOKUP(E1374,WEIGHTS!$A$2:$F$4,6,FALSE))</f>
        <v/>
      </c>
      <c r="N1374" s="2" t="str">
        <f t="shared" si="4"/>
        <v/>
      </c>
    </row>
    <row r="1375" ht="15.75" customHeight="1">
      <c r="A1375" s="3"/>
      <c r="B1375" s="2" t="str">
        <f t="shared" si="1"/>
        <v/>
      </c>
      <c r="E1375" s="2"/>
      <c r="F1375" s="2"/>
      <c r="G1375" s="2"/>
      <c r="H1375" s="2"/>
      <c r="I1375" s="2"/>
      <c r="J1375" s="2"/>
      <c r="K1375" s="2" t="str">
        <f t="shared" si="2"/>
        <v/>
      </c>
      <c r="L1375" s="2" t="str">
        <f t="shared" si="3"/>
        <v>No</v>
      </c>
      <c r="M1375" s="2" t="str">
        <f>IF(K1375="","",F1375*VLOOKUP(E1375,WEIGHTS!$A$2:$F$4,2,FALSE)+G1375*VLOOKUP(E1375,WEIGHTS!$A$2:$F$4,3,FALSE)+H1375*VLOOKUP(E1375,WEIGHTS!$A$2:$F$4,4,FALSE)+I1375*VLOOKUP(E1375,WEIGHTS!$A$2:$F$4,5,FALSE)+J1375*VLOOKUP(E1375,WEIGHTS!$A$2:$F$4,6,FALSE))</f>
        <v/>
      </c>
      <c r="N1375" s="2" t="str">
        <f t="shared" si="4"/>
        <v/>
      </c>
    </row>
    <row r="1376" ht="15.75" customHeight="1">
      <c r="A1376" s="3"/>
      <c r="B1376" s="2" t="str">
        <f t="shared" si="1"/>
        <v/>
      </c>
      <c r="E1376" s="2"/>
      <c r="F1376" s="2"/>
      <c r="G1376" s="2"/>
      <c r="H1376" s="2"/>
      <c r="I1376" s="2"/>
      <c r="J1376" s="2"/>
      <c r="K1376" s="2" t="str">
        <f t="shared" si="2"/>
        <v/>
      </c>
      <c r="L1376" s="2" t="str">
        <f t="shared" si="3"/>
        <v>No</v>
      </c>
      <c r="M1376" s="2" t="str">
        <f>IF(K1376="","",F1376*VLOOKUP(E1376,WEIGHTS!$A$2:$F$4,2,FALSE)+G1376*VLOOKUP(E1376,WEIGHTS!$A$2:$F$4,3,FALSE)+H1376*VLOOKUP(E1376,WEIGHTS!$A$2:$F$4,4,FALSE)+I1376*VLOOKUP(E1376,WEIGHTS!$A$2:$F$4,5,FALSE)+J1376*VLOOKUP(E1376,WEIGHTS!$A$2:$F$4,6,FALSE))</f>
        <v/>
      </c>
      <c r="N1376" s="2" t="str">
        <f t="shared" si="4"/>
        <v/>
      </c>
    </row>
    <row r="1377" ht="15.75" customHeight="1">
      <c r="A1377" s="3"/>
      <c r="B1377" s="2" t="str">
        <f t="shared" si="1"/>
        <v/>
      </c>
      <c r="E1377" s="2"/>
      <c r="F1377" s="2"/>
      <c r="G1377" s="2"/>
      <c r="H1377" s="2"/>
      <c r="I1377" s="2"/>
      <c r="J1377" s="2"/>
      <c r="K1377" s="2" t="str">
        <f t="shared" si="2"/>
        <v/>
      </c>
      <c r="L1377" s="2" t="str">
        <f t="shared" si="3"/>
        <v>No</v>
      </c>
      <c r="M1377" s="2" t="str">
        <f>IF(K1377="","",F1377*VLOOKUP(E1377,WEIGHTS!$A$2:$F$4,2,FALSE)+G1377*VLOOKUP(E1377,WEIGHTS!$A$2:$F$4,3,FALSE)+H1377*VLOOKUP(E1377,WEIGHTS!$A$2:$F$4,4,FALSE)+I1377*VLOOKUP(E1377,WEIGHTS!$A$2:$F$4,5,FALSE)+J1377*VLOOKUP(E1377,WEIGHTS!$A$2:$F$4,6,FALSE))</f>
        <v/>
      </c>
      <c r="N1377" s="2" t="str">
        <f t="shared" si="4"/>
        <v/>
      </c>
    </row>
    <row r="1378" ht="15.75" customHeight="1">
      <c r="A1378" s="3"/>
      <c r="B1378" s="2" t="str">
        <f t="shared" si="1"/>
        <v/>
      </c>
      <c r="E1378" s="2"/>
      <c r="F1378" s="2"/>
      <c r="G1378" s="2"/>
      <c r="H1378" s="2"/>
      <c r="I1378" s="2"/>
      <c r="J1378" s="2"/>
      <c r="K1378" s="2" t="str">
        <f t="shared" si="2"/>
        <v/>
      </c>
      <c r="L1378" s="2" t="str">
        <f t="shared" si="3"/>
        <v>No</v>
      </c>
      <c r="M1378" s="2" t="str">
        <f>IF(K1378="","",F1378*VLOOKUP(E1378,WEIGHTS!$A$2:$F$4,2,FALSE)+G1378*VLOOKUP(E1378,WEIGHTS!$A$2:$F$4,3,FALSE)+H1378*VLOOKUP(E1378,WEIGHTS!$A$2:$F$4,4,FALSE)+I1378*VLOOKUP(E1378,WEIGHTS!$A$2:$F$4,5,FALSE)+J1378*VLOOKUP(E1378,WEIGHTS!$A$2:$F$4,6,FALSE))</f>
        <v/>
      </c>
      <c r="N1378" s="2" t="str">
        <f t="shared" si="4"/>
        <v/>
      </c>
    </row>
    <row r="1379" ht="15.75" customHeight="1">
      <c r="A1379" s="3"/>
      <c r="B1379" s="2" t="str">
        <f t="shared" si="1"/>
        <v/>
      </c>
      <c r="E1379" s="2"/>
      <c r="F1379" s="2"/>
      <c r="G1379" s="2"/>
      <c r="H1379" s="2"/>
      <c r="I1379" s="2"/>
      <c r="J1379" s="2"/>
      <c r="K1379" s="2" t="str">
        <f t="shared" si="2"/>
        <v/>
      </c>
      <c r="L1379" s="2" t="str">
        <f t="shared" si="3"/>
        <v>No</v>
      </c>
      <c r="M1379" s="2" t="str">
        <f>IF(K1379="","",F1379*VLOOKUP(E1379,WEIGHTS!$A$2:$F$4,2,FALSE)+G1379*VLOOKUP(E1379,WEIGHTS!$A$2:$F$4,3,FALSE)+H1379*VLOOKUP(E1379,WEIGHTS!$A$2:$F$4,4,FALSE)+I1379*VLOOKUP(E1379,WEIGHTS!$A$2:$F$4,5,FALSE)+J1379*VLOOKUP(E1379,WEIGHTS!$A$2:$F$4,6,FALSE))</f>
        <v/>
      </c>
      <c r="N1379" s="2" t="str">
        <f t="shared" si="4"/>
        <v/>
      </c>
    </row>
    <row r="1380" ht="15.75" customHeight="1">
      <c r="A1380" s="3"/>
      <c r="B1380" s="2" t="str">
        <f t="shared" si="1"/>
        <v/>
      </c>
      <c r="E1380" s="2"/>
      <c r="F1380" s="2"/>
      <c r="G1380" s="2"/>
      <c r="H1380" s="2"/>
      <c r="I1380" s="2"/>
      <c r="J1380" s="2"/>
      <c r="K1380" s="2" t="str">
        <f t="shared" si="2"/>
        <v/>
      </c>
      <c r="L1380" s="2" t="str">
        <f t="shared" si="3"/>
        <v>No</v>
      </c>
      <c r="M1380" s="2" t="str">
        <f>IF(K1380="","",F1380*VLOOKUP(E1380,WEIGHTS!$A$2:$F$4,2,FALSE)+G1380*VLOOKUP(E1380,WEIGHTS!$A$2:$F$4,3,FALSE)+H1380*VLOOKUP(E1380,WEIGHTS!$A$2:$F$4,4,FALSE)+I1380*VLOOKUP(E1380,WEIGHTS!$A$2:$F$4,5,FALSE)+J1380*VLOOKUP(E1380,WEIGHTS!$A$2:$F$4,6,FALSE))</f>
        <v/>
      </c>
      <c r="N1380" s="2" t="str">
        <f t="shared" si="4"/>
        <v/>
      </c>
    </row>
    <row r="1381" ht="15.75" customHeight="1">
      <c r="A1381" s="3"/>
      <c r="B1381" s="2" t="str">
        <f t="shared" si="1"/>
        <v/>
      </c>
      <c r="E1381" s="2"/>
      <c r="F1381" s="2"/>
      <c r="G1381" s="2"/>
      <c r="H1381" s="2"/>
      <c r="I1381" s="2"/>
      <c r="J1381" s="2"/>
      <c r="K1381" s="2" t="str">
        <f t="shared" si="2"/>
        <v/>
      </c>
      <c r="L1381" s="2" t="str">
        <f t="shared" si="3"/>
        <v>No</v>
      </c>
      <c r="M1381" s="2" t="str">
        <f>IF(K1381="","",F1381*VLOOKUP(E1381,WEIGHTS!$A$2:$F$4,2,FALSE)+G1381*VLOOKUP(E1381,WEIGHTS!$A$2:$F$4,3,FALSE)+H1381*VLOOKUP(E1381,WEIGHTS!$A$2:$F$4,4,FALSE)+I1381*VLOOKUP(E1381,WEIGHTS!$A$2:$F$4,5,FALSE)+J1381*VLOOKUP(E1381,WEIGHTS!$A$2:$F$4,6,FALSE))</f>
        <v/>
      </c>
      <c r="N1381" s="2" t="str">
        <f t="shared" si="4"/>
        <v/>
      </c>
    </row>
    <row r="1382" ht="15.75" customHeight="1">
      <c r="A1382" s="3"/>
      <c r="B1382" s="2" t="str">
        <f t="shared" si="1"/>
        <v/>
      </c>
      <c r="E1382" s="2"/>
      <c r="F1382" s="2"/>
      <c r="G1382" s="2"/>
      <c r="H1382" s="2"/>
      <c r="I1382" s="2"/>
      <c r="J1382" s="2"/>
      <c r="K1382" s="2" t="str">
        <f t="shared" si="2"/>
        <v/>
      </c>
      <c r="L1382" s="2" t="str">
        <f t="shared" si="3"/>
        <v>No</v>
      </c>
      <c r="M1382" s="2" t="str">
        <f>IF(K1382="","",F1382*VLOOKUP(E1382,WEIGHTS!$A$2:$F$4,2,FALSE)+G1382*VLOOKUP(E1382,WEIGHTS!$A$2:$F$4,3,FALSE)+H1382*VLOOKUP(E1382,WEIGHTS!$A$2:$F$4,4,FALSE)+I1382*VLOOKUP(E1382,WEIGHTS!$A$2:$F$4,5,FALSE)+J1382*VLOOKUP(E1382,WEIGHTS!$A$2:$F$4,6,FALSE))</f>
        <v/>
      </c>
      <c r="N1382" s="2" t="str">
        <f t="shared" si="4"/>
        <v/>
      </c>
    </row>
    <row r="1383" ht="15.75" customHeight="1">
      <c r="A1383" s="3"/>
      <c r="B1383" s="2" t="str">
        <f t="shared" si="1"/>
        <v/>
      </c>
      <c r="E1383" s="2"/>
      <c r="F1383" s="2"/>
      <c r="G1383" s="2"/>
      <c r="H1383" s="2"/>
      <c r="I1383" s="2"/>
      <c r="J1383" s="2"/>
      <c r="K1383" s="2" t="str">
        <f t="shared" si="2"/>
        <v/>
      </c>
      <c r="L1383" s="2" t="str">
        <f t="shared" si="3"/>
        <v>No</v>
      </c>
      <c r="M1383" s="2" t="str">
        <f>IF(K1383="","",F1383*VLOOKUP(E1383,WEIGHTS!$A$2:$F$4,2,FALSE)+G1383*VLOOKUP(E1383,WEIGHTS!$A$2:$F$4,3,FALSE)+H1383*VLOOKUP(E1383,WEIGHTS!$A$2:$F$4,4,FALSE)+I1383*VLOOKUP(E1383,WEIGHTS!$A$2:$F$4,5,FALSE)+J1383*VLOOKUP(E1383,WEIGHTS!$A$2:$F$4,6,FALSE))</f>
        <v/>
      </c>
      <c r="N1383" s="2" t="str">
        <f t="shared" si="4"/>
        <v/>
      </c>
    </row>
    <row r="1384" ht="15.75" customHeight="1">
      <c r="A1384" s="3"/>
      <c r="B1384" s="2" t="str">
        <f t="shared" si="1"/>
        <v/>
      </c>
      <c r="E1384" s="2"/>
      <c r="F1384" s="2"/>
      <c r="G1384" s="2"/>
      <c r="H1384" s="2"/>
      <c r="I1384" s="2"/>
      <c r="J1384" s="2"/>
      <c r="K1384" s="2" t="str">
        <f t="shared" si="2"/>
        <v/>
      </c>
      <c r="L1384" s="2" t="str">
        <f t="shared" si="3"/>
        <v>No</v>
      </c>
      <c r="M1384" s="2" t="str">
        <f>IF(K1384="","",F1384*VLOOKUP(E1384,WEIGHTS!$A$2:$F$4,2,FALSE)+G1384*VLOOKUP(E1384,WEIGHTS!$A$2:$F$4,3,FALSE)+H1384*VLOOKUP(E1384,WEIGHTS!$A$2:$F$4,4,FALSE)+I1384*VLOOKUP(E1384,WEIGHTS!$A$2:$F$4,5,FALSE)+J1384*VLOOKUP(E1384,WEIGHTS!$A$2:$F$4,6,FALSE))</f>
        <v/>
      </c>
      <c r="N1384" s="2" t="str">
        <f t="shared" si="4"/>
        <v/>
      </c>
    </row>
    <row r="1385" ht="15.75" customHeight="1">
      <c r="A1385" s="3"/>
      <c r="B1385" s="2" t="str">
        <f t="shared" si="1"/>
        <v/>
      </c>
      <c r="E1385" s="2"/>
      <c r="F1385" s="2"/>
      <c r="G1385" s="2"/>
      <c r="H1385" s="2"/>
      <c r="I1385" s="2"/>
      <c r="J1385" s="2"/>
      <c r="K1385" s="2" t="str">
        <f t="shared" si="2"/>
        <v/>
      </c>
      <c r="L1385" s="2" t="str">
        <f t="shared" si="3"/>
        <v>No</v>
      </c>
      <c r="M1385" s="2" t="str">
        <f>IF(K1385="","",F1385*VLOOKUP(E1385,WEIGHTS!$A$2:$F$4,2,FALSE)+G1385*VLOOKUP(E1385,WEIGHTS!$A$2:$F$4,3,FALSE)+H1385*VLOOKUP(E1385,WEIGHTS!$A$2:$F$4,4,FALSE)+I1385*VLOOKUP(E1385,WEIGHTS!$A$2:$F$4,5,FALSE)+J1385*VLOOKUP(E1385,WEIGHTS!$A$2:$F$4,6,FALSE))</f>
        <v/>
      </c>
      <c r="N1385" s="2" t="str">
        <f t="shared" si="4"/>
        <v/>
      </c>
    </row>
    <row r="1386" ht="15.75" customHeight="1">
      <c r="A1386" s="3"/>
      <c r="B1386" s="2" t="str">
        <f t="shared" si="1"/>
        <v/>
      </c>
      <c r="E1386" s="2"/>
      <c r="F1386" s="2"/>
      <c r="G1386" s="2"/>
      <c r="H1386" s="2"/>
      <c r="I1386" s="2"/>
      <c r="J1386" s="2"/>
      <c r="K1386" s="2" t="str">
        <f t="shared" si="2"/>
        <v/>
      </c>
      <c r="L1386" s="2" t="str">
        <f t="shared" si="3"/>
        <v>No</v>
      </c>
      <c r="M1386" s="2" t="str">
        <f>IF(K1386="","",F1386*VLOOKUP(E1386,WEIGHTS!$A$2:$F$4,2,FALSE)+G1386*VLOOKUP(E1386,WEIGHTS!$A$2:$F$4,3,FALSE)+H1386*VLOOKUP(E1386,WEIGHTS!$A$2:$F$4,4,FALSE)+I1386*VLOOKUP(E1386,WEIGHTS!$A$2:$F$4,5,FALSE)+J1386*VLOOKUP(E1386,WEIGHTS!$A$2:$F$4,6,FALSE))</f>
        <v/>
      </c>
      <c r="N1386" s="2" t="str">
        <f t="shared" si="4"/>
        <v/>
      </c>
    </row>
    <row r="1387" ht="15.75" customHeight="1">
      <c r="A1387" s="3"/>
      <c r="B1387" s="2" t="str">
        <f t="shared" si="1"/>
        <v/>
      </c>
      <c r="E1387" s="2"/>
      <c r="F1387" s="2"/>
      <c r="G1387" s="2"/>
      <c r="H1387" s="2"/>
      <c r="I1387" s="2"/>
      <c r="J1387" s="2"/>
      <c r="K1387" s="2" t="str">
        <f t="shared" si="2"/>
        <v/>
      </c>
      <c r="L1387" s="2" t="str">
        <f t="shared" si="3"/>
        <v>No</v>
      </c>
      <c r="M1387" s="2" t="str">
        <f>IF(K1387="","",F1387*VLOOKUP(E1387,WEIGHTS!$A$2:$F$4,2,FALSE)+G1387*VLOOKUP(E1387,WEIGHTS!$A$2:$F$4,3,FALSE)+H1387*VLOOKUP(E1387,WEIGHTS!$A$2:$F$4,4,FALSE)+I1387*VLOOKUP(E1387,WEIGHTS!$A$2:$F$4,5,FALSE)+J1387*VLOOKUP(E1387,WEIGHTS!$A$2:$F$4,6,FALSE))</f>
        <v/>
      </c>
      <c r="N1387" s="2" t="str">
        <f t="shared" si="4"/>
        <v/>
      </c>
    </row>
    <row r="1388" ht="15.75" customHeight="1">
      <c r="A1388" s="3"/>
      <c r="B1388" s="2" t="str">
        <f t="shared" si="1"/>
        <v/>
      </c>
      <c r="E1388" s="2"/>
      <c r="F1388" s="2"/>
      <c r="G1388" s="2"/>
      <c r="H1388" s="2"/>
      <c r="I1388" s="2"/>
      <c r="J1388" s="2"/>
      <c r="K1388" s="2" t="str">
        <f t="shared" si="2"/>
        <v/>
      </c>
      <c r="L1388" s="2" t="str">
        <f t="shared" si="3"/>
        <v>No</v>
      </c>
      <c r="M1388" s="2" t="str">
        <f>IF(K1388="","",F1388*VLOOKUP(E1388,WEIGHTS!$A$2:$F$4,2,FALSE)+G1388*VLOOKUP(E1388,WEIGHTS!$A$2:$F$4,3,FALSE)+H1388*VLOOKUP(E1388,WEIGHTS!$A$2:$F$4,4,FALSE)+I1388*VLOOKUP(E1388,WEIGHTS!$A$2:$F$4,5,FALSE)+J1388*VLOOKUP(E1388,WEIGHTS!$A$2:$F$4,6,FALSE))</f>
        <v/>
      </c>
      <c r="N1388" s="2" t="str">
        <f t="shared" si="4"/>
        <v/>
      </c>
    </row>
    <row r="1389" ht="15.75" customHeight="1">
      <c r="A1389" s="3"/>
      <c r="B1389" s="2" t="str">
        <f t="shared" si="1"/>
        <v/>
      </c>
      <c r="E1389" s="2"/>
      <c r="F1389" s="2"/>
      <c r="G1389" s="2"/>
      <c r="H1389" s="2"/>
      <c r="I1389" s="2"/>
      <c r="J1389" s="2"/>
      <c r="K1389" s="2" t="str">
        <f t="shared" si="2"/>
        <v/>
      </c>
      <c r="L1389" s="2" t="str">
        <f t="shared" si="3"/>
        <v>No</v>
      </c>
      <c r="M1389" s="2" t="str">
        <f>IF(K1389="","",F1389*VLOOKUP(E1389,WEIGHTS!$A$2:$F$4,2,FALSE)+G1389*VLOOKUP(E1389,WEIGHTS!$A$2:$F$4,3,FALSE)+H1389*VLOOKUP(E1389,WEIGHTS!$A$2:$F$4,4,FALSE)+I1389*VLOOKUP(E1389,WEIGHTS!$A$2:$F$4,5,FALSE)+J1389*VLOOKUP(E1389,WEIGHTS!$A$2:$F$4,6,FALSE))</f>
        <v/>
      </c>
      <c r="N1389" s="2" t="str">
        <f t="shared" si="4"/>
        <v/>
      </c>
    </row>
    <row r="1390" ht="15.75" customHeight="1">
      <c r="A1390" s="3"/>
      <c r="B1390" s="2" t="str">
        <f t="shared" si="1"/>
        <v/>
      </c>
      <c r="E1390" s="2"/>
      <c r="F1390" s="2"/>
      <c r="G1390" s="2"/>
      <c r="H1390" s="2"/>
      <c r="I1390" s="2"/>
      <c r="J1390" s="2"/>
      <c r="K1390" s="2" t="str">
        <f t="shared" si="2"/>
        <v/>
      </c>
      <c r="L1390" s="2" t="str">
        <f t="shared" si="3"/>
        <v>No</v>
      </c>
      <c r="M1390" s="2" t="str">
        <f>IF(K1390="","",F1390*VLOOKUP(E1390,WEIGHTS!$A$2:$F$4,2,FALSE)+G1390*VLOOKUP(E1390,WEIGHTS!$A$2:$F$4,3,FALSE)+H1390*VLOOKUP(E1390,WEIGHTS!$A$2:$F$4,4,FALSE)+I1390*VLOOKUP(E1390,WEIGHTS!$A$2:$F$4,5,FALSE)+J1390*VLOOKUP(E1390,WEIGHTS!$A$2:$F$4,6,FALSE))</f>
        <v/>
      </c>
      <c r="N1390" s="2" t="str">
        <f t="shared" si="4"/>
        <v/>
      </c>
    </row>
    <row r="1391" ht="15.75" customHeight="1">
      <c r="A1391" s="3"/>
      <c r="B1391" s="2" t="str">
        <f t="shared" si="1"/>
        <v/>
      </c>
      <c r="E1391" s="2"/>
      <c r="F1391" s="2"/>
      <c r="G1391" s="2"/>
      <c r="H1391" s="2"/>
      <c r="I1391" s="2"/>
      <c r="J1391" s="2"/>
      <c r="K1391" s="2" t="str">
        <f t="shared" si="2"/>
        <v/>
      </c>
      <c r="L1391" s="2" t="str">
        <f t="shared" si="3"/>
        <v>No</v>
      </c>
      <c r="M1391" s="2" t="str">
        <f>IF(K1391="","",F1391*VLOOKUP(E1391,WEIGHTS!$A$2:$F$4,2,FALSE)+G1391*VLOOKUP(E1391,WEIGHTS!$A$2:$F$4,3,FALSE)+H1391*VLOOKUP(E1391,WEIGHTS!$A$2:$F$4,4,FALSE)+I1391*VLOOKUP(E1391,WEIGHTS!$A$2:$F$4,5,FALSE)+J1391*VLOOKUP(E1391,WEIGHTS!$A$2:$F$4,6,FALSE))</f>
        <v/>
      </c>
      <c r="N1391" s="2" t="str">
        <f t="shared" si="4"/>
        <v/>
      </c>
    </row>
    <row r="1392" ht="15.75" customHeight="1">
      <c r="A1392" s="3"/>
      <c r="B1392" s="2" t="str">
        <f t="shared" si="1"/>
        <v/>
      </c>
      <c r="E1392" s="2"/>
      <c r="F1392" s="2"/>
      <c r="G1392" s="2"/>
      <c r="H1392" s="2"/>
      <c r="I1392" s="2"/>
      <c r="J1392" s="2"/>
      <c r="K1392" s="2" t="str">
        <f t="shared" si="2"/>
        <v/>
      </c>
      <c r="L1392" s="2" t="str">
        <f t="shared" si="3"/>
        <v>No</v>
      </c>
      <c r="M1392" s="2" t="str">
        <f>IF(K1392="","",F1392*VLOOKUP(E1392,WEIGHTS!$A$2:$F$4,2,FALSE)+G1392*VLOOKUP(E1392,WEIGHTS!$A$2:$F$4,3,FALSE)+H1392*VLOOKUP(E1392,WEIGHTS!$A$2:$F$4,4,FALSE)+I1392*VLOOKUP(E1392,WEIGHTS!$A$2:$F$4,5,FALSE)+J1392*VLOOKUP(E1392,WEIGHTS!$A$2:$F$4,6,FALSE))</f>
        <v/>
      </c>
      <c r="N1392" s="2" t="str">
        <f t="shared" si="4"/>
        <v/>
      </c>
    </row>
    <row r="1393" ht="15.75" customHeight="1">
      <c r="A1393" s="3"/>
      <c r="B1393" s="2" t="str">
        <f t="shared" si="1"/>
        <v/>
      </c>
      <c r="E1393" s="2"/>
      <c r="F1393" s="2"/>
      <c r="G1393" s="2"/>
      <c r="H1393" s="2"/>
      <c r="I1393" s="2"/>
      <c r="J1393" s="2"/>
      <c r="K1393" s="2" t="str">
        <f t="shared" si="2"/>
        <v/>
      </c>
      <c r="L1393" s="2" t="str">
        <f t="shared" si="3"/>
        <v>No</v>
      </c>
      <c r="M1393" s="2" t="str">
        <f>IF(K1393="","",F1393*VLOOKUP(E1393,WEIGHTS!$A$2:$F$4,2,FALSE)+G1393*VLOOKUP(E1393,WEIGHTS!$A$2:$F$4,3,FALSE)+H1393*VLOOKUP(E1393,WEIGHTS!$A$2:$F$4,4,FALSE)+I1393*VLOOKUP(E1393,WEIGHTS!$A$2:$F$4,5,FALSE)+J1393*VLOOKUP(E1393,WEIGHTS!$A$2:$F$4,6,FALSE))</f>
        <v/>
      </c>
      <c r="N1393" s="2" t="str">
        <f t="shared" si="4"/>
        <v/>
      </c>
    </row>
    <row r="1394" ht="15.75" customHeight="1">
      <c r="A1394" s="3"/>
      <c r="B1394" s="2" t="str">
        <f t="shared" si="1"/>
        <v/>
      </c>
      <c r="E1394" s="2"/>
      <c r="F1394" s="2"/>
      <c r="G1394" s="2"/>
      <c r="H1394" s="2"/>
      <c r="I1394" s="2"/>
      <c r="J1394" s="2"/>
      <c r="K1394" s="2" t="str">
        <f t="shared" si="2"/>
        <v/>
      </c>
      <c r="L1394" s="2" t="str">
        <f t="shared" si="3"/>
        <v>No</v>
      </c>
      <c r="M1394" s="2" t="str">
        <f>IF(K1394="","",F1394*VLOOKUP(E1394,WEIGHTS!$A$2:$F$4,2,FALSE)+G1394*VLOOKUP(E1394,WEIGHTS!$A$2:$F$4,3,FALSE)+H1394*VLOOKUP(E1394,WEIGHTS!$A$2:$F$4,4,FALSE)+I1394*VLOOKUP(E1394,WEIGHTS!$A$2:$F$4,5,FALSE)+J1394*VLOOKUP(E1394,WEIGHTS!$A$2:$F$4,6,FALSE))</f>
        <v/>
      </c>
      <c r="N1394" s="2" t="str">
        <f t="shared" si="4"/>
        <v/>
      </c>
    </row>
    <row r="1395" ht="15.75" customHeight="1">
      <c r="A1395" s="3"/>
      <c r="B1395" s="2" t="str">
        <f t="shared" si="1"/>
        <v/>
      </c>
      <c r="E1395" s="2"/>
      <c r="F1395" s="2"/>
      <c r="G1395" s="2"/>
      <c r="H1395" s="2"/>
      <c r="I1395" s="2"/>
      <c r="J1395" s="2"/>
      <c r="K1395" s="2" t="str">
        <f t="shared" si="2"/>
        <v/>
      </c>
      <c r="L1395" s="2" t="str">
        <f t="shared" si="3"/>
        <v>No</v>
      </c>
      <c r="M1395" s="2" t="str">
        <f>IF(K1395="","",F1395*VLOOKUP(E1395,WEIGHTS!$A$2:$F$4,2,FALSE)+G1395*VLOOKUP(E1395,WEIGHTS!$A$2:$F$4,3,FALSE)+H1395*VLOOKUP(E1395,WEIGHTS!$A$2:$F$4,4,FALSE)+I1395*VLOOKUP(E1395,WEIGHTS!$A$2:$F$4,5,FALSE)+J1395*VLOOKUP(E1395,WEIGHTS!$A$2:$F$4,6,FALSE))</f>
        <v/>
      </c>
      <c r="N1395" s="2" t="str">
        <f t="shared" si="4"/>
        <v/>
      </c>
    </row>
    <row r="1396" ht="15.75" customHeight="1">
      <c r="A1396" s="3"/>
      <c r="B1396" s="2" t="str">
        <f t="shared" si="1"/>
        <v/>
      </c>
      <c r="E1396" s="2"/>
      <c r="F1396" s="2"/>
      <c r="G1396" s="2"/>
      <c r="H1396" s="2"/>
      <c r="I1396" s="2"/>
      <c r="J1396" s="2"/>
      <c r="K1396" s="2" t="str">
        <f t="shared" si="2"/>
        <v/>
      </c>
      <c r="L1396" s="2" t="str">
        <f t="shared" si="3"/>
        <v>No</v>
      </c>
      <c r="M1396" s="2" t="str">
        <f>IF(K1396="","",F1396*VLOOKUP(E1396,WEIGHTS!$A$2:$F$4,2,FALSE)+G1396*VLOOKUP(E1396,WEIGHTS!$A$2:$F$4,3,FALSE)+H1396*VLOOKUP(E1396,WEIGHTS!$A$2:$F$4,4,FALSE)+I1396*VLOOKUP(E1396,WEIGHTS!$A$2:$F$4,5,FALSE)+J1396*VLOOKUP(E1396,WEIGHTS!$A$2:$F$4,6,FALSE))</f>
        <v/>
      </c>
      <c r="N1396" s="2" t="str">
        <f t="shared" si="4"/>
        <v/>
      </c>
    </row>
    <row r="1397" ht="15.75" customHeight="1">
      <c r="A1397" s="3"/>
      <c r="B1397" s="2" t="str">
        <f t="shared" si="1"/>
        <v/>
      </c>
      <c r="E1397" s="2"/>
      <c r="F1397" s="2"/>
      <c r="G1397" s="2"/>
      <c r="H1397" s="2"/>
      <c r="I1397" s="2"/>
      <c r="J1397" s="2"/>
      <c r="K1397" s="2" t="str">
        <f t="shared" si="2"/>
        <v/>
      </c>
      <c r="L1397" s="2" t="str">
        <f t="shared" si="3"/>
        <v>No</v>
      </c>
      <c r="M1397" s="2" t="str">
        <f>IF(K1397="","",F1397*VLOOKUP(E1397,WEIGHTS!$A$2:$F$4,2,FALSE)+G1397*VLOOKUP(E1397,WEIGHTS!$A$2:$F$4,3,FALSE)+H1397*VLOOKUP(E1397,WEIGHTS!$A$2:$F$4,4,FALSE)+I1397*VLOOKUP(E1397,WEIGHTS!$A$2:$F$4,5,FALSE)+J1397*VLOOKUP(E1397,WEIGHTS!$A$2:$F$4,6,FALSE))</f>
        <v/>
      </c>
      <c r="N1397" s="2" t="str">
        <f t="shared" si="4"/>
        <v/>
      </c>
    </row>
    <row r="1398" ht="15.75" customHeight="1">
      <c r="A1398" s="3"/>
      <c r="B1398" s="2" t="str">
        <f t="shared" si="1"/>
        <v/>
      </c>
      <c r="E1398" s="2"/>
      <c r="F1398" s="2"/>
      <c r="G1398" s="2"/>
      <c r="H1398" s="2"/>
      <c r="I1398" s="2"/>
      <c r="J1398" s="2"/>
      <c r="K1398" s="2" t="str">
        <f t="shared" si="2"/>
        <v/>
      </c>
      <c r="L1398" s="2" t="str">
        <f t="shared" si="3"/>
        <v>No</v>
      </c>
      <c r="M1398" s="2" t="str">
        <f>IF(K1398="","",F1398*VLOOKUP(E1398,WEIGHTS!$A$2:$F$4,2,FALSE)+G1398*VLOOKUP(E1398,WEIGHTS!$A$2:$F$4,3,FALSE)+H1398*VLOOKUP(E1398,WEIGHTS!$A$2:$F$4,4,FALSE)+I1398*VLOOKUP(E1398,WEIGHTS!$A$2:$F$4,5,FALSE)+J1398*VLOOKUP(E1398,WEIGHTS!$A$2:$F$4,6,FALSE))</f>
        <v/>
      </c>
      <c r="N1398" s="2" t="str">
        <f t="shared" si="4"/>
        <v/>
      </c>
    </row>
    <row r="1399" ht="15.75" customHeight="1">
      <c r="A1399" s="3"/>
      <c r="B1399" s="2" t="str">
        <f t="shared" si="1"/>
        <v/>
      </c>
      <c r="E1399" s="2"/>
      <c r="F1399" s="2"/>
      <c r="G1399" s="2"/>
      <c r="H1399" s="2"/>
      <c r="I1399" s="2"/>
      <c r="J1399" s="2"/>
      <c r="K1399" s="2" t="str">
        <f t="shared" si="2"/>
        <v/>
      </c>
      <c r="L1399" s="2" t="str">
        <f t="shared" si="3"/>
        <v>No</v>
      </c>
      <c r="M1399" s="2" t="str">
        <f>IF(K1399="","",F1399*VLOOKUP(E1399,WEIGHTS!$A$2:$F$4,2,FALSE)+G1399*VLOOKUP(E1399,WEIGHTS!$A$2:$F$4,3,FALSE)+H1399*VLOOKUP(E1399,WEIGHTS!$A$2:$F$4,4,FALSE)+I1399*VLOOKUP(E1399,WEIGHTS!$A$2:$F$4,5,FALSE)+J1399*VLOOKUP(E1399,WEIGHTS!$A$2:$F$4,6,FALSE))</f>
        <v/>
      </c>
      <c r="N1399" s="2" t="str">
        <f t="shared" si="4"/>
        <v/>
      </c>
    </row>
    <row r="1400" ht="15.75" customHeight="1">
      <c r="A1400" s="3"/>
      <c r="B1400" s="2" t="str">
        <f t="shared" si="1"/>
        <v/>
      </c>
      <c r="E1400" s="2"/>
      <c r="F1400" s="2"/>
      <c r="G1400" s="2"/>
      <c r="H1400" s="2"/>
      <c r="I1400" s="2"/>
      <c r="J1400" s="2"/>
      <c r="K1400" s="2" t="str">
        <f t="shared" si="2"/>
        <v/>
      </c>
      <c r="L1400" s="2" t="str">
        <f t="shared" si="3"/>
        <v>No</v>
      </c>
      <c r="M1400" s="2" t="str">
        <f>IF(K1400="","",F1400*VLOOKUP(E1400,WEIGHTS!$A$2:$F$4,2,FALSE)+G1400*VLOOKUP(E1400,WEIGHTS!$A$2:$F$4,3,FALSE)+H1400*VLOOKUP(E1400,WEIGHTS!$A$2:$F$4,4,FALSE)+I1400*VLOOKUP(E1400,WEIGHTS!$A$2:$F$4,5,FALSE)+J1400*VLOOKUP(E1400,WEIGHTS!$A$2:$F$4,6,FALSE))</f>
        <v/>
      </c>
      <c r="N1400" s="2" t="str">
        <f t="shared" si="4"/>
        <v/>
      </c>
    </row>
    <row r="1401" ht="15.75" customHeight="1">
      <c r="A1401" s="3"/>
      <c r="B1401" s="2" t="str">
        <f t="shared" si="1"/>
        <v/>
      </c>
      <c r="E1401" s="2"/>
      <c r="F1401" s="2"/>
      <c r="G1401" s="2"/>
      <c r="H1401" s="2"/>
      <c r="I1401" s="2"/>
      <c r="J1401" s="2"/>
      <c r="K1401" s="2" t="str">
        <f t="shared" si="2"/>
        <v/>
      </c>
      <c r="L1401" s="2" t="str">
        <f t="shared" si="3"/>
        <v>No</v>
      </c>
      <c r="M1401" s="2" t="str">
        <f>IF(K1401="","",F1401*VLOOKUP(E1401,WEIGHTS!$A$2:$F$4,2,FALSE)+G1401*VLOOKUP(E1401,WEIGHTS!$A$2:$F$4,3,FALSE)+H1401*VLOOKUP(E1401,WEIGHTS!$A$2:$F$4,4,FALSE)+I1401*VLOOKUP(E1401,WEIGHTS!$A$2:$F$4,5,FALSE)+J1401*VLOOKUP(E1401,WEIGHTS!$A$2:$F$4,6,FALSE))</f>
        <v/>
      </c>
      <c r="N1401" s="2" t="str">
        <f t="shared" si="4"/>
        <v/>
      </c>
    </row>
    <row r="1402" ht="15.75" customHeight="1">
      <c r="A1402" s="3"/>
      <c r="B1402" s="2" t="str">
        <f t="shared" si="1"/>
        <v/>
      </c>
      <c r="E1402" s="2"/>
      <c r="F1402" s="2"/>
      <c r="G1402" s="2"/>
      <c r="H1402" s="2"/>
      <c r="I1402" s="2"/>
      <c r="J1402" s="2"/>
      <c r="K1402" s="2" t="str">
        <f t="shared" si="2"/>
        <v/>
      </c>
      <c r="L1402" s="2" t="str">
        <f t="shared" si="3"/>
        <v>No</v>
      </c>
      <c r="M1402" s="2" t="str">
        <f>IF(K1402="","",F1402*VLOOKUP(E1402,WEIGHTS!$A$2:$F$4,2,FALSE)+G1402*VLOOKUP(E1402,WEIGHTS!$A$2:$F$4,3,FALSE)+H1402*VLOOKUP(E1402,WEIGHTS!$A$2:$F$4,4,FALSE)+I1402*VLOOKUP(E1402,WEIGHTS!$A$2:$F$4,5,FALSE)+J1402*VLOOKUP(E1402,WEIGHTS!$A$2:$F$4,6,FALSE))</f>
        <v/>
      </c>
      <c r="N1402" s="2" t="str">
        <f t="shared" si="4"/>
        <v/>
      </c>
    </row>
    <row r="1403" ht="15.75" customHeight="1">
      <c r="A1403" s="3"/>
      <c r="B1403" s="2" t="str">
        <f t="shared" si="1"/>
        <v/>
      </c>
      <c r="E1403" s="2"/>
      <c r="F1403" s="2"/>
      <c r="G1403" s="2"/>
      <c r="H1403" s="2"/>
      <c r="I1403" s="2"/>
      <c r="J1403" s="2"/>
      <c r="K1403" s="2" t="str">
        <f t="shared" si="2"/>
        <v/>
      </c>
      <c r="L1403" s="2" t="str">
        <f t="shared" si="3"/>
        <v>No</v>
      </c>
      <c r="M1403" s="2" t="str">
        <f>IF(K1403="","",F1403*VLOOKUP(E1403,WEIGHTS!$A$2:$F$4,2,FALSE)+G1403*VLOOKUP(E1403,WEIGHTS!$A$2:$F$4,3,FALSE)+H1403*VLOOKUP(E1403,WEIGHTS!$A$2:$F$4,4,FALSE)+I1403*VLOOKUP(E1403,WEIGHTS!$A$2:$F$4,5,FALSE)+J1403*VLOOKUP(E1403,WEIGHTS!$A$2:$F$4,6,FALSE))</f>
        <v/>
      </c>
      <c r="N1403" s="2" t="str">
        <f t="shared" si="4"/>
        <v/>
      </c>
    </row>
    <row r="1404" ht="15.75" customHeight="1">
      <c r="A1404" s="3"/>
      <c r="B1404" s="2" t="str">
        <f t="shared" si="1"/>
        <v/>
      </c>
      <c r="E1404" s="2"/>
      <c r="F1404" s="2"/>
      <c r="G1404" s="2"/>
      <c r="H1404" s="2"/>
      <c r="I1404" s="2"/>
      <c r="J1404" s="2"/>
      <c r="K1404" s="2" t="str">
        <f t="shared" si="2"/>
        <v/>
      </c>
      <c r="L1404" s="2" t="str">
        <f t="shared" si="3"/>
        <v>No</v>
      </c>
      <c r="M1404" s="2" t="str">
        <f>IF(K1404="","",F1404*VLOOKUP(E1404,WEIGHTS!$A$2:$F$4,2,FALSE)+G1404*VLOOKUP(E1404,WEIGHTS!$A$2:$F$4,3,FALSE)+H1404*VLOOKUP(E1404,WEIGHTS!$A$2:$F$4,4,FALSE)+I1404*VLOOKUP(E1404,WEIGHTS!$A$2:$F$4,5,FALSE)+J1404*VLOOKUP(E1404,WEIGHTS!$A$2:$F$4,6,FALSE))</f>
        <v/>
      </c>
      <c r="N1404" s="2" t="str">
        <f t="shared" si="4"/>
        <v/>
      </c>
    </row>
    <row r="1405" ht="15.75" customHeight="1">
      <c r="A1405" s="3"/>
      <c r="B1405" s="2" t="str">
        <f t="shared" si="1"/>
        <v/>
      </c>
      <c r="E1405" s="2"/>
      <c r="F1405" s="2"/>
      <c r="G1405" s="2"/>
      <c r="H1405" s="2"/>
      <c r="I1405" s="2"/>
      <c r="J1405" s="2"/>
      <c r="K1405" s="2" t="str">
        <f t="shared" si="2"/>
        <v/>
      </c>
      <c r="L1405" s="2" t="str">
        <f t="shared" si="3"/>
        <v>No</v>
      </c>
      <c r="M1405" s="2" t="str">
        <f>IF(K1405="","",F1405*VLOOKUP(E1405,WEIGHTS!$A$2:$F$4,2,FALSE)+G1405*VLOOKUP(E1405,WEIGHTS!$A$2:$F$4,3,FALSE)+H1405*VLOOKUP(E1405,WEIGHTS!$A$2:$F$4,4,FALSE)+I1405*VLOOKUP(E1405,WEIGHTS!$A$2:$F$4,5,FALSE)+J1405*VLOOKUP(E1405,WEIGHTS!$A$2:$F$4,6,FALSE))</f>
        <v/>
      </c>
      <c r="N1405" s="2" t="str">
        <f t="shared" si="4"/>
        <v/>
      </c>
    </row>
    <row r="1406" ht="15.75" customHeight="1">
      <c r="A1406" s="3"/>
      <c r="B1406" s="2" t="str">
        <f t="shared" si="1"/>
        <v/>
      </c>
      <c r="E1406" s="2"/>
      <c r="F1406" s="2"/>
      <c r="G1406" s="2"/>
      <c r="H1406" s="2"/>
      <c r="I1406" s="2"/>
      <c r="J1406" s="2"/>
      <c r="K1406" s="2" t="str">
        <f t="shared" si="2"/>
        <v/>
      </c>
      <c r="L1406" s="2" t="str">
        <f t="shared" si="3"/>
        <v>No</v>
      </c>
      <c r="M1406" s="2" t="str">
        <f>IF(K1406="","",F1406*VLOOKUP(E1406,WEIGHTS!$A$2:$F$4,2,FALSE)+G1406*VLOOKUP(E1406,WEIGHTS!$A$2:$F$4,3,FALSE)+H1406*VLOOKUP(E1406,WEIGHTS!$A$2:$F$4,4,FALSE)+I1406*VLOOKUP(E1406,WEIGHTS!$A$2:$F$4,5,FALSE)+J1406*VLOOKUP(E1406,WEIGHTS!$A$2:$F$4,6,FALSE))</f>
        <v/>
      </c>
      <c r="N1406" s="2" t="str">
        <f t="shared" si="4"/>
        <v/>
      </c>
    </row>
    <row r="1407" ht="15.75" customHeight="1">
      <c r="A1407" s="3"/>
      <c r="B1407" s="2" t="str">
        <f t="shared" si="1"/>
        <v/>
      </c>
      <c r="E1407" s="2"/>
      <c r="F1407" s="2"/>
      <c r="G1407" s="2"/>
      <c r="H1407" s="2"/>
      <c r="I1407" s="2"/>
      <c r="J1407" s="2"/>
      <c r="K1407" s="2" t="str">
        <f t="shared" si="2"/>
        <v/>
      </c>
      <c r="L1407" s="2" t="str">
        <f t="shared" si="3"/>
        <v>No</v>
      </c>
      <c r="M1407" s="2" t="str">
        <f>IF(K1407="","",F1407*VLOOKUP(E1407,WEIGHTS!$A$2:$F$4,2,FALSE)+G1407*VLOOKUP(E1407,WEIGHTS!$A$2:$F$4,3,FALSE)+H1407*VLOOKUP(E1407,WEIGHTS!$A$2:$F$4,4,FALSE)+I1407*VLOOKUP(E1407,WEIGHTS!$A$2:$F$4,5,FALSE)+J1407*VLOOKUP(E1407,WEIGHTS!$A$2:$F$4,6,FALSE))</f>
        <v/>
      </c>
      <c r="N1407" s="2" t="str">
        <f t="shared" si="4"/>
        <v/>
      </c>
    </row>
    <row r="1408" ht="15.75" customHeight="1">
      <c r="A1408" s="3"/>
      <c r="B1408" s="2" t="str">
        <f t="shared" si="1"/>
        <v/>
      </c>
      <c r="E1408" s="2"/>
      <c r="F1408" s="2"/>
      <c r="G1408" s="2"/>
      <c r="H1408" s="2"/>
      <c r="I1408" s="2"/>
      <c r="J1408" s="2"/>
      <c r="K1408" s="2" t="str">
        <f t="shared" si="2"/>
        <v/>
      </c>
      <c r="L1408" s="2" t="str">
        <f t="shared" si="3"/>
        <v>No</v>
      </c>
      <c r="M1408" s="2" t="str">
        <f>IF(K1408="","",F1408*VLOOKUP(E1408,WEIGHTS!$A$2:$F$4,2,FALSE)+G1408*VLOOKUP(E1408,WEIGHTS!$A$2:$F$4,3,FALSE)+H1408*VLOOKUP(E1408,WEIGHTS!$A$2:$F$4,4,FALSE)+I1408*VLOOKUP(E1408,WEIGHTS!$A$2:$F$4,5,FALSE)+J1408*VLOOKUP(E1408,WEIGHTS!$A$2:$F$4,6,FALSE))</f>
        <v/>
      </c>
      <c r="N1408" s="2" t="str">
        <f t="shared" si="4"/>
        <v/>
      </c>
    </row>
    <row r="1409" ht="15.75" customHeight="1">
      <c r="A1409" s="3"/>
      <c r="B1409" s="2" t="str">
        <f t="shared" si="1"/>
        <v/>
      </c>
      <c r="E1409" s="2"/>
      <c r="F1409" s="2"/>
      <c r="G1409" s="2"/>
      <c r="H1409" s="2"/>
      <c r="I1409" s="2"/>
      <c r="J1409" s="2"/>
      <c r="K1409" s="2" t="str">
        <f t="shared" si="2"/>
        <v/>
      </c>
      <c r="L1409" s="2" t="str">
        <f t="shared" si="3"/>
        <v>No</v>
      </c>
      <c r="M1409" s="2" t="str">
        <f>IF(K1409="","",F1409*VLOOKUP(E1409,WEIGHTS!$A$2:$F$4,2,FALSE)+G1409*VLOOKUP(E1409,WEIGHTS!$A$2:$F$4,3,FALSE)+H1409*VLOOKUP(E1409,WEIGHTS!$A$2:$F$4,4,FALSE)+I1409*VLOOKUP(E1409,WEIGHTS!$A$2:$F$4,5,FALSE)+J1409*VLOOKUP(E1409,WEIGHTS!$A$2:$F$4,6,FALSE))</f>
        <v/>
      </c>
      <c r="N1409" s="2" t="str">
        <f t="shared" si="4"/>
        <v/>
      </c>
    </row>
    <row r="1410" ht="15.75" customHeight="1">
      <c r="A1410" s="3"/>
      <c r="B1410" s="2" t="str">
        <f t="shared" si="1"/>
        <v/>
      </c>
      <c r="E1410" s="2"/>
      <c r="F1410" s="2"/>
      <c r="G1410" s="2"/>
      <c r="H1410" s="2"/>
      <c r="I1410" s="2"/>
      <c r="J1410" s="2"/>
      <c r="K1410" s="2" t="str">
        <f t="shared" si="2"/>
        <v/>
      </c>
      <c r="L1410" s="2" t="str">
        <f t="shared" si="3"/>
        <v>No</v>
      </c>
      <c r="M1410" s="2" t="str">
        <f>IF(K1410="","",F1410*VLOOKUP(E1410,WEIGHTS!$A$2:$F$4,2,FALSE)+G1410*VLOOKUP(E1410,WEIGHTS!$A$2:$F$4,3,FALSE)+H1410*VLOOKUP(E1410,WEIGHTS!$A$2:$F$4,4,FALSE)+I1410*VLOOKUP(E1410,WEIGHTS!$A$2:$F$4,5,FALSE)+J1410*VLOOKUP(E1410,WEIGHTS!$A$2:$F$4,6,FALSE))</f>
        <v/>
      </c>
      <c r="N1410" s="2" t="str">
        <f t="shared" si="4"/>
        <v/>
      </c>
    </row>
    <row r="1411" ht="15.75" customHeight="1">
      <c r="A1411" s="3"/>
      <c r="B1411" s="2" t="str">
        <f t="shared" si="1"/>
        <v/>
      </c>
      <c r="E1411" s="2"/>
      <c r="F1411" s="2"/>
      <c r="G1411" s="2"/>
      <c r="H1411" s="2"/>
      <c r="I1411" s="2"/>
      <c r="J1411" s="2"/>
      <c r="K1411" s="2" t="str">
        <f t="shared" si="2"/>
        <v/>
      </c>
      <c r="L1411" s="2" t="str">
        <f t="shared" si="3"/>
        <v>No</v>
      </c>
      <c r="M1411" s="2" t="str">
        <f>IF(K1411="","",F1411*VLOOKUP(E1411,WEIGHTS!$A$2:$F$4,2,FALSE)+G1411*VLOOKUP(E1411,WEIGHTS!$A$2:$F$4,3,FALSE)+H1411*VLOOKUP(E1411,WEIGHTS!$A$2:$F$4,4,FALSE)+I1411*VLOOKUP(E1411,WEIGHTS!$A$2:$F$4,5,FALSE)+J1411*VLOOKUP(E1411,WEIGHTS!$A$2:$F$4,6,FALSE))</f>
        <v/>
      </c>
      <c r="N1411" s="2" t="str">
        <f t="shared" si="4"/>
        <v/>
      </c>
    </row>
    <row r="1412" ht="15.75" customHeight="1">
      <c r="A1412" s="3"/>
      <c r="B1412" s="2" t="str">
        <f t="shared" si="1"/>
        <v/>
      </c>
      <c r="E1412" s="2"/>
      <c r="F1412" s="2"/>
      <c r="G1412" s="2"/>
      <c r="H1412" s="2"/>
      <c r="I1412" s="2"/>
      <c r="J1412" s="2"/>
      <c r="K1412" s="2" t="str">
        <f t="shared" si="2"/>
        <v/>
      </c>
      <c r="L1412" s="2" t="str">
        <f t="shared" si="3"/>
        <v>No</v>
      </c>
      <c r="M1412" s="2" t="str">
        <f>IF(K1412="","",F1412*VLOOKUP(E1412,WEIGHTS!$A$2:$F$4,2,FALSE)+G1412*VLOOKUP(E1412,WEIGHTS!$A$2:$F$4,3,FALSE)+H1412*VLOOKUP(E1412,WEIGHTS!$A$2:$F$4,4,FALSE)+I1412*VLOOKUP(E1412,WEIGHTS!$A$2:$F$4,5,FALSE)+J1412*VLOOKUP(E1412,WEIGHTS!$A$2:$F$4,6,FALSE))</f>
        <v/>
      </c>
      <c r="N1412" s="2" t="str">
        <f t="shared" si="4"/>
        <v/>
      </c>
    </row>
    <row r="1413" ht="15.75" customHeight="1">
      <c r="A1413" s="3"/>
      <c r="B1413" s="2" t="str">
        <f t="shared" si="1"/>
        <v/>
      </c>
      <c r="E1413" s="2"/>
      <c r="F1413" s="2"/>
      <c r="G1413" s="2"/>
      <c r="H1413" s="2"/>
      <c r="I1413" s="2"/>
      <c r="J1413" s="2"/>
      <c r="K1413" s="2" t="str">
        <f t="shared" si="2"/>
        <v/>
      </c>
      <c r="L1413" s="2" t="str">
        <f t="shared" si="3"/>
        <v>No</v>
      </c>
      <c r="M1413" s="2" t="str">
        <f>IF(K1413="","",F1413*VLOOKUP(E1413,WEIGHTS!$A$2:$F$4,2,FALSE)+G1413*VLOOKUP(E1413,WEIGHTS!$A$2:$F$4,3,FALSE)+H1413*VLOOKUP(E1413,WEIGHTS!$A$2:$F$4,4,FALSE)+I1413*VLOOKUP(E1413,WEIGHTS!$A$2:$F$4,5,FALSE)+J1413*VLOOKUP(E1413,WEIGHTS!$A$2:$F$4,6,FALSE))</f>
        <v/>
      </c>
      <c r="N1413" s="2" t="str">
        <f t="shared" si="4"/>
        <v/>
      </c>
    </row>
    <row r="1414" ht="15.75" customHeight="1">
      <c r="A1414" s="3"/>
      <c r="B1414" s="2" t="str">
        <f t="shared" si="1"/>
        <v/>
      </c>
      <c r="E1414" s="2"/>
      <c r="F1414" s="2"/>
      <c r="G1414" s="2"/>
      <c r="H1414" s="2"/>
      <c r="I1414" s="2"/>
      <c r="J1414" s="2"/>
      <c r="K1414" s="2" t="str">
        <f t="shared" si="2"/>
        <v/>
      </c>
      <c r="L1414" s="2" t="str">
        <f t="shared" si="3"/>
        <v>No</v>
      </c>
      <c r="M1414" s="2" t="str">
        <f>IF(K1414="","",F1414*VLOOKUP(E1414,WEIGHTS!$A$2:$F$4,2,FALSE)+G1414*VLOOKUP(E1414,WEIGHTS!$A$2:$F$4,3,FALSE)+H1414*VLOOKUP(E1414,WEIGHTS!$A$2:$F$4,4,FALSE)+I1414*VLOOKUP(E1414,WEIGHTS!$A$2:$F$4,5,FALSE)+J1414*VLOOKUP(E1414,WEIGHTS!$A$2:$F$4,6,FALSE))</f>
        <v/>
      </c>
      <c r="N1414" s="2" t="str">
        <f t="shared" si="4"/>
        <v/>
      </c>
    </row>
    <row r="1415" ht="15.75" customHeight="1">
      <c r="A1415" s="3"/>
      <c r="B1415" s="2" t="str">
        <f t="shared" si="1"/>
        <v/>
      </c>
      <c r="E1415" s="2"/>
      <c r="F1415" s="2"/>
      <c r="G1415" s="2"/>
      <c r="H1415" s="2"/>
      <c r="I1415" s="2"/>
      <c r="J1415" s="2"/>
      <c r="K1415" s="2" t="str">
        <f t="shared" si="2"/>
        <v/>
      </c>
      <c r="L1415" s="2" t="str">
        <f t="shared" si="3"/>
        <v>No</v>
      </c>
      <c r="M1415" s="2" t="str">
        <f>IF(K1415="","",F1415*VLOOKUP(E1415,WEIGHTS!$A$2:$F$4,2,FALSE)+G1415*VLOOKUP(E1415,WEIGHTS!$A$2:$F$4,3,FALSE)+H1415*VLOOKUP(E1415,WEIGHTS!$A$2:$F$4,4,FALSE)+I1415*VLOOKUP(E1415,WEIGHTS!$A$2:$F$4,5,FALSE)+J1415*VLOOKUP(E1415,WEIGHTS!$A$2:$F$4,6,FALSE))</f>
        <v/>
      </c>
      <c r="N1415" s="2" t="str">
        <f t="shared" si="4"/>
        <v/>
      </c>
    </row>
    <row r="1416" ht="15.75" customHeight="1">
      <c r="A1416" s="3"/>
      <c r="B1416" s="2" t="str">
        <f t="shared" si="1"/>
        <v/>
      </c>
      <c r="E1416" s="2"/>
      <c r="F1416" s="2"/>
      <c r="G1416" s="2"/>
      <c r="H1416" s="2"/>
      <c r="I1416" s="2"/>
      <c r="J1416" s="2"/>
      <c r="K1416" s="2" t="str">
        <f t="shared" si="2"/>
        <v/>
      </c>
      <c r="L1416" s="2" t="str">
        <f t="shared" si="3"/>
        <v>No</v>
      </c>
      <c r="M1416" s="2" t="str">
        <f>IF(K1416="","",F1416*VLOOKUP(E1416,WEIGHTS!$A$2:$F$4,2,FALSE)+G1416*VLOOKUP(E1416,WEIGHTS!$A$2:$F$4,3,FALSE)+H1416*VLOOKUP(E1416,WEIGHTS!$A$2:$F$4,4,FALSE)+I1416*VLOOKUP(E1416,WEIGHTS!$A$2:$F$4,5,FALSE)+J1416*VLOOKUP(E1416,WEIGHTS!$A$2:$F$4,6,FALSE))</f>
        <v/>
      </c>
      <c r="N1416" s="2" t="str">
        <f t="shared" si="4"/>
        <v/>
      </c>
    </row>
    <row r="1417" ht="15.75" customHeight="1">
      <c r="A1417" s="3"/>
      <c r="B1417" s="2" t="str">
        <f t="shared" si="1"/>
        <v/>
      </c>
      <c r="E1417" s="2"/>
      <c r="F1417" s="2"/>
      <c r="G1417" s="2"/>
      <c r="H1417" s="2"/>
      <c r="I1417" s="2"/>
      <c r="J1417" s="2"/>
      <c r="K1417" s="2" t="str">
        <f t="shared" si="2"/>
        <v/>
      </c>
      <c r="L1417" s="2" t="str">
        <f t="shared" si="3"/>
        <v>No</v>
      </c>
      <c r="M1417" s="2" t="str">
        <f>IF(K1417="","",F1417*VLOOKUP(E1417,WEIGHTS!$A$2:$F$4,2,FALSE)+G1417*VLOOKUP(E1417,WEIGHTS!$A$2:$F$4,3,FALSE)+H1417*VLOOKUP(E1417,WEIGHTS!$A$2:$F$4,4,FALSE)+I1417*VLOOKUP(E1417,WEIGHTS!$A$2:$F$4,5,FALSE)+J1417*VLOOKUP(E1417,WEIGHTS!$A$2:$F$4,6,FALSE))</f>
        <v/>
      </c>
      <c r="N1417" s="2" t="str">
        <f t="shared" si="4"/>
        <v/>
      </c>
    </row>
    <row r="1418" ht="15.75" customHeight="1">
      <c r="A1418" s="3"/>
      <c r="B1418" s="2" t="str">
        <f t="shared" si="1"/>
        <v/>
      </c>
      <c r="E1418" s="2"/>
      <c r="F1418" s="2"/>
      <c r="G1418" s="2"/>
      <c r="H1418" s="2"/>
      <c r="I1418" s="2"/>
      <c r="J1418" s="2"/>
      <c r="K1418" s="2" t="str">
        <f t="shared" si="2"/>
        <v/>
      </c>
      <c r="L1418" s="2" t="str">
        <f t="shared" si="3"/>
        <v>No</v>
      </c>
      <c r="M1418" s="2" t="str">
        <f>IF(K1418="","",F1418*VLOOKUP(E1418,WEIGHTS!$A$2:$F$4,2,FALSE)+G1418*VLOOKUP(E1418,WEIGHTS!$A$2:$F$4,3,FALSE)+H1418*VLOOKUP(E1418,WEIGHTS!$A$2:$F$4,4,FALSE)+I1418*VLOOKUP(E1418,WEIGHTS!$A$2:$F$4,5,FALSE)+J1418*VLOOKUP(E1418,WEIGHTS!$A$2:$F$4,6,FALSE))</f>
        <v/>
      </c>
      <c r="N1418" s="2" t="str">
        <f t="shared" si="4"/>
        <v/>
      </c>
    </row>
    <row r="1419" ht="15.75" customHeight="1">
      <c r="A1419" s="3"/>
      <c r="B1419" s="2" t="str">
        <f t="shared" si="1"/>
        <v/>
      </c>
      <c r="E1419" s="2"/>
      <c r="F1419" s="2"/>
      <c r="G1419" s="2"/>
      <c r="H1419" s="2"/>
      <c r="I1419" s="2"/>
      <c r="J1419" s="2"/>
      <c r="K1419" s="2" t="str">
        <f t="shared" si="2"/>
        <v/>
      </c>
      <c r="L1419" s="2" t="str">
        <f t="shared" si="3"/>
        <v>No</v>
      </c>
      <c r="M1419" s="2" t="str">
        <f>IF(K1419="","",F1419*VLOOKUP(E1419,WEIGHTS!$A$2:$F$4,2,FALSE)+G1419*VLOOKUP(E1419,WEIGHTS!$A$2:$F$4,3,FALSE)+H1419*VLOOKUP(E1419,WEIGHTS!$A$2:$F$4,4,FALSE)+I1419*VLOOKUP(E1419,WEIGHTS!$A$2:$F$4,5,FALSE)+J1419*VLOOKUP(E1419,WEIGHTS!$A$2:$F$4,6,FALSE))</f>
        <v/>
      </c>
      <c r="N1419" s="2" t="str">
        <f t="shared" si="4"/>
        <v/>
      </c>
    </row>
    <row r="1420" ht="15.75" customHeight="1">
      <c r="A1420" s="3"/>
      <c r="B1420" s="2" t="str">
        <f t="shared" si="1"/>
        <v/>
      </c>
      <c r="E1420" s="2"/>
      <c r="F1420" s="2"/>
      <c r="G1420" s="2"/>
      <c r="H1420" s="2"/>
      <c r="I1420" s="2"/>
      <c r="J1420" s="2"/>
      <c r="K1420" s="2" t="str">
        <f t="shared" si="2"/>
        <v/>
      </c>
      <c r="L1420" s="2" t="str">
        <f t="shared" si="3"/>
        <v>No</v>
      </c>
      <c r="M1420" s="2" t="str">
        <f>IF(K1420="","",F1420*VLOOKUP(E1420,WEIGHTS!$A$2:$F$4,2,FALSE)+G1420*VLOOKUP(E1420,WEIGHTS!$A$2:$F$4,3,FALSE)+H1420*VLOOKUP(E1420,WEIGHTS!$A$2:$F$4,4,FALSE)+I1420*VLOOKUP(E1420,WEIGHTS!$A$2:$F$4,5,FALSE)+J1420*VLOOKUP(E1420,WEIGHTS!$A$2:$F$4,6,FALSE))</f>
        <v/>
      </c>
      <c r="N1420" s="2" t="str">
        <f t="shared" si="4"/>
        <v/>
      </c>
    </row>
    <row r="1421" ht="15.75" customHeight="1">
      <c r="A1421" s="3"/>
      <c r="B1421" s="2" t="str">
        <f t="shared" si="1"/>
        <v/>
      </c>
      <c r="E1421" s="2"/>
      <c r="F1421" s="2"/>
      <c r="G1421" s="2"/>
      <c r="H1421" s="2"/>
      <c r="I1421" s="2"/>
      <c r="J1421" s="2"/>
      <c r="K1421" s="2" t="str">
        <f t="shared" si="2"/>
        <v/>
      </c>
      <c r="L1421" s="2" t="str">
        <f t="shared" si="3"/>
        <v>No</v>
      </c>
      <c r="M1421" s="2" t="str">
        <f>IF(K1421="","",F1421*VLOOKUP(E1421,WEIGHTS!$A$2:$F$4,2,FALSE)+G1421*VLOOKUP(E1421,WEIGHTS!$A$2:$F$4,3,FALSE)+H1421*VLOOKUP(E1421,WEIGHTS!$A$2:$F$4,4,FALSE)+I1421*VLOOKUP(E1421,WEIGHTS!$A$2:$F$4,5,FALSE)+J1421*VLOOKUP(E1421,WEIGHTS!$A$2:$F$4,6,FALSE))</f>
        <v/>
      </c>
      <c r="N1421" s="2" t="str">
        <f t="shared" si="4"/>
        <v/>
      </c>
    </row>
    <row r="1422" ht="15.75" customHeight="1">
      <c r="A1422" s="3"/>
      <c r="B1422" s="2" t="str">
        <f t="shared" si="1"/>
        <v/>
      </c>
      <c r="E1422" s="2"/>
      <c r="F1422" s="2"/>
      <c r="G1422" s="2"/>
      <c r="H1422" s="2"/>
      <c r="I1422" s="2"/>
      <c r="J1422" s="2"/>
      <c r="K1422" s="2" t="str">
        <f t="shared" si="2"/>
        <v/>
      </c>
      <c r="L1422" s="2" t="str">
        <f t="shared" si="3"/>
        <v>No</v>
      </c>
      <c r="M1422" s="2" t="str">
        <f>IF(K1422="","",F1422*VLOOKUP(E1422,WEIGHTS!$A$2:$F$4,2,FALSE)+G1422*VLOOKUP(E1422,WEIGHTS!$A$2:$F$4,3,FALSE)+H1422*VLOOKUP(E1422,WEIGHTS!$A$2:$F$4,4,FALSE)+I1422*VLOOKUP(E1422,WEIGHTS!$A$2:$F$4,5,FALSE)+J1422*VLOOKUP(E1422,WEIGHTS!$A$2:$F$4,6,FALSE))</f>
        <v/>
      </c>
      <c r="N1422" s="2" t="str">
        <f t="shared" si="4"/>
        <v/>
      </c>
    </row>
    <row r="1423" ht="15.75" customHeight="1">
      <c r="A1423" s="3"/>
      <c r="B1423" s="2" t="str">
        <f t="shared" si="1"/>
        <v/>
      </c>
      <c r="E1423" s="2"/>
      <c r="F1423" s="2"/>
      <c r="G1423" s="2"/>
      <c r="H1423" s="2"/>
      <c r="I1423" s="2"/>
      <c r="J1423" s="2"/>
      <c r="K1423" s="2" t="str">
        <f t="shared" si="2"/>
        <v/>
      </c>
      <c r="L1423" s="2" t="str">
        <f t="shared" si="3"/>
        <v>No</v>
      </c>
      <c r="M1423" s="2" t="str">
        <f>IF(K1423="","",F1423*VLOOKUP(E1423,WEIGHTS!$A$2:$F$4,2,FALSE)+G1423*VLOOKUP(E1423,WEIGHTS!$A$2:$F$4,3,FALSE)+H1423*VLOOKUP(E1423,WEIGHTS!$A$2:$F$4,4,FALSE)+I1423*VLOOKUP(E1423,WEIGHTS!$A$2:$F$4,5,FALSE)+J1423*VLOOKUP(E1423,WEIGHTS!$A$2:$F$4,6,FALSE))</f>
        <v/>
      </c>
      <c r="N1423" s="2" t="str">
        <f t="shared" si="4"/>
        <v/>
      </c>
    </row>
    <row r="1424" ht="15.75" customHeight="1">
      <c r="A1424" s="3"/>
      <c r="B1424" s="2" t="str">
        <f t="shared" si="1"/>
        <v/>
      </c>
      <c r="E1424" s="2"/>
      <c r="F1424" s="2"/>
      <c r="G1424" s="2"/>
      <c r="H1424" s="2"/>
      <c r="I1424" s="2"/>
      <c r="J1424" s="2"/>
      <c r="K1424" s="2" t="str">
        <f t="shared" si="2"/>
        <v/>
      </c>
      <c r="L1424" s="2" t="str">
        <f t="shared" si="3"/>
        <v>No</v>
      </c>
      <c r="M1424" s="2" t="str">
        <f>IF(K1424="","",F1424*VLOOKUP(E1424,WEIGHTS!$A$2:$F$4,2,FALSE)+G1424*VLOOKUP(E1424,WEIGHTS!$A$2:$F$4,3,FALSE)+H1424*VLOOKUP(E1424,WEIGHTS!$A$2:$F$4,4,FALSE)+I1424*VLOOKUP(E1424,WEIGHTS!$A$2:$F$4,5,FALSE)+J1424*VLOOKUP(E1424,WEIGHTS!$A$2:$F$4,6,FALSE))</f>
        <v/>
      </c>
      <c r="N1424" s="2" t="str">
        <f t="shared" si="4"/>
        <v/>
      </c>
    </row>
    <row r="1425" ht="15.75" customHeight="1">
      <c r="A1425" s="3"/>
      <c r="B1425" s="2" t="str">
        <f t="shared" si="1"/>
        <v/>
      </c>
      <c r="E1425" s="2"/>
      <c r="F1425" s="2"/>
      <c r="G1425" s="2"/>
      <c r="H1425" s="2"/>
      <c r="I1425" s="2"/>
      <c r="J1425" s="2"/>
      <c r="K1425" s="2" t="str">
        <f t="shared" si="2"/>
        <v/>
      </c>
      <c r="L1425" s="2" t="str">
        <f t="shared" si="3"/>
        <v>No</v>
      </c>
      <c r="M1425" s="2" t="str">
        <f>IF(K1425="","",F1425*VLOOKUP(E1425,WEIGHTS!$A$2:$F$4,2,FALSE)+G1425*VLOOKUP(E1425,WEIGHTS!$A$2:$F$4,3,FALSE)+H1425*VLOOKUP(E1425,WEIGHTS!$A$2:$F$4,4,FALSE)+I1425*VLOOKUP(E1425,WEIGHTS!$A$2:$F$4,5,FALSE)+J1425*VLOOKUP(E1425,WEIGHTS!$A$2:$F$4,6,FALSE))</f>
        <v/>
      </c>
      <c r="N1425" s="2" t="str">
        <f t="shared" si="4"/>
        <v/>
      </c>
    </row>
    <row r="1426" ht="15.75" customHeight="1">
      <c r="A1426" s="3"/>
      <c r="B1426" s="2" t="str">
        <f t="shared" si="1"/>
        <v/>
      </c>
      <c r="E1426" s="2"/>
      <c r="F1426" s="2"/>
      <c r="G1426" s="2"/>
      <c r="H1426" s="2"/>
      <c r="I1426" s="2"/>
      <c r="J1426" s="2"/>
      <c r="K1426" s="2" t="str">
        <f t="shared" si="2"/>
        <v/>
      </c>
      <c r="L1426" s="2" t="str">
        <f t="shared" si="3"/>
        <v>No</v>
      </c>
      <c r="M1426" s="2" t="str">
        <f>IF(K1426="","",F1426*VLOOKUP(E1426,WEIGHTS!$A$2:$F$4,2,FALSE)+G1426*VLOOKUP(E1426,WEIGHTS!$A$2:$F$4,3,FALSE)+H1426*VLOOKUP(E1426,WEIGHTS!$A$2:$F$4,4,FALSE)+I1426*VLOOKUP(E1426,WEIGHTS!$A$2:$F$4,5,FALSE)+J1426*VLOOKUP(E1426,WEIGHTS!$A$2:$F$4,6,FALSE))</f>
        <v/>
      </c>
      <c r="N1426" s="2" t="str">
        <f t="shared" si="4"/>
        <v/>
      </c>
    </row>
    <row r="1427" ht="15.75" customHeight="1">
      <c r="A1427" s="3"/>
      <c r="B1427" s="2" t="str">
        <f t="shared" si="1"/>
        <v/>
      </c>
      <c r="E1427" s="2"/>
      <c r="F1427" s="2"/>
      <c r="G1427" s="2"/>
      <c r="H1427" s="2"/>
      <c r="I1427" s="2"/>
      <c r="J1427" s="2"/>
      <c r="K1427" s="2" t="str">
        <f t="shared" si="2"/>
        <v/>
      </c>
      <c r="L1427" s="2" t="str">
        <f t="shared" si="3"/>
        <v>No</v>
      </c>
      <c r="M1427" s="2" t="str">
        <f>IF(K1427="","",F1427*VLOOKUP(E1427,WEIGHTS!$A$2:$F$4,2,FALSE)+G1427*VLOOKUP(E1427,WEIGHTS!$A$2:$F$4,3,FALSE)+H1427*VLOOKUP(E1427,WEIGHTS!$A$2:$F$4,4,FALSE)+I1427*VLOOKUP(E1427,WEIGHTS!$A$2:$F$4,5,FALSE)+J1427*VLOOKUP(E1427,WEIGHTS!$A$2:$F$4,6,FALSE))</f>
        <v/>
      </c>
      <c r="N1427" s="2" t="str">
        <f t="shared" si="4"/>
        <v/>
      </c>
    </row>
    <row r="1428" ht="15.75" customHeight="1">
      <c r="A1428" s="3"/>
      <c r="B1428" s="2" t="str">
        <f t="shared" si="1"/>
        <v/>
      </c>
      <c r="E1428" s="2"/>
      <c r="F1428" s="2"/>
      <c r="G1428" s="2"/>
      <c r="H1428" s="2"/>
      <c r="I1428" s="2"/>
      <c r="J1428" s="2"/>
      <c r="K1428" s="2" t="str">
        <f t="shared" si="2"/>
        <v/>
      </c>
      <c r="L1428" s="2" t="str">
        <f t="shared" si="3"/>
        <v>No</v>
      </c>
      <c r="M1428" s="2" t="str">
        <f>IF(K1428="","",F1428*VLOOKUP(E1428,WEIGHTS!$A$2:$F$4,2,FALSE)+G1428*VLOOKUP(E1428,WEIGHTS!$A$2:$F$4,3,FALSE)+H1428*VLOOKUP(E1428,WEIGHTS!$A$2:$F$4,4,FALSE)+I1428*VLOOKUP(E1428,WEIGHTS!$A$2:$F$4,5,FALSE)+J1428*VLOOKUP(E1428,WEIGHTS!$A$2:$F$4,6,FALSE))</f>
        <v/>
      </c>
      <c r="N1428" s="2" t="str">
        <f t="shared" si="4"/>
        <v/>
      </c>
    </row>
    <row r="1429" ht="15.75" customHeight="1">
      <c r="A1429" s="3"/>
      <c r="B1429" s="2" t="str">
        <f t="shared" si="1"/>
        <v/>
      </c>
      <c r="E1429" s="2"/>
      <c r="F1429" s="2"/>
      <c r="G1429" s="2"/>
      <c r="H1429" s="2"/>
      <c r="I1429" s="2"/>
      <c r="J1429" s="2"/>
      <c r="K1429" s="2" t="str">
        <f t="shared" si="2"/>
        <v/>
      </c>
      <c r="L1429" s="2" t="str">
        <f t="shared" si="3"/>
        <v>No</v>
      </c>
      <c r="M1429" s="2" t="str">
        <f>IF(K1429="","",F1429*VLOOKUP(E1429,WEIGHTS!$A$2:$F$4,2,FALSE)+G1429*VLOOKUP(E1429,WEIGHTS!$A$2:$F$4,3,FALSE)+H1429*VLOOKUP(E1429,WEIGHTS!$A$2:$F$4,4,FALSE)+I1429*VLOOKUP(E1429,WEIGHTS!$A$2:$F$4,5,FALSE)+J1429*VLOOKUP(E1429,WEIGHTS!$A$2:$F$4,6,FALSE))</f>
        <v/>
      </c>
      <c r="N1429" s="2" t="str">
        <f t="shared" si="4"/>
        <v/>
      </c>
    </row>
    <row r="1430" ht="15.75" customHeight="1">
      <c r="A1430" s="3"/>
      <c r="B1430" s="2" t="str">
        <f t="shared" si="1"/>
        <v/>
      </c>
      <c r="E1430" s="2"/>
      <c r="F1430" s="2"/>
      <c r="G1430" s="2"/>
      <c r="H1430" s="2"/>
      <c r="I1430" s="2"/>
      <c r="J1430" s="2"/>
      <c r="K1430" s="2" t="str">
        <f t="shared" si="2"/>
        <v/>
      </c>
      <c r="L1430" s="2" t="str">
        <f t="shared" si="3"/>
        <v>No</v>
      </c>
      <c r="M1430" s="2" t="str">
        <f>IF(K1430="","",F1430*VLOOKUP(E1430,WEIGHTS!$A$2:$F$4,2,FALSE)+G1430*VLOOKUP(E1430,WEIGHTS!$A$2:$F$4,3,FALSE)+H1430*VLOOKUP(E1430,WEIGHTS!$A$2:$F$4,4,FALSE)+I1430*VLOOKUP(E1430,WEIGHTS!$A$2:$F$4,5,FALSE)+J1430*VLOOKUP(E1430,WEIGHTS!$A$2:$F$4,6,FALSE))</f>
        <v/>
      </c>
      <c r="N1430" s="2" t="str">
        <f t="shared" si="4"/>
        <v/>
      </c>
    </row>
    <row r="1431" ht="15.75" customHeight="1">
      <c r="A1431" s="3"/>
      <c r="B1431" s="2" t="str">
        <f t="shared" si="1"/>
        <v/>
      </c>
      <c r="E1431" s="2"/>
      <c r="F1431" s="2"/>
      <c r="G1431" s="2"/>
      <c r="H1431" s="2"/>
      <c r="I1431" s="2"/>
      <c r="J1431" s="2"/>
      <c r="K1431" s="2" t="str">
        <f t="shared" si="2"/>
        <v/>
      </c>
      <c r="L1431" s="2" t="str">
        <f t="shared" si="3"/>
        <v>No</v>
      </c>
      <c r="M1431" s="2" t="str">
        <f>IF(K1431="","",F1431*VLOOKUP(E1431,WEIGHTS!$A$2:$F$4,2,FALSE)+G1431*VLOOKUP(E1431,WEIGHTS!$A$2:$F$4,3,FALSE)+H1431*VLOOKUP(E1431,WEIGHTS!$A$2:$F$4,4,FALSE)+I1431*VLOOKUP(E1431,WEIGHTS!$A$2:$F$4,5,FALSE)+J1431*VLOOKUP(E1431,WEIGHTS!$A$2:$F$4,6,FALSE))</f>
        <v/>
      </c>
      <c r="N1431" s="2" t="str">
        <f t="shared" si="4"/>
        <v/>
      </c>
    </row>
    <row r="1432" ht="15.75" customHeight="1">
      <c r="A1432" s="3"/>
      <c r="B1432" s="2" t="str">
        <f t="shared" si="1"/>
        <v/>
      </c>
      <c r="E1432" s="2"/>
      <c r="F1432" s="2"/>
      <c r="G1432" s="2"/>
      <c r="H1432" s="2"/>
      <c r="I1432" s="2"/>
      <c r="J1432" s="2"/>
      <c r="K1432" s="2" t="str">
        <f t="shared" si="2"/>
        <v/>
      </c>
      <c r="L1432" s="2" t="str">
        <f t="shared" si="3"/>
        <v>No</v>
      </c>
      <c r="M1432" s="2" t="str">
        <f>IF(K1432="","",F1432*VLOOKUP(E1432,WEIGHTS!$A$2:$F$4,2,FALSE)+G1432*VLOOKUP(E1432,WEIGHTS!$A$2:$F$4,3,FALSE)+H1432*VLOOKUP(E1432,WEIGHTS!$A$2:$F$4,4,FALSE)+I1432*VLOOKUP(E1432,WEIGHTS!$A$2:$F$4,5,FALSE)+J1432*VLOOKUP(E1432,WEIGHTS!$A$2:$F$4,6,FALSE))</f>
        <v/>
      </c>
      <c r="N1432" s="2" t="str">
        <f t="shared" si="4"/>
        <v/>
      </c>
    </row>
    <row r="1433" ht="15.75" customHeight="1">
      <c r="A1433" s="3"/>
      <c r="B1433" s="2" t="str">
        <f t="shared" si="1"/>
        <v/>
      </c>
      <c r="E1433" s="2"/>
      <c r="F1433" s="2"/>
      <c r="G1433" s="2"/>
      <c r="H1433" s="2"/>
      <c r="I1433" s="2"/>
      <c r="J1433" s="2"/>
      <c r="K1433" s="2" t="str">
        <f t="shared" si="2"/>
        <v/>
      </c>
      <c r="L1433" s="2" t="str">
        <f t="shared" si="3"/>
        <v>No</v>
      </c>
      <c r="M1433" s="2" t="str">
        <f>IF(K1433="","",F1433*VLOOKUP(E1433,WEIGHTS!$A$2:$F$4,2,FALSE)+G1433*VLOOKUP(E1433,WEIGHTS!$A$2:$F$4,3,FALSE)+H1433*VLOOKUP(E1433,WEIGHTS!$A$2:$F$4,4,FALSE)+I1433*VLOOKUP(E1433,WEIGHTS!$A$2:$F$4,5,FALSE)+J1433*VLOOKUP(E1433,WEIGHTS!$A$2:$F$4,6,FALSE))</f>
        <v/>
      </c>
      <c r="N1433" s="2" t="str">
        <f t="shared" si="4"/>
        <v/>
      </c>
    </row>
    <row r="1434" ht="15.75" customHeight="1">
      <c r="A1434" s="3"/>
      <c r="B1434" s="2" t="str">
        <f t="shared" si="1"/>
        <v/>
      </c>
      <c r="E1434" s="2"/>
      <c r="F1434" s="2"/>
      <c r="G1434" s="2"/>
      <c r="H1434" s="2"/>
      <c r="I1434" s="2"/>
      <c r="J1434" s="2"/>
      <c r="K1434" s="2" t="str">
        <f t="shared" si="2"/>
        <v/>
      </c>
      <c r="L1434" s="2" t="str">
        <f t="shared" si="3"/>
        <v>No</v>
      </c>
      <c r="M1434" s="2" t="str">
        <f>IF(K1434="","",F1434*VLOOKUP(E1434,WEIGHTS!$A$2:$F$4,2,FALSE)+G1434*VLOOKUP(E1434,WEIGHTS!$A$2:$F$4,3,FALSE)+H1434*VLOOKUP(E1434,WEIGHTS!$A$2:$F$4,4,FALSE)+I1434*VLOOKUP(E1434,WEIGHTS!$A$2:$F$4,5,FALSE)+J1434*VLOOKUP(E1434,WEIGHTS!$A$2:$F$4,6,FALSE))</f>
        <v/>
      </c>
      <c r="N1434" s="2" t="str">
        <f t="shared" si="4"/>
        <v/>
      </c>
    </row>
    <row r="1435" ht="15.75" customHeight="1">
      <c r="A1435" s="3"/>
      <c r="B1435" s="2" t="str">
        <f t="shared" si="1"/>
        <v/>
      </c>
      <c r="E1435" s="2"/>
      <c r="F1435" s="2"/>
      <c r="G1435" s="2"/>
      <c r="H1435" s="2"/>
      <c r="I1435" s="2"/>
      <c r="J1435" s="2"/>
      <c r="K1435" s="2" t="str">
        <f t="shared" si="2"/>
        <v/>
      </c>
      <c r="L1435" s="2" t="str">
        <f t="shared" si="3"/>
        <v>No</v>
      </c>
      <c r="M1435" s="2" t="str">
        <f>IF(K1435="","",F1435*VLOOKUP(E1435,WEIGHTS!$A$2:$F$4,2,FALSE)+G1435*VLOOKUP(E1435,WEIGHTS!$A$2:$F$4,3,FALSE)+H1435*VLOOKUP(E1435,WEIGHTS!$A$2:$F$4,4,FALSE)+I1435*VLOOKUP(E1435,WEIGHTS!$A$2:$F$4,5,FALSE)+J1435*VLOOKUP(E1435,WEIGHTS!$A$2:$F$4,6,FALSE))</f>
        <v/>
      </c>
      <c r="N1435" s="2" t="str">
        <f t="shared" si="4"/>
        <v/>
      </c>
    </row>
    <row r="1436" ht="15.75" customHeight="1">
      <c r="A1436" s="3"/>
      <c r="B1436" s="2" t="str">
        <f t="shared" si="1"/>
        <v/>
      </c>
      <c r="E1436" s="2"/>
      <c r="F1436" s="2"/>
      <c r="G1436" s="2"/>
      <c r="H1436" s="2"/>
      <c r="I1436" s="2"/>
      <c r="J1436" s="2"/>
      <c r="K1436" s="2" t="str">
        <f t="shared" si="2"/>
        <v/>
      </c>
      <c r="L1436" s="2" t="str">
        <f t="shared" si="3"/>
        <v>No</v>
      </c>
      <c r="M1436" s="2" t="str">
        <f>IF(K1436="","",F1436*VLOOKUP(E1436,WEIGHTS!$A$2:$F$4,2,FALSE)+G1436*VLOOKUP(E1436,WEIGHTS!$A$2:$F$4,3,FALSE)+H1436*VLOOKUP(E1436,WEIGHTS!$A$2:$F$4,4,FALSE)+I1436*VLOOKUP(E1436,WEIGHTS!$A$2:$F$4,5,FALSE)+J1436*VLOOKUP(E1436,WEIGHTS!$A$2:$F$4,6,FALSE))</f>
        <v/>
      </c>
      <c r="N1436" s="2" t="str">
        <f t="shared" si="4"/>
        <v/>
      </c>
    </row>
    <row r="1437" ht="15.75" customHeight="1">
      <c r="A1437" s="3"/>
      <c r="B1437" s="2" t="str">
        <f t="shared" si="1"/>
        <v/>
      </c>
      <c r="E1437" s="2"/>
      <c r="F1437" s="2"/>
      <c r="G1437" s="2"/>
      <c r="H1437" s="2"/>
      <c r="I1437" s="2"/>
      <c r="J1437" s="2"/>
      <c r="K1437" s="2" t="str">
        <f t="shared" si="2"/>
        <v/>
      </c>
      <c r="L1437" s="2" t="str">
        <f t="shared" si="3"/>
        <v>No</v>
      </c>
      <c r="M1437" s="2" t="str">
        <f>IF(K1437="","",F1437*VLOOKUP(E1437,WEIGHTS!$A$2:$F$4,2,FALSE)+G1437*VLOOKUP(E1437,WEIGHTS!$A$2:$F$4,3,FALSE)+H1437*VLOOKUP(E1437,WEIGHTS!$A$2:$F$4,4,FALSE)+I1437*VLOOKUP(E1437,WEIGHTS!$A$2:$F$4,5,FALSE)+J1437*VLOOKUP(E1437,WEIGHTS!$A$2:$F$4,6,FALSE))</f>
        <v/>
      </c>
      <c r="N1437" s="2" t="str">
        <f t="shared" si="4"/>
        <v/>
      </c>
    </row>
    <row r="1438" ht="15.75" customHeight="1">
      <c r="A1438" s="3"/>
      <c r="B1438" s="2" t="str">
        <f t="shared" si="1"/>
        <v/>
      </c>
      <c r="E1438" s="2"/>
      <c r="F1438" s="2"/>
      <c r="G1438" s="2"/>
      <c r="H1438" s="2"/>
      <c r="I1438" s="2"/>
      <c r="J1438" s="2"/>
      <c r="K1438" s="2" t="str">
        <f t="shared" si="2"/>
        <v/>
      </c>
      <c r="L1438" s="2" t="str">
        <f t="shared" si="3"/>
        <v>No</v>
      </c>
      <c r="M1438" s="2" t="str">
        <f>IF(K1438="","",F1438*VLOOKUP(E1438,WEIGHTS!$A$2:$F$4,2,FALSE)+G1438*VLOOKUP(E1438,WEIGHTS!$A$2:$F$4,3,FALSE)+H1438*VLOOKUP(E1438,WEIGHTS!$A$2:$F$4,4,FALSE)+I1438*VLOOKUP(E1438,WEIGHTS!$A$2:$F$4,5,FALSE)+J1438*VLOOKUP(E1438,WEIGHTS!$A$2:$F$4,6,FALSE))</f>
        <v/>
      </c>
      <c r="N1438" s="2" t="str">
        <f t="shared" si="4"/>
        <v/>
      </c>
    </row>
    <row r="1439" ht="15.75" customHeight="1">
      <c r="A1439" s="3"/>
      <c r="B1439" s="2" t="str">
        <f t="shared" si="1"/>
        <v/>
      </c>
      <c r="E1439" s="2"/>
      <c r="F1439" s="2"/>
      <c r="G1439" s="2"/>
      <c r="H1439" s="2"/>
      <c r="I1439" s="2"/>
      <c r="J1439" s="2"/>
      <c r="K1439" s="2" t="str">
        <f t="shared" si="2"/>
        <v/>
      </c>
      <c r="L1439" s="2" t="str">
        <f t="shared" si="3"/>
        <v>No</v>
      </c>
      <c r="M1439" s="2" t="str">
        <f>IF(K1439="","",F1439*VLOOKUP(E1439,WEIGHTS!$A$2:$F$4,2,FALSE)+G1439*VLOOKUP(E1439,WEIGHTS!$A$2:$F$4,3,FALSE)+H1439*VLOOKUP(E1439,WEIGHTS!$A$2:$F$4,4,FALSE)+I1439*VLOOKUP(E1439,WEIGHTS!$A$2:$F$4,5,FALSE)+J1439*VLOOKUP(E1439,WEIGHTS!$A$2:$F$4,6,FALSE))</f>
        <v/>
      </c>
      <c r="N1439" s="2" t="str">
        <f t="shared" si="4"/>
        <v/>
      </c>
    </row>
    <row r="1440" ht="15.75" customHeight="1">
      <c r="A1440" s="3"/>
      <c r="B1440" s="2" t="str">
        <f t="shared" si="1"/>
        <v/>
      </c>
      <c r="E1440" s="2"/>
      <c r="F1440" s="2"/>
      <c r="G1440" s="2"/>
      <c r="H1440" s="2"/>
      <c r="I1440" s="2"/>
      <c r="J1440" s="2"/>
      <c r="K1440" s="2" t="str">
        <f t="shared" si="2"/>
        <v/>
      </c>
      <c r="L1440" s="2" t="str">
        <f t="shared" si="3"/>
        <v>No</v>
      </c>
      <c r="M1440" s="2" t="str">
        <f>IF(K1440="","",F1440*VLOOKUP(E1440,WEIGHTS!$A$2:$F$4,2,FALSE)+G1440*VLOOKUP(E1440,WEIGHTS!$A$2:$F$4,3,FALSE)+H1440*VLOOKUP(E1440,WEIGHTS!$A$2:$F$4,4,FALSE)+I1440*VLOOKUP(E1440,WEIGHTS!$A$2:$F$4,5,FALSE)+J1440*VLOOKUP(E1440,WEIGHTS!$A$2:$F$4,6,FALSE))</f>
        <v/>
      </c>
      <c r="N1440" s="2" t="str">
        <f t="shared" si="4"/>
        <v/>
      </c>
    </row>
    <row r="1441" ht="15.75" customHeight="1">
      <c r="A1441" s="3"/>
      <c r="B1441" s="2" t="str">
        <f t="shared" si="1"/>
        <v/>
      </c>
      <c r="E1441" s="2"/>
      <c r="F1441" s="2"/>
      <c r="G1441" s="2"/>
      <c r="H1441" s="2"/>
      <c r="I1441" s="2"/>
      <c r="J1441" s="2"/>
      <c r="K1441" s="2" t="str">
        <f t="shared" si="2"/>
        <v/>
      </c>
      <c r="L1441" s="2" t="str">
        <f t="shared" si="3"/>
        <v>No</v>
      </c>
      <c r="M1441" s="2" t="str">
        <f>IF(K1441="","",F1441*VLOOKUP(E1441,WEIGHTS!$A$2:$F$4,2,FALSE)+G1441*VLOOKUP(E1441,WEIGHTS!$A$2:$F$4,3,FALSE)+H1441*VLOOKUP(E1441,WEIGHTS!$A$2:$F$4,4,FALSE)+I1441*VLOOKUP(E1441,WEIGHTS!$A$2:$F$4,5,FALSE)+J1441*VLOOKUP(E1441,WEIGHTS!$A$2:$F$4,6,FALSE))</f>
        <v/>
      </c>
      <c r="N1441" s="2" t="str">
        <f t="shared" si="4"/>
        <v/>
      </c>
    </row>
    <row r="1442" ht="15.75" customHeight="1">
      <c r="A1442" s="3"/>
      <c r="B1442" s="2" t="str">
        <f t="shared" si="1"/>
        <v/>
      </c>
      <c r="E1442" s="2"/>
      <c r="F1442" s="2"/>
      <c r="G1442" s="2"/>
      <c r="H1442" s="2"/>
      <c r="I1442" s="2"/>
      <c r="J1442" s="2"/>
      <c r="K1442" s="2" t="str">
        <f t="shared" si="2"/>
        <v/>
      </c>
      <c r="L1442" s="2" t="str">
        <f t="shared" si="3"/>
        <v>No</v>
      </c>
      <c r="M1442" s="2" t="str">
        <f>IF(K1442="","",F1442*VLOOKUP(E1442,WEIGHTS!$A$2:$F$4,2,FALSE)+G1442*VLOOKUP(E1442,WEIGHTS!$A$2:$F$4,3,FALSE)+H1442*VLOOKUP(E1442,WEIGHTS!$A$2:$F$4,4,FALSE)+I1442*VLOOKUP(E1442,WEIGHTS!$A$2:$F$4,5,FALSE)+J1442*VLOOKUP(E1442,WEIGHTS!$A$2:$F$4,6,FALSE))</f>
        <v/>
      </c>
      <c r="N1442" s="2" t="str">
        <f t="shared" si="4"/>
        <v/>
      </c>
    </row>
    <row r="1443" ht="15.75" customHeight="1">
      <c r="A1443" s="3"/>
      <c r="B1443" s="2" t="str">
        <f t="shared" si="1"/>
        <v/>
      </c>
      <c r="E1443" s="2"/>
      <c r="F1443" s="2"/>
      <c r="G1443" s="2"/>
      <c r="H1443" s="2"/>
      <c r="I1443" s="2"/>
      <c r="J1443" s="2"/>
      <c r="K1443" s="2" t="str">
        <f t="shared" si="2"/>
        <v/>
      </c>
      <c r="L1443" s="2" t="str">
        <f t="shared" si="3"/>
        <v>No</v>
      </c>
      <c r="M1443" s="2" t="str">
        <f>IF(K1443="","",F1443*VLOOKUP(E1443,WEIGHTS!$A$2:$F$4,2,FALSE)+G1443*VLOOKUP(E1443,WEIGHTS!$A$2:$F$4,3,FALSE)+H1443*VLOOKUP(E1443,WEIGHTS!$A$2:$F$4,4,FALSE)+I1443*VLOOKUP(E1443,WEIGHTS!$A$2:$F$4,5,FALSE)+J1443*VLOOKUP(E1443,WEIGHTS!$A$2:$F$4,6,FALSE))</f>
        <v/>
      </c>
      <c r="N1443" s="2" t="str">
        <f t="shared" si="4"/>
        <v/>
      </c>
    </row>
    <row r="1444" ht="15.75" customHeight="1">
      <c r="A1444" s="3"/>
      <c r="B1444" s="2" t="str">
        <f t="shared" si="1"/>
        <v/>
      </c>
      <c r="E1444" s="2"/>
      <c r="F1444" s="2"/>
      <c r="G1444" s="2"/>
      <c r="H1444" s="2"/>
      <c r="I1444" s="2"/>
      <c r="J1444" s="2"/>
      <c r="K1444" s="2" t="str">
        <f t="shared" si="2"/>
        <v/>
      </c>
      <c r="L1444" s="2" t="str">
        <f t="shared" si="3"/>
        <v>No</v>
      </c>
      <c r="M1444" s="2" t="str">
        <f>IF(K1444="","",F1444*VLOOKUP(E1444,WEIGHTS!$A$2:$F$4,2,FALSE)+G1444*VLOOKUP(E1444,WEIGHTS!$A$2:$F$4,3,FALSE)+H1444*VLOOKUP(E1444,WEIGHTS!$A$2:$F$4,4,FALSE)+I1444*VLOOKUP(E1444,WEIGHTS!$A$2:$F$4,5,FALSE)+J1444*VLOOKUP(E1444,WEIGHTS!$A$2:$F$4,6,FALSE))</f>
        <v/>
      </c>
      <c r="N1444" s="2" t="str">
        <f t="shared" si="4"/>
        <v/>
      </c>
    </row>
    <row r="1445" ht="15.75" customHeight="1">
      <c r="A1445" s="3"/>
      <c r="B1445" s="2" t="str">
        <f t="shared" si="1"/>
        <v/>
      </c>
      <c r="E1445" s="2"/>
      <c r="F1445" s="2"/>
      <c r="G1445" s="2"/>
      <c r="H1445" s="2"/>
      <c r="I1445" s="2"/>
      <c r="J1445" s="2"/>
      <c r="K1445" s="2" t="str">
        <f t="shared" si="2"/>
        <v/>
      </c>
      <c r="L1445" s="2" t="str">
        <f t="shared" si="3"/>
        <v>No</v>
      </c>
      <c r="M1445" s="2" t="str">
        <f>IF(K1445="","",F1445*VLOOKUP(E1445,WEIGHTS!$A$2:$F$4,2,FALSE)+G1445*VLOOKUP(E1445,WEIGHTS!$A$2:$F$4,3,FALSE)+H1445*VLOOKUP(E1445,WEIGHTS!$A$2:$F$4,4,FALSE)+I1445*VLOOKUP(E1445,WEIGHTS!$A$2:$F$4,5,FALSE)+J1445*VLOOKUP(E1445,WEIGHTS!$A$2:$F$4,6,FALSE))</f>
        <v/>
      </c>
      <c r="N1445" s="2" t="str">
        <f t="shared" si="4"/>
        <v/>
      </c>
    </row>
    <row r="1446" ht="15.75" customHeight="1">
      <c r="A1446" s="3"/>
      <c r="B1446" s="2" t="str">
        <f t="shared" si="1"/>
        <v/>
      </c>
      <c r="E1446" s="2"/>
      <c r="F1446" s="2"/>
      <c r="G1446" s="2"/>
      <c r="H1446" s="2"/>
      <c r="I1446" s="2"/>
      <c r="J1446" s="2"/>
      <c r="K1446" s="2" t="str">
        <f t="shared" si="2"/>
        <v/>
      </c>
      <c r="L1446" s="2" t="str">
        <f t="shared" si="3"/>
        <v>No</v>
      </c>
      <c r="M1446" s="2" t="str">
        <f>IF(K1446="","",F1446*VLOOKUP(E1446,WEIGHTS!$A$2:$F$4,2,FALSE)+G1446*VLOOKUP(E1446,WEIGHTS!$A$2:$F$4,3,FALSE)+H1446*VLOOKUP(E1446,WEIGHTS!$A$2:$F$4,4,FALSE)+I1446*VLOOKUP(E1446,WEIGHTS!$A$2:$F$4,5,FALSE)+J1446*VLOOKUP(E1446,WEIGHTS!$A$2:$F$4,6,FALSE))</f>
        <v/>
      </c>
      <c r="N1446" s="2" t="str">
        <f t="shared" si="4"/>
        <v/>
      </c>
    </row>
    <row r="1447" ht="15.75" customHeight="1">
      <c r="A1447" s="3"/>
      <c r="B1447" s="2" t="str">
        <f t="shared" si="1"/>
        <v/>
      </c>
      <c r="E1447" s="2"/>
      <c r="F1447" s="2"/>
      <c r="G1447" s="2"/>
      <c r="H1447" s="2"/>
      <c r="I1447" s="2"/>
      <c r="J1447" s="2"/>
      <c r="K1447" s="2" t="str">
        <f t="shared" si="2"/>
        <v/>
      </c>
      <c r="L1447" s="2" t="str">
        <f t="shared" si="3"/>
        <v>No</v>
      </c>
      <c r="M1447" s="2" t="str">
        <f>IF(K1447="","",F1447*VLOOKUP(E1447,WEIGHTS!$A$2:$F$4,2,FALSE)+G1447*VLOOKUP(E1447,WEIGHTS!$A$2:$F$4,3,FALSE)+H1447*VLOOKUP(E1447,WEIGHTS!$A$2:$F$4,4,FALSE)+I1447*VLOOKUP(E1447,WEIGHTS!$A$2:$F$4,5,FALSE)+J1447*VLOOKUP(E1447,WEIGHTS!$A$2:$F$4,6,FALSE))</f>
        <v/>
      </c>
      <c r="N1447" s="2" t="str">
        <f t="shared" si="4"/>
        <v/>
      </c>
    </row>
    <row r="1448" ht="15.75" customHeight="1">
      <c r="A1448" s="3"/>
      <c r="B1448" s="2" t="str">
        <f t="shared" si="1"/>
        <v/>
      </c>
      <c r="E1448" s="2"/>
      <c r="F1448" s="2"/>
      <c r="G1448" s="2"/>
      <c r="H1448" s="2"/>
      <c r="I1448" s="2"/>
      <c r="J1448" s="2"/>
      <c r="K1448" s="2" t="str">
        <f t="shared" si="2"/>
        <v/>
      </c>
      <c r="L1448" s="2" t="str">
        <f t="shared" si="3"/>
        <v>No</v>
      </c>
      <c r="M1448" s="2" t="str">
        <f>IF(K1448="","",F1448*VLOOKUP(E1448,WEIGHTS!$A$2:$F$4,2,FALSE)+G1448*VLOOKUP(E1448,WEIGHTS!$A$2:$F$4,3,FALSE)+H1448*VLOOKUP(E1448,WEIGHTS!$A$2:$F$4,4,FALSE)+I1448*VLOOKUP(E1448,WEIGHTS!$A$2:$F$4,5,FALSE)+J1448*VLOOKUP(E1448,WEIGHTS!$A$2:$F$4,6,FALSE))</f>
        <v/>
      </c>
      <c r="N1448" s="2" t="str">
        <f t="shared" si="4"/>
        <v/>
      </c>
    </row>
    <row r="1449" ht="15.75" customHeight="1">
      <c r="A1449" s="3"/>
      <c r="B1449" s="2" t="str">
        <f t="shared" si="1"/>
        <v/>
      </c>
      <c r="E1449" s="2"/>
      <c r="F1449" s="2"/>
      <c r="G1449" s="2"/>
      <c r="H1449" s="2"/>
      <c r="I1449" s="2"/>
      <c r="J1449" s="2"/>
      <c r="K1449" s="2" t="str">
        <f t="shared" si="2"/>
        <v/>
      </c>
      <c r="L1449" s="2" t="str">
        <f t="shared" si="3"/>
        <v>No</v>
      </c>
      <c r="M1449" s="2" t="str">
        <f>IF(K1449="","",F1449*VLOOKUP(E1449,WEIGHTS!$A$2:$F$4,2,FALSE)+G1449*VLOOKUP(E1449,WEIGHTS!$A$2:$F$4,3,FALSE)+H1449*VLOOKUP(E1449,WEIGHTS!$A$2:$F$4,4,FALSE)+I1449*VLOOKUP(E1449,WEIGHTS!$A$2:$F$4,5,FALSE)+J1449*VLOOKUP(E1449,WEIGHTS!$A$2:$F$4,6,FALSE))</f>
        <v/>
      </c>
      <c r="N1449" s="2" t="str">
        <f t="shared" si="4"/>
        <v/>
      </c>
    </row>
    <row r="1450" ht="15.75" customHeight="1">
      <c r="A1450" s="3"/>
      <c r="B1450" s="2" t="str">
        <f t="shared" si="1"/>
        <v/>
      </c>
      <c r="E1450" s="2"/>
      <c r="F1450" s="2"/>
      <c r="G1450" s="2"/>
      <c r="H1450" s="2"/>
      <c r="I1450" s="2"/>
      <c r="J1450" s="2"/>
      <c r="K1450" s="2" t="str">
        <f t="shared" si="2"/>
        <v/>
      </c>
      <c r="L1450" s="2" t="str">
        <f t="shared" si="3"/>
        <v>No</v>
      </c>
      <c r="M1450" s="2" t="str">
        <f>IF(K1450="","",F1450*VLOOKUP(E1450,WEIGHTS!$A$2:$F$4,2,FALSE)+G1450*VLOOKUP(E1450,WEIGHTS!$A$2:$F$4,3,FALSE)+H1450*VLOOKUP(E1450,WEIGHTS!$A$2:$F$4,4,FALSE)+I1450*VLOOKUP(E1450,WEIGHTS!$A$2:$F$4,5,FALSE)+J1450*VLOOKUP(E1450,WEIGHTS!$A$2:$F$4,6,FALSE))</f>
        <v/>
      </c>
      <c r="N1450" s="2" t="str">
        <f t="shared" si="4"/>
        <v/>
      </c>
    </row>
    <row r="1451" ht="15.75" customHeight="1">
      <c r="A1451" s="3"/>
      <c r="B1451" s="2" t="str">
        <f t="shared" si="1"/>
        <v/>
      </c>
      <c r="E1451" s="2"/>
      <c r="F1451" s="2"/>
      <c r="G1451" s="2"/>
      <c r="H1451" s="2"/>
      <c r="I1451" s="2"/>
      <c r="J1451" s="2"/>
      <c r="K1451" s="2" t="str">
        <f t="shared" si="2"/>
        <v/>
      </c>
      <c r="L1451" s="2" t="str">
        <f t="shared" si="3"/>
        <v>No</v>
      </c>
      <c r="M1451" s="2" t="str">
        <f>IF(K1451="","",F1451*VLOOKUP(E1451,WEIGHTS!$A$2:$F$4,2,FALSE)+G1451*VLOOKUP(E1451,WEIGHTS!$A$2:$F$4,3,FALSE)+H1451*VLOOKUP(E1451,WEIGHTS!$A$2:$F$4,4,FALSE)+I1451*VLOOKUP(E1451,WEIGHTS!$A$2:$F$4,5,FALSE)+J1451*VLOOKUP(E1451,WEIGHTS!$A$2:$F$4,6,FALSE))</f>
        <v/>
      </c>
      <c r="N1451" s="2" t="str">
        <f t="shared" si="4"/>
        <v/>
      </c>
    </row>
    <row r="1452" ht="15.75" customHeight="1">
      <c r="A1452" s="3"/>
      <c r="B1452" s="2" t="str">
        <f t="shared" si="1"/>
        <v/>
      </c>
      <c r="E1452" s="2"/>
      <c r="F1452" s="2"/>
      <c r="G1452" s="2"/>
      <c r="H1452" s="2"/>
      <c r="I1452" s="2"/>
      <c r="J1452" s="2"/>
      <c r="K1452" s="2" t="str">
        <f t="shared" si="2"/>
        <v/>
      </c>
      <c r="L1452" s="2" t="str">
        <f t="shared" si="3"/>
        <v>No</v>
      </c>
      <c r="M1452" s="2" t="str">
        <f>IF(K1452="","",F1452*VLOOKUP(E1452,WEIGHTS!$A$2:$F$4,2,FALSE)+G1452*VLOOKUP(E1452,WEIGHTS!$A$2:$F$4,3,FALSE)+H1452*VLOOKUP(E1452,WEIGHTS!$A$2:$F$4,4,FALSE)+I1452*VLOOKUP(E1452,WEIGHTS!$A$2:$F$4,5,FALSE)+J1452*VLOOKUP(E1452,WEIGHTS!$A$2:$F$4,6,FALSE))</f>
        <v/>
      </c>
      <c r="N1452" s="2" t="str">
        <f t="shared" si="4"/>
        <v/>
      </c>
    </row>
    <row r="1453" ht="15.75" customHeight="1">
      <c r="A1453" s="3"/>
      <c r="B1453" s="2" t="str">
        <f t="shared" si="1"/>
        <v/>
      </c>
      <c r="E1453" s="2"/>
      <c r="F1453" s="2"/>
      <c r="G1453" s="2"/>
      <c r="H1453" s="2"/>
      <c r="I1453" s="2"/>
      <c r="J1453" s="2"/>
      <c r="K1453" s="2" t="str">
        <f t="shared" si="2"/>
        <v/>
      </c>
      <c r="L1453" s="2" t="str">
        <f t="shared" si="3"/>
        <v>No</v>
      </c>
      <c r="M1453" s="2" t="str">
        <f>IF(K1453="","",F1453*VLOOKUP(E1453,WEIGHTS!$A$2:$F$4,2,FALSE)+G1453*VLOOKUP(E1453,WEIGHTS!$A$2:$F$4,3,FALSE)+H1453*VLOOKUP(E1453,WEIGHTS!$A$2:$F$4,4,FALSE)+I1453*VLOOKUP(E1453,WEIGHTS!$A$2:$F$4,5,FALSE)+J1453*VLOOKUP(E1453,WEIGHTS!$A$2:$F$4,6,FALSE))</f>
        <v/>
      </c>
      <c r="N1453" s="2" t="str">
        <f t="shared" si="4"/>
        <v/>
      </c>
    </row>
    <row r="1454" ht="15.75" customHeight="1">
      <c r="A1454" s="3"/>
      <c r="B1454" s="2" t="str">
        <f t="shared" si="1"/>
        <v/>
      </c>
      <c r="E1454" s="2"/>
      <c r="F1454" s="2"/>
      <c r="G1454" s="2"/>
      <c r="H1454" s="2"/>
      <c r="I1454" s="2"/>
      <c r="J1454" s="2"/>
      <c r="K1454" s="2" t="str">
        <f t="shared" si="2"/>
        <v/>
      </c>
      <c r="L1454" s="2" t="str">
        <f t="shared" si="3"/>
        <v>No</v>
      </c>
      <c r="M1454" s="2" t="str">
        <f>IF(K1454="","",F1454*VLOOKUP(E1454,WEIGHTS!$A$2:$F$4,2,FALSE)+G1454*VLOOKUP(E1454,WEIGHTS!$A$2:$F$4,3,FALSE)+H1454*VLOOKUP(E1454,WEIGHTS!$A$2:$F$4,4,FALSE)+I1454*VLOOKUP(E1454,WEIGHTS!$A$2:$F$4,5,FALSE)+J1454*VLOOKUP(E1454,WEIGHTS!$A$2:$F$4,6,FALSE))</f>
        <v/>
      </c>
      <c r="N1454" s="2" t="str">
        <f t="shared" si="4"/>
        <v/>
      </c>
    </row>
    <row r="1455" ht="15.75" customHeight="1">
      <c r="A1455" s="3"/>
      <c r="B1455" s="2" t="str">
        <f t="shared" si="1"/>
        <v/>
      </c>
      <c r="E1455" s="2"/>
      <c r="F1455" s="2"/>
      <c r="G1455" s="2"/>
      <c r="H1455" s="2"/>
      <c r="I1455" s="2"/>
      <c r="J1455" s="2"/>
      <c r="K1455" s="2" t="str">
        <f t="shared" si="2"/>
        <v/>
      </c>
      <c r="L1455" s="2" t="str">
        <f t="shared" si="3"/>
        <v>No</v>
      </c>
      <c r="M1455" s="2" t="str">
        <f>IF(K1455="","",F1455*VLOOKUP(E1455,WEIGHTS!$A$2:$F$4,2,FALSE)+G1455*VLOOKUP(E1455,WEIGHTS!$A$2:$F$4,3,FALSE)+H1455*VLOOKUP(E1455,WEIGHTS!$A$2:$F$4,4,FALSE)+I1455*VLOOKUP(E1455,WEIGHTS!$A$2:$F$4,5,FALSE)+J1455*VLOOKUP(E1455,WEIGHTS!$A$2:$F$4,6,FALSE))</f>
        <v/>
      </c>
      <c r="N1455" s="2" t="str">
        <f t="shared" si="4"/>
        <v/>
      </c>
    </row>
    <row r="1456" ht="15.75" customHeight="1">
      <c r="A1456" s="3"/>
      <c r="B1456" s="2" t="str">
        <f t="shared" si="1"/>
        <v/>
      </c>
      <c r="E1456" s="2"/>
      <c r="F1456" s="2"/>
      <c r="G1456" s="2"/>
      <c r="H1456" s="2"/>
      <c r="I1456" s="2"/>
      <c r="J1456" s="2"/>
      <c r="K1456" s="2" t="str">
        <f t="shared" si="2"/>
        <v/>
      </c>
      <c r="L1456" s="2" t="str">
        <f t="shared" si="3"/>
        <v>No</v>
      </c>
      <c r="M1456" s="2" t="str">
        <f>IF(K1456="","",F1456*VLOOKUP(E1456,WEIGHTS!$A$2:$F$4,2,FALSE)+G1456*VLOOKUP(E1456,WEIGHTS!$A$2:$F$4,3,FALSE)+H1456*VLOOKUP(E1456,WEIGHTS!$A$2:$F$4,4,FALSE)+I1456*VLOOKUP(E1456,WEIGHTS!$A$2:$F$4,5,FALSE)+J1456*VLOOKUP(E1456,WEIGHTS!$A$2:$F$4,6,FALSE))</f>
        <v/>
      </c>
      <c r="N1456" s="2" t="str">
        <f t="shared" si="4"/>
        <v/>
      </c>
    </row>
    <row r="1457" ht="15.75" customHeight="1">
      <c r="A1457" s="3"/>
      <c r="B1457" s="2" t="str">
        <f t="shared" si="1"/>
        <v/>
      </c>
      <c r="E1457" s="2"/>
      <c r="F1457" s="2"/>
      <c r="G1457" s="2"/>
      <c r="H1457" s="2"/>
      <c r="I1457" s="2"/>
      <c r="J1457" s="2"/>
      <c r="K1457" s="2" t="str">
        <f t="shared" si="2"/>
        <v/>
      </c>
      <c r="L1457" s="2" t="str">
        <f t="shared" si="3"/>
        <v>No</v>
      </c>
      <c r="M1457" s="2" t="str">
        <f>IF(K1457="","",F1457*VLOOKUP(E1457,WEIGHTS!$A$2:$F$4,2,FALSE)+G1457*VLOOKUP(E1457,WEIGHTS!$A$2:$F$4,3,FALSE)+H1457*VLOOKUP(E1457,WEIGHTS!$A$2:$F$4,4,FALSE)+I1457*VLOOKUP(E1457,WEIGHTS!$A$2:$F$4,5,FALSE)+J1457*VLOOKUP(E1457,WEIGHTS!$A$2:$F$4,6,FALSE))</f>
        <v/>
      </c>
      <c r="N1457" s="2" t="str">
        <f t="shared" si="4"/>
        <v/>
      </c>
    </row>
    <row r="1458" ht="15.75" customHeight="1">
      <c r="A1458" s="3"/>
      <c r="B1458" s="2" t="str">
        <f t="shared" si="1"/>
        <v/>
      </c>
      <c r="E1458" s="2"/>
      <c r="F1458" s="2"/>
      <c r="G1458" s="2"/>
      <c r="H1458" s="2"/>
      <c r="I1458" s="2"/>
      <c r="J1458" s="2"/>
      <c r="K1458" s="2" t="str">
        <f t="shared" si="2"/>
        <v/>
      </c>
      <c r="L1458" s="2" t="str">
        <f t="shared" si="3"/>
        <v>No</v>
      </c>
      <c r="M1458" s="2" t="str">
        <f>IF(K1458="","",F1458*VLOOKUP(E1458,WEIGHTS!$A$2:$F$4,2,FALSE)+G1458*VLOOKUP(E1458,WEIGHTS!$A$2:$F$4,3,FALSE)+H1458*VLOOKUP(E1458,WEIGHTS!$A$2:$F$4,4,FALSE)+I1458*VLOOKUP(E1458,WEIGHTS!$A$2:$F$4,5,FALSE)+J1458*VLOOKUP(E1458,WEIGHTS!$A$2:$F$4,6,FALSE))</f>
        <v/>
      </c>
      <c r="N1458" s="2" t="str">
        <f t="shared" si="4"/>
        <v/>
      </c>
    </row>
    <row r="1459" ht="15.75" customHeight="1">
      <c r="A1459" s="3"/>
      <c r="B1459" s="2" t="str">
        <f t="shared" si="1"/>
        <v/>
      </c>
      <c r="E1459" s="2"/>
      <c r="F1459" s="2"/>
      <c r="G1459" s="2"/>
      <c r="H1459" s="2"/>
      <c r="I1459" s="2"/>
      <c r="J1459" s="2"/>
      <c r="K1459" s="2" t="str">
        <f t="shared" si="2"/>
        <v/>
      </c>
      <c r="L1459" s="2" t="str">
        <f t="shared" si="3"/>
        <v>No</v>
      </c>
      <c r="M1459" s="2" t="str">
        <f>IF(K1459="","",F1459*VLOOKUP(E1459,WEIGHTS!$A$2:$F$4,2,FALSE)+G1459*VLOOKUP(E1459,WEIGHTS!$A$2:$F$4,3,FALSE)+H1459*VLOOKUP(E1459,WEIGHTS!$A$2:$F$4,4,FALSE)+I1459*VLOOKUP(E1459,WEIGHTS!$A$2:$F$4,5,FALSE)+J1459*VLOOKUP(E1459,WEIGHTS!$A$2:$F$4,6,FALSE))</f>
        <v/>
      </c>
      <c r="N1459" s="2" t="str">
        <f t="shared" si="4"/>
        <v/>
      </c>
    </row>
    <row r="1460" ht="15.75" customHeight="1">
      <c r="A1460" s="3"/>
      <c r="B1460" s="2" t="str">
        <f t="shared" si="1"/>
        <v/>
      </c>
      <c r="E1460" s="2"/>
      <c r="F1460" s="2"/>
      <c r="G1460" s="2"/>
      <c r="H1460" s="2"/>
      <c r="I1460" s="2"/>
      <c r="J1460" s="2"/>
      <c r="K1460" s="2" t="str">
        <f t="shared" si="2"/>
        <v/>
      </c>
      <c r="L1460" s="2" t="str">
        <f t="shared" si="3"/>
        <v>No</v>
      </c>
      <c r="M1460" s="2" t="str">
        <f>IF(K1460="","",F1460*VLOOKUP(E1460,WEIGHTS!$A$2:$F$4,2,FALSE)+G1460*VLOOKUP(E1460,WEIGHTS!$A$2:$F$4,3,FALSE)+H1460*VLOOKUP(E1460,WEIGHTS!$A$2:$F$4,4,FALSE)+I1460*VLOOKUP(E1460,WEIGHTS!$A$2:$F$4,5,FALSE)+J1460*VLOOKUP(E1460,WEIGHTS!$A$2:$F$4,6,FALSE))</f>
        <v/>
      </c>
      <c r="N1460" s="2" t="str">
        <f t="shared" si="4"/>
        <v/>
      </c>
    </row>
    <row r="1461" ht="15.75" customHeight="1">
      <c r="A1461" s="3"/>
      <c r="B1461" s="2" t="str">
        <f t="shared" si="1"/>
        <v/>
      </c>
      <c r="E1461" s="2"/>
      <c r="F1461" s="2"/>
      <c r="G1461" s="2"/>
      <c r="H1461" s="2"/>
      <c r="I1461" s="2"/>
      <c r="J1461" s="2"/>
      <c r="K1461" s="2" t="str">
        <f t="shared" si="2"/>
        <v/>
      </c>
      <c r="L1461" s="2" t="str">
        <f t="shared" si="3"/>
        <v>No</v>
      </c>
      <c r="M1461" s="2" t="str">
        <f>IF(K1461="","",F1461*VLOOKUP(E1461,WEIGHTS!$A$2:$F$4,2,FALSE)+G1461*VLOOKUP(E1461,WEIGHTS!$A$2:$F$4,3,FALSE)+H1461*VLOOKUP(E1461,WEIGHTS!$A$2:$F$4,4,FALSE)+I1461*VLOOKUP(E1461,WEIGHTS!$A$2:$F$4,5,FALSE)+J1461*VLOOKUP(E1461,WEIGHTS!$A$2:$F$4,6,FALSE))</f>
        <v/>
      </c>
      <c r="N1461" s="2" t="str">
        <f t="shared" si="4"/>
        <v/>
      </c>
    </row>
    <row r="1462" ht="15.75" customHeight="1">
      <c r="A1462" s="3"/>
      <c r="B1462" s="2" t="str">
        <f t="shared" si="1"/>
        <v/>
      </c>
      <c r="E1462" s="2"/>
      <c r="F1462" s="2"/>
      <c r="G1462" s="2"/>
      <c r="H1462" s="2"/>
      <c r="I1462" s="2"/>
      <c r="J1462" s="2"/>
      <c r="K1462" s="2" t="str">
        <f t="shared" si="2"/>
        <v/>
      </c>
      <c r="L1462" s="2" t="str">
        <f t="shared" si="3"/>
        <v>No</v>
      </c>
      <c r="M1462" s="2" t="str">
        <f>IF(K1462="","",F1462*VLOOKUP(E1462,WEIGHTS!$A$2:$F$4,2,FALSE)+G1462*VLOOKUP(E1462,WEIGHTS!$A$2:$F$4,3,FALSE)+H1462*VLOOKUP(E1462,WEIGHTS!$A$2:$F$4,4,FALSE)+I1462*VLOOKUP(E1462,WEIGHTS!$A$2:$F$4,5,FALSE)+J1462*VLOOKUP(E1462,WEIGHTS!$A$2:$F$4,6,FALSE))</f>
        <v/>
      </c>
      <c r="N1462" s="2" t="str">
        <f t="shared" si="4"/>
        <v/>
      </c>
    </row>
    <row r="1463" ht="15.75" customHeight="1">
      <c r="A1463" s="3"/>
      <c r="B1463" s="2" t="str">
        <f t="shared" si="1"/>
        <v/>
      </c>
      <c r="E1463" s="2"/>
      <c r="F1463" s="2"/>
      <c r="G1463" s="2"/>
      <c r="H1463" s="2"/>
      <c r="I1463" s="2"/>
      <c r="J1463" s="2"/>
      <c r="K1463" s="2" t="str">
        <f t="shared" si="2"/>
        <v/>
      </c>
      <c r="L1463" s="2" t="str">
        <f t="shared" si="3"/>
        <v>No</v>
      </c>
      <c r="M1463" s="2" t="str">
        <f>IF(K1463="","",F1463*VLOOKUP(E1463,WEIGHTS!$A$2:$F$4,2,FALSE)+G1463*VLOOKUP(E1463,WEIGHTS!$A$2:$F$4,3,FALSE)+H1463*VLOOKUP(E1463,WEIGHTS!$A$2:$F$4,4,FALSE)+I1463*VLOOKUP(E1463,WEIGHTS!$A$2:$F$4,5,FALSE)+J1463*VLOOKUP(E1463,WEIGHTS!$A$2:$F$4,6,FALSE))</f>
        <v/>
      </c>
      <c r="N1463" s="2" t="str">
        <f t="shared" si="4"/>
        <v/>
      </c>
    </row>
    <row r="1464" ht="15.75" customHeight="1">
      <c r="A1464" s="3"/>
      <c r="B1464" s="2" t="str">
        <f t="shared" si="1"/>
        <v/>
      </c>
      <c r="E1464" s="2"/>
      <c r="F1464" s="2"/>
      <c r="G1464" s="2"/>
      <c r="H1464" s="2"/>
      <c r="I1464" s="2"/>
      <c r="J1464" s="2"/>
      <c r="K1464" s="2" t="str">
        <f t="shared" si="2"/>
        <v/>
      </c>
      <c r="L1464" s="2" t="str">
        <f t="shared" si="3"/>
        <v>No</v>
      </c>
      <c r="M1464" s="2" t="str">
        <f>IF(K1464="","",F1464*VLOOKUP(E1464,WEIGHTS!$A$2:$F$4,2,FALSE)+G1464*VLOOKUP(E1464,WEIGHTS!$A$2:$F$4,3,FALSE)+H1464*VLOOKUP(E1464,WEIGHTS!$A$2:$F$4,4,FALSE)+I1464*VLOOKUP(E1464,WEIGHTS!$A$2:$F$4,5,FALSE)+J1464*VLOOKUP(E1464,WEIGHTS!$A$2:$F$4,6,FALSE))</f>
        <v/>
      </c>
      <c r="N1464" s="2" t="str">
        <f t="shared" si="4"/>
        <v/>
      </c>
    </row>
    <row r="1465" ht="15.75" customHeight="1">
      <c r="A1465" s="3"/>
      <c r="B1465" s="2" t="str">
        <f t="shared" si="1"/>
        <v/>
      </c>
      <c r="E1465" s="2"/>
      <c r="F1465" s="2"/>
      <c r="G1465" s="2"/>
      <c r="H1465" s="2"/>
      <c r="I1465" s="2"/>
      <c r="J1465" s="2"/>
      <c r="K1465" s="2" t="str">
        <f t="shared" si="2"/>
        <v/>
      </c>
      <c r="L1465" s="2" t="str">
        <f t="shared" si="3"/>
        <v>No</v>
      </c>
      <c r="M1465" s="2" t="str">
        <f>IF(K1465="","",F1465*VLOOKUP(E1465,WEIGHTS!$A$2:$F$4,2,FALSE)+G1465*VLOOKUP(E1465,WEIGHTS!$A$2:$F$4,3,FALSE)+H1465*VLOOKUP(E1465,WEIGHTS!$A$2:$F$4,4,FALSE)+I1465*VLOOKUP(E1465,WEIGHTS!$A$2:$F$4,5,FALSE)+J1465*VLOOKUP(E1465,WEIGHTS!$A$2:$F$4,6,FALSE))</f>
        <v/>
      </c>
      <c r="N1465" s="2" t="str">
        <f t="shared" si="4"/>
        <v/>
      </c>
    </row>
    <row r="1466" ht="15.75" customHeight="1">
      <c r="A1466" s="3"/>
      <c r="B1466" s="2" t="str">
        <f t="shared" si="1"/>
        <v/>
      </c>
      <c r="E1466" s="2"/>
      <c r="F1466" s="2"/>
      <c r="G1466" s="2"/>
      <c r="H1466" s="2"/>
      <c r="I1466" s="2"/>
      <c r="J1466" s="2"/>
      <c r="K1466" s="2" t="str">
        <f t="shared" si="2"/>
        <v/>
      </c>
      <c r="L1466" s="2" t="str">
        <f t="shared" si="3"/>
        <v>No</v>
      </c>
      <c r="M1466" s="2" t="str">
        <f>IF(K1466="","",F1466*VLOOKUP(E1466,WEIGHTS!$A$2:$F$4,2,FALSE)+G1466*VLOOKUP(E1466,WEIGHTS!$A$2:$F$4,3,FALSE)+H1466*VLOOKUP(E1466,WEIGHTS!$A$2:$F$4,4,FALSE)+I1466*VLOOKUP(E1466,WEIGHTS!$A$2:$F$4,5,FALSE)+J1466*VLOOKUP(E1466,WEIGHTS!$A$2:$F$4,6,FALSE))</f>
        <v/>
      </c>
      <c r="N1466" s="2" t="str">
        <f t="shared" si="4"/>
        <v/>
      </c>
    </row>
    <row r="1467" ht="15.75" customHeight="1">
      <c r="A1467" s="3"/>
      <c r="B1467" s="2" t="str">
        <f t="shared" si="1"/>
        <v/>
      </c>
      <c r="E1467" s="2"/>
      <c r="F1467" s="2"/>
      <c r="G1467" s="2"/>
      <c r="H1467" s="2"/>
      <c r="I1467" s="2"/>
      <c r="J1467" s="2"/>
      <c r="K1467" s="2" t="str">
        <f t="shared" si="2"/>
        <v/>
      </c>
      <c r="L1467" s="2" t="str">
        <f t="shared" si="3"/>
        <v>No</v>
      </c>
      <c r="M1467" s="2" t="str">
        <f>IF(K1467="","",F1467*VLOOKUP(E1467,WEIGHTS!$A$2:$F$4,2,FALSE)+G1467*VLOOKUP(E1467,WEIGHTS!$A$2:$F$4,3,FALSE)+H1467*VLOOKUP(E1467,WEIGHTS!$A$2:$F$4,4,FALSE)+I1467*VLOOKUP(E1467,WEIGHTS!$A$2:$F$4,5,FALSE)+J1467*VLOOKUP(E1467,WEIGHTS!$A$2:$F$4,6,FALSE))</f>
        <v/>
      </c>
      <c r="N1467" s="2" t="str">
        <f t="shared" si="4"/>
        <v/>
      </c>
    </row>
    <row r="1468" ht="15.75" customHeight="1">
      <c r="A1468" s="3"/>
      <c r="B1468" s="2" t="str">
        <f t="shared" si="1"/>
        <v/>
      </c>
      <c r="E1468" s="2"/>
      <c r="F1468" s="2"/>
      <c r="G1468" s="2"/>
      <c r="H1468" s="2"/>
      <c r="I1468" s="2"/>
      <c r="J1468" s="2"/>
      <c r="K1468" s="2" t="str">
        <f t="shared" si="2"/>
        <v/>
      </c>
      <c r="L1468" s="2" t="str">
        <f t="shared" si="3"/>
        <v>No</v>
      </c>
      <c r="M1468" s="2" t="str">
        <f>IF(K1468="","",F1468*VLOOKUP(E1468,WEIGHTS!$A$2:$F$4,2,FALSE)+G1468*VLOOKUP(E1468,WEIGHTS!$A$2:$F$4,3,FALSE)+H1468*VLOOKUP(E1468,WEIGHTS!$A$2:$F$4,4,FALSE)+I1468*VLOOKUP(E1468,WEIGHTS!$A$2:$F$4,5,FALSE)+J1468*VLOOKUP(E1468,WEIGHTS!$A$2:$F$4,6,FALSE))</f>
        <v/>
      </c>
      <c r="N1468" s="2" t="str">
        <f t="shared" si="4"/>
        <v/>
      </c>
    </row>
    <row r="1469" ht="15.75" customHeight="1">
      <c r="A1469" s="3"/>
      <c r="B1469" s="2" t="str">
        <f t="shared" si="1"/>
        <v/>
      </c>
      <c r="E1469" s="2"/>
      <c r="F1469" s="2"/>
      <c r="G1469" s="2"/>
      <c r="H1469" s="2"/>
      <c r="I1469" s="2"/>
      <c r="J1469" s="2"/>
      <c r="K1469" s="2" t="str">
        <f t="shared" si="2"/>
        <v/>
      </c>
      <c r="L1469" s="2" t="str">
        <f t="shared" si="3"/>
        <v>No</v>
      </c>
      <c r="M1469" s="2" t="str">
        <f>IF(K1469="","",F1469*VLOOKUP(E1469,WEIGHTS!$A$2:$F$4,2,FALSE)+G1469*VLOOKUP(E1469,WEIGHTS!$A$2:$F$4,3,FALSE)+H1469*VLOOKUP(E1469,WEIGHTS!$A$2:$F$4,4,FALSE)+I1469*VLOOKUP(E1469,WEIGHTS!$A$2:$F$4,5,FALSE)+J1469*VLOOKUP(E1469,WEIGHTS!$A$2:$F$4,6,FALSE))</f>
        <v/>
      </c>
      <c r="N1469" s="2" t="str">
        <f t="shared" si="4"/>
        <v/>
      </c>
    </row>
    <row r="1470" ht="15.75" customHeight="1">
      <c r="A1470" s="3"/>
      <c r="B1470" s="2" t="str">
        <f t="shared" si="1"/>
        <v/>
      </c>
      <c r="E1470" s="2"/>
      <c r="F1470" s="2"/>
      <c r="G1470" s="2"/>
      <c r="H1470" s="2"/>
      <c r="I1470" s="2"/>
      <c r="J1470" s="2"/>
      <c r="K1470" s="2" t="str">
        <f t="shared" si="2"/>
        <v/>
      </c>
      <c r="L1470" s="2" t="str">
        <f t="shared" si="3"/>
        <v>No</v>
      </c>
      <c r="M1470" s="2" t="str">
        <f>IF(K1470="","",F1470*VLOOKUP(E1470,WEIGHTS!$A$2:$F$4,2,FALSE)+G1470*VLOOKUP(E1470,WEIGHTS!$A$2:$F$4,3,FALSE)+H1470*VLOOKUP(E1470,WEIGHTS!$A$2:$F$4,4,FALSE)+I1470*VLOOKUP(E1470,WEIGHTS!$A$2:$F$4,5,FALSE)+J1470*VLOOKUP(E1470,WEIGHTS!$A$2:$F$4,6,FALSE))</f>
        <v/>
      </c>
      <c r="N1470" s="2" t="str">
        <f t="shared" si="4"/>
        <v/>
      </c>
    </row>
    <row r="1471" ht="15.75" customHeight="1">
      <c r="A1471" s="3"/>
      <c r="B1471" s="2" t="str">
        <f t="shared" si="1"/>
        <v/>
      </c>
      <c r="E1471" s="2"/>
      <c r="F1471" s="2"/>
      <c r="G1471" s="2"/>
      <c r="H1471" s="2"/>
      <c r="I1471" s="2"/>
      <c r="J1471" s="2"/>
      <c r="K1471" s="2" t="str">
        <f t="shared" si="2"/>
        <v/>
      </c>
      <c r="L1471" s="2" t="str">
        <f t="shared" si="3"/>
        <v>No</v>
      </c>
      <c r="M1471" s="2" t="str">
        <f>IF(K1471="","",F1471*VLOOKUP(E1471,WEIGHTS!$A$2:$F$4,2,FALSE)+G1471*VLOOKUP(E1471,WEIGHTS!$A$2:$F$4,3,FALSE)+H1471*VLOOKUP(E1471,WEIGHTS!$A$2:$F$4,4,FALSE)+I1471*VLOOKUP(E1471,WEIGHTS!$A$2:$F$4,5,FALSE)+J1471*VLOOKUP(E1471,WEIGHTS!$A$2:$F$4,6,FALSE))</f>
        <v/>
      </c>
      <c r="N1471" s="2" t="str">
        <f t="shared" si="4"/>
        <v/>
      </c>
    </row>
    <row r="1472" ht="15.75" customHeight="1">
      <c r="A1472" s="3"/>
      <c r="B1472" s="2" t="str">
        <f t="shared" si="1"/>
        <v/>
      </c>
      <c r="E1472" s="2"/>
      <c r="F1472" s="2"/>
      <c r="G1472" s="2"/>
      <c r="H1472" s="2"/>
      <c r="I1472" s="2"/>
      <c r="J1472" s="2"/>
      <c r="K1472" s="2" t="str">
        <f t="shared" si="2"/>
        <v/>
      </c>
      <c r="L1472" s="2" t="str">
        <f t="shared" si="3"/>
        <v>No</v>
      </c>
      <c r="M1472" s="2" t="str">
        <f>IF(K1472="","",F1472*VLOOKUP(E1472,WEIGHTS!$A$2:$F$4,2,FALSE)+G1472*VLOOKUP(E1472,WEIGHTS!$A$2:$F$4,3,FALSE)+H1472*VLOOKUP(E1472,WEIGHTS!$A$2:$F$4,4,FALSE)+I1472*VLOOKUP(E1472,WEIGHTS!$A$2:$F$4,5,FALSE)+J1472*VLOOKUP(E1472,WEIGHTS!$A$2:$F$4,6,FALSE))</f>
        <v/>
      </c>
      <c r="N1472" s="2" t="str">
        <f t="shared" si="4"/>
        <v/>
      </c>
    </row>
    <row r="1473" ht="15.75" customHeight="1">
      <c r="A1473" s="3"/>
      <c r="B1473" s="2" t="str">
        <f t="shared" si="1"/>
        <v/>
      </c>
      <c r="E1473" s="2"/>
      <c r="F1473" s="2"/>
      <c r="G1473" s="2"/>
      <c r="H1473" s="2"/>
      <c r="I1473" s="2"/>
      <c r="J1473" s="2"/>
      <c r="K1473" s="2" t="str">
        <f t="shared" si="2"/>
        <v/>
      </c>
      <c r="L1473" s="2" t="str">
        <f t="shared" si="3"/>
        <v>No</v>
      </c>
      <c r="M1473" s="2" t="str">
        <f>IF(K1473="","",F1473*VLOOKUP(E1473,WEIGHTS!$A$2:$F$4,2,FALSE)+G1473*VLOOKUP(E1473,WEIGHTS!$A$2:$F$4,3,FALSE)+H1473*VLOOKUP(E1473,WEIGHTS!$A$2:$F$4,4,FALSE)+I1473*VLOOKUP(E1473,WEIGHTS!$A$2:$F$4,5,FALSE)+J1473*VLOOKUP(E1473,WEIGHTS!$A$2:$F$4,6,FALSE))</f>
        <v/>
      </c>
      <c r="N1473" s="2" t="str">
        <f t="shared" si="4"/>
        <v/>
      </c>
    </row>
    <row r="1474" ht="15.75" customHeight="1">
      <c r="A1474" s="3"/>
      <c r="B1474" s="2" t="str">
        <f t="shared" si="1"/>
        <v/>
      </c>
      <c r="E1474" s="2"/>
      <c r="F1474" s="2"/>
      <c r="G1474" s="2"/>
      <c r="H1474" s="2"/>
      <c r="I1474" s="2"/>
      <c r="J1474" s="2"/>
      <c r="K1474" s="2" t="str">
        <f t="shared" si="2"/>
        <v/>
      </c>
      <c r="L1474" s="2" t="str">
        <f t="shared" si="3"/>
        <v>No</v>
      </c>
      <c r="M1474" s="2" t="str">
        <f>IF(K1474="","",F1474*VLOOKUP(E1474,WEIGHTS!$A$2:$F$4,2,FALSE)+G1474*VLOOKUP(E1474,WEIGHTS!$A$2:$F$4,3,FALSE)+H1474*VLOOKUP(E1474,WEIGHTS!$A$2:$F$4,4,FALSE)+I1474*VLOOKUP(E1474,WEIGHTS!$A$2:$F$4,5,FALSE)+J1474*VLOOKUP(E1474,WEIGHTS!$A$2:$F$4,6,FALSE))</f>
        <v/>
      </c>
      <c r="N1474" s="2" t="str">
        <f t="shared" si="4"/>
        <v/>
      </c>
    </row>
    <row r="1475" ht="15.75" customHeight="1">
      <c r="A1475" s="3"/>
      <c r="B1475" s="2" t="str">
        <f t="shared" si="1"/>
        <v/>
      </c>
      <c r="E1475" s="2"/>
      <c r="F1475" s="2"/>
      <c r="G1475" s="2"/>
      <c r="H1475" s="2"/>
      <c r="I1475" s="2"/>
      <c r="J1475" s="2"/>
      <c r="K1475" s="2" t="str">
        <f t="shared" si="2"/>
        <v/>
      </c>
      <c r="L1475" s="2" t="str">
        <f t="shared" si="3"/>
        <v>No</v>
      </c>
      <c r="M1475" s="2" t="str">
        <f>IF(K1475="","",F1475*VLOOKUP(E1475,WEIGHTS!$A$2:$F$4,2,FALSE)+G1475*VLOOKUP(E1475,WEIGHTS!$A$2:$F$4,3,FALSE)+H1475*VLOOKUP(E1475,WEIGHTS!$A$2:$F$4,4,FALSE)+I1475*VLOOKUP(E1475,WEIGHTS!$A$2:$F$4,5,FALSE)+J1475*VLOOKUP(E1475,WEIGHTS!$A$2:$F$4,6,FALSE))</f>
        <v/>
      </c>
      <c r="N1475" s="2" t="str">
        <f t="shared" si="4"/>
        <v/>
      </c>
    </row>
    <row r="1476" ht="15.75" customHeight="1">
      <c r="A1476" s="3"/>
      <c r="B1476" s="2" t="str">
        <f t="shared" si="1"/>
        <v/>
      </c>
      <c r="E1476" s="2"/>
      <c r="F1476" s="2"/>
      <c r="G1476" s="2"/>
      <c r="H1476" s="2"/>
      <c r="I1476" s="2"/>
      <c r="J1476" s="2"/>
      <c r="K1476" s="2" t="str">
        <f t="shared" si="2"/>
        <v/>
      </c>
      <c r="L1476" s="2" t="str">
        <f t="shared" si="3"/>
        <v>No</v>
      </c>
      <c r="M1476" s="2" t="str">
        <f>IF(K1476="","",F1476*VLOOKUP(E1476,WEIGHTS!$A$2:$F$4,2,FALSE)+G1476*VLOOKUP(E1476,WEIGHTS!$A$2:$F$4,3,FALSE)+H1476*VLOOKUP(E1476,WEIGHTS!$A$2:$F$4,4,FALSE)+I1476*VLOOKUP(E1476,WEIGHTS!$A$2:$F$4,5,FALSE)+J1476*VLOOKUP(E1476,WEIGHTS!$A$2:$F$4,6,FALSE))</f>
        <v/>
      </c>
      <c r="N1476" s="2" t="str">
        <f t="shared" si="4"/>
        <v/>
      </c>
    </row>
    <row r="1477" ht="15.75" customHeight="1">
      <c r="A1477" s="3"/>
      <c r="B1477" s="2" t="str">
        <f t="shared" si="1"/>
        <v/>
      </c>
      <c r="E1477" s="2"/>
      <c r="F1477" s="2"/>
      <c r="G1477" s="2"/>
      <c r="H1477" s="2"/>
      <c r="I1477" s="2"/>
      <c r="J1477" s="2"/>
      <c r="K1477" s="2" t="str">
        <f t="shared" si="2"/>
        <v/>
      </c>
      <c r="L1477" s="2" t="str">
        <f t="shared" si="3"/>
        <v>No</v>
      </c>
      <c r="M1477" s="2" t="str">
        <f>IF(K1477="","",F1477*VLOOKUP(E1477,WEIGHTS!$A$2:$F$4,2,FALSE)+G1477*VLOOKUP(E1477,WEIGHTS!$A$2:$F$4,3,FALSE)+H1477*VLOOKUP(E1477,WEIGHTS!$A$2:$F$4,4,FALSE)+I1477*VLOOKUP(E1477,WEIGHTS!$A$2:$F$4,5,FALSE)+J1477*VLOOKUP(E1477,WEIGHTS!$A$2:$F$4,6,FALSE))</f>
        <v/>
      </c>
      <c r="N1477" s="2" t="str">
        <f t="shared" si="4"/>
        <v/>
      </c>
    </row>
    <row r="1478" ht="15.75" customHeight="1">
      <c r="A1478" s="3"/>
      <c r="B1478" s="2" t="str">
        <f t="shared" si="1"/>
        <v/>
      </c>
      <c r="E1478" s="2"/>
      <c r="F1478" s="2"/>
      <c r="G1478" s="2"/>
      <c r="H1478" s="2"/>
      <c r="I1478" s="2"/>
      <c r="J1478" s="2"/>
      <c r="K1478" s="2" t="str">
        <f t="shared" si="2"/>
        <v/>
      </c>
      <c r="L1478" s="2" t="str">
        <f t="shared" si="3"/>
        <v>No</v>
      </c>
      <c r="M1478" s="2" t="str">
        <f>IF(K1478="","",F1478*VLOOKUP(E1478,WEIGHTS!$A$2:$F$4,2,FALSE)+G1478*VLOOKUP(E1478,WEIGHTS!$A$2:$F$4,3,FALSE)+H1478*VLOOKUP(E1478,WEIGHTS!$A$2:$F$4,4,FALSE)+I1478*VLOOKUP(E1478,WEIGHTS!$A$2:$F$4,5,FALSE)+J1478*VLOOKUP(E1478,WEIGHTS!$A$2:$F$4,6,FALSE))</f>
        <v/>
      </c>
      <c r="N1478" s="2" t="str">
        <f t="shared" si="4"/>
        <v/>
      </c>
    </row>
    <row r="1479" ht="15.75" customHeight="1">
      <c r="A1479" s="3"/>
      <c r="B1479" s="2" t="str">
        <f t="shared" si="1"/>
        <v/>
      </c>
      <c r="E1479" s="2"/>
      <c r="F1479" s="2"/>
      <c r="G1479" s="2"/>
      <c r="H1479" s="2"/>
      <c r="I1479" s="2"/>
      <c r="J1479" s="2"/>
      <c r="K1479" s="2" t="str">
        <f t="shared" si="2"/>
        <v/>
      </c>
      <c r="L1479" s="2" t="str">
        <f t="shared" si="3"/>
        <v>No</v>
      </c>
      <c r="M1479" s="2" t="str">
        <f>IF(K1479="","",F1479*VLOOKUP(E1479,WEIGHTS!$A$2:$F$4,2,FALSE)+G1479*VLOOKUP(E1479,WEIGHTS!$A$2:$F$4,3,FALSE)+H1479*VLOOKUP(E1479,WEIGHTS!$A$2:$F$4,4,FALSE)+I1479*VLOOKUP(E1479,WEIGHTS!$A$2:$F$4,5,FALSE)+J1479*VLOOKUP(E1479,WEIGHTS!$A$2:$F$4,6,FALSE))</f>
        <v/>
      </c>
      <c r="N1479" s="2" t="str">
        <f t="shared" si="4"/>
        <v/>
      </c>
    </row>
    <row r="1480" ht="15.75" customHeight="1">
      <c r="A1480" s="3"/>
      <c r="B1480" s="2" t="str">
        <f t="shared" si="1"/>
        <v/>
      </c>
      <c r="E1480" s="2"/>
      <c r="F1480" s="2"/>
      <c r="G1480" s="2"/>
      <c r="H1480" s="2"/>
      <c r="I1480" s="2"/>
      <c r="J1480" s="2"/>
      <c r="K1480" s="2" t="str">
        <f t="shared" si="2"/>
        <v/>
      </c>
      <c r="L1480" s="2" t="str">
        <f t="shared" si="3"/>
        <v>No</v>
      </c>
      <c r="M1480" s="2" t="str">
        <f>IF(K1480="","",F1480*VLOOKUP(E1480,WEIGHTS!$A$2:$F$4,2,FALSE)+G1480*VLOOKUP(E1480,WEIGHTS!$A$2:$F$4,3,FALSE)+H1480*VLOOKUP(E1480,WEIGHTS!$A$2:$F$4,4,FALSE)+I1480*VLOOKUP(E1480,WEIGHTS!$A$2:$F$4,5,FALSE)+J1480*VLOOKUP(E1480,WEIGHTS!$A$2:$F$4,6,FALSE))</f>
        <v/>
      </c>
      <c r="N1480" s="2" t="str">
        <f t="shared" si="4"/>
        <v/>
      </c>
    </row>
    <row r="1481" ht="15.75" customHeight="1">
      <c r="A1481" s="3"/>
      <c r="B1481" s="2" t="str">
        <f t="shared" si="1"/>
        <v/>
      </c>
      <c r="E1481" s="2"/>
      <c r="F1481" s="2"/>
      <c r="G1481" s="2"/>
      <c r="H1481" s="2"/>
      <c r="I1481" s="2"/>
      <c r="J1481" s="2"/>
      <c r="K1481" s="2" t="str">
        <f t="shared" si="2"/>
        <v/>
      </c>
      <c r="L1481" s="2" t="str">
        <f t="shared" si="3"/>
        <v>No</v>
      </c>
      <c r="M1481" s="2" t="str">
        <f>IF(K1481="","",F1481*VLOOKUP(E1481,WEIGHTS!$A$2:$F$4,2,FALSE)+G1481*VLOOKUP(E1481,WEIGHTS!$A$2:$F$4,3,FALSE)+H1481*VLOOKUP(E1481,WEIGHTS!$A$2:$F$4,4,FALSE)+I1481*VLOOKUP(E1481,WEIGHTS!$A$2:$F$4,5,FALSE)+J1481*VLOOKUP(E1481,WEIGHTS!$A$2:$F$4,6,FALSE))</f>
        <v/>
      </c>
      <c r="N1481" s="2" t="str">
        <f t="shared" si="4"/>
        <v/>
      </c>
    </row>
    <row r="1482" ht="15.75" customHeight="1">
      <c r="A1482" s="3"/>
      <c r="B1482" s="2" t="str">
        <f t="shared" si="1"/>
        <v/>
      </c>
      <c r="E1482" s="2"/>
      <c r="F1482" s="2"/>
      <c r="G1482" s="2"/>
      <c r="H1482" s="2"/>
      <c r="I1482" s="2"/>
      <c r="J1482" s="2"/>
      <c r="K1482" s="2" t="str">
        <f t="shared" si="2"/>
        <v/>
      </c>
      <c r="L1482" s="2" t="str">
        <f t="shared" si="3"/>
        <v>No</v>
      </c>
      <c r="M1482" s="2" t="str">
        <f>IF(K1482="","",F1482*VLOOKUP(E1482,WEIGHTS!$A$2:$F$4,2,FALSE)+G1482*VLOOKUP(E1482,WEIGHTS!$A$2:$F$4,3,FALSE)+H1482*VLOOKUP(E1482,WEIGHTS!$A$2:$F$4,4,FALSE)+I1482*VLOOKUP(E1482,WEIGHTS!$A$2:$F$4,5,FALSE)+J1482*VLOOKUP(E1482,WEIGHTS!$A$2:$F$4,6,FALSE))</f>
        <v/>
      </c>
      <c r="N1482" s="2" t="str">
        <f t="shared" si="4"/>
        <v/>
      </c>
    </row>
    <row r="1483" ht="15.75" customHeight="1">
      <c r="A1483" s="3"/>
      <c r="B1483" s="2" t="str">
        <f t="shared" si="1"/>
        <v/>
      </c>
      <c r="E1483" s="2"/>
      <c r="F1483" s="2"/>
      <c r="G1483" s="2"/>
      <c r="H1483" s="2"/>
      <c r="I1483" s="2"/>
      <c r="J1483" s="2"/>
      <c r="K1483" s="2" t="str">
        <f t="shared" si="2"/>
        <v/>
      </c>
      <c r="L1483" s="2" t="str">
        <f t="shared" si="3"/>
        <v>No</v>
      </c>
      <c r="M1483" s="2" t="str">
        <f>IF(K1483="","",F1483*VLOOKUP(E1483,WEIGHTS!$A$2:$F$4,2,FALSE)+G1483*VLOOKUP(E1483,WEIGHTS!$A$2:$F$4,3,FALSE)+H1483*VLOOKUP(E1483,WEIGHTS!$A$2:$F$4,4,FALSE)+I1483*VLOOKUP(E1483,WEIGHTS!$A$2:$F$4,5,FALSE)+J1483*VLOOKUP(E1483,WEIGHTS!$A$2:$F$4,6,FALSE))</f>
        <v/>
      </c>
      <c r="N1483" s="2" t="str">
        <f t="shared" si="4"/>
        <v/>
      </c>
    </row>
    <row r="1484" ht="15.75" customHeight="1">
      <c r="A1484" s="3"/>
      <c r="B1484" s="2" t="str">
        <f t="shared" si="1"/>
        <v/>
      </c>
      <c r="E1484" s="2"/>
      <c r="F1484" s="2"/>
      <c r="G1484" s="2"/>
      <c r="H1484" s="2"/>
      <c r="I1484" s="2"/>
      <c r="J1484" s="2"/>
      <c r="K1484" s="2" t="str">
        <f t="shared" si="2"/>
        <v/>
      </c>
      <c r="L1484" s="2" t="str">
        <f t="shared" si="3"/>
        <v>No</v>
      </c>
      <c r="M1484" s="2" t="str">
        <f>IF(K1484="","",F1484*VLOOKUP(E1484,WEIGHTS!$A$2:$F$4,2,FALSE)+G1484*VLOOKUP(E1484,WEIGHTS!$A$2:$F$4,3,FALSE)+H1484*VLOOKUP(E1484,WEIGHTS!$A$2:$F$4,4,FALSE)+I1484*VLOOKUP(E1484,WEIGHTS!$A$2:$F$4,5,FALSE)+J1484*VLOOKUP(E1484,WEIGHTS!$A$2:$F$4,6,FALSE))</f>
        <v/>
      </c>
      <c r="N1484" s="2" t="str">
        <f t="shared" si="4"/>
        <v/>
      </c>
    </row>
    <row r="1485" ht="15.75" customHeight="1">
      <c r="A1485" s="3"/>
      <c r="B1485" s="2" t="str">
        <f t="shared" si="1"/>
        <v/>
      </c>
      <c r="E1485" s="2"/>
      <c r="F1485" s="2"/>
      <c r="G1485" s="2"/>
      <c r="H1485" s="2"/>
      <c r="I1485" s="2"/>
      <c r="J1485" s="2"/>
      <c r="K1485" s="2" t="str">
        <f t="shared" si="2"/>
        <v/>
      </c>
      <c r="L1485" s="2" t="str">
        <f t="shared" si="3"/>
        <v>No</v>
      </c>
      <c r="M1485" s="2" t="str">
        <f>IF(K1485="","",F1485*VLOOKUP(E1485,WEIGHTS!$A$2:$F$4,2,FALSE)+G1485*VLOOKUP(E1485,WEIGHTS!$A$2:$F$4,3,FALSE)+H1485*VLOOKUP(E1485,WEIGHTS!$A$2:$F$4,4,FALSE)+I1485*VLOOKUP(E1485,WEIGHTS!$A$2:$F$4,5,FALSE)+J1485*VLOOKUP(E1485,WEIGHTS!$A$2:$F$4,6,FALSE))</f>
        <v/>
      </c>
      <c r="N1485" s="2" t="str">
        <f t="shared" si="4"/>
        <v/>
      </c>
    </row>
    <row r="1486" ht="15.75" customHeight="1">
      <c r="A1486" s="3"/>
      <c r="B1486" s="2" t="str">
        <f t="shared" si="1"/>
        <v/>
      </c>
      <c r="E1486" s="2"/>
      <c r="F1486" s="2"/>
      <c r="G1486" s="2"/>
      <c r="H1486" s="2"/>
      <c r="I1486" s="2"/>
      <c r="J1486" s="2"/>
      <c r="K1486" s="2" t="str">
        <f t="shared" si="2"/>
        <v/>
      </c>
      <c r="L1486" s="2" t="str">
        <f t="shared" si="3"/>
        <v>No</v>
      </c>
      <c r="M1486" s="2" t="str">
        <f>IF(K1486="","",F1486*VLOOKUP(E1486,WEIGHTS!$A$2:$F$4,2,FALSE)+G1486*VLOOKUP(E1486,WEIGHTS!$A$2:$F$4,3,FALSE)+H1486*VLOOKUP(E1486,WEIGHTS!$A$2:$F$4,4,FALSE)+I1486*VLOOKUP(E1486,WEIGHTS!$A$2:$F$4,5,FALSE)+J1486*VLOOKUP(E1486,WEIGHTS!$A$2:$F$4,6,FALSE))</f>
        <v/>
      </c>
      <c r="N1486" s="2" t="str">
        <f t="shared" si="4"/>
        <v/>
      </c>
    </row>
    <row r="1487" ht="15.75" customHeight="1">
      <c r="A1487" s="3"/>
      <c r="B1487" s="2" t="str">
        <f t="shared" si="1"/>
        <v/>
      </c>
      <c r="E1487" s="2"/>
      <c r="F1487" s="2"/>
      <c r="G1487" s="2"/>
      <c r="H1487" s="2"/>
      <c r="I1487" s="2"/>
      <c r="J1487" s="2"/>
      <c r="K1487" s="2" t="str">
        <f t="shared" si="2"/>
        <v/>
      </c>
      <c r="L1487" s="2" t="str">
        <f t="shared" si="3"/>
        <v>No</v>
      </c>
      <c r="M1487" s="2" t="str">
        <f>IF(K1487="","",F1487*VLOOKUP(E1487,WEIGHTS!$A$2:$F$4,2,FALSE)+G1487*VLOOKUP(E1487,WEIGHTS!$A$2:$F$4,3,FALSE)+H1487*VLOOKUP(E1487,WEIGHTS!$A$2:$F$4,4,FALSE)+I1487*VLOOKUP(E1487,WEIGHTS!$A$2:$F$4,5,FALSE)+J1487*VLOOKUP(E1487,WEIGHTS!$A$2:$F$4,6,FALSE))</f>
        <v/>
      </c>
      <c r="N1487" s="2" t="str">
        <f t="shared" si="4"/>
        <v/>
      </c>
    </row>
    <row r="1488" ht="15.75" customHeight="1">
      <c r="A1488" s="3"/>
      <c r="B1488" s="2" t="str">
        <f t="shared" si="1"/>
        <v/>
      </c>
      <c r="E1488" s="2"/>
      <c r="F1488" s="2"/>
      <c r="G1488" s="2"/>
      <c r="H1488" s="2"/>
      <c r="I1488" s="2"/>
      <c r="J1488" s="2"/>
      <c r="K1488" s="2" t="str">
        <f t="shared" si="2"/>
        <v/>
      </c>
      <c r="L1488" s="2" t="str">
        <f t="shared" si="3"/>
        <v>No</v>
      </c>
      <c r="M1488" s="2" t="str">
        <f>IF(K1488="","",F1488*VLOOKUP(E1488,WEIGHTS!$A$2:$F$4,2,FALSE)+G1488*VLOOKUP(E1488,WEIGHTS!$A$2:$F$4,3,FALSE)+H1488*VLOOKUP(E1488,WEIGHTS!$A$2:$F$4,4,FALSE)+I1488*VLOOKUP(E1488,WEIGHTS!$A$2:$F$4,5,FALSE)+J1488*VLOOKUP(E1488,WEIGHTS!$A$2:$F$4,6,FALSE))</f>
        <v/>
      </c>
      <c r="N1488" s="2" t="str">
        <f t="shared" si="4"/>
        <v/>
      </c>
    </row>
    <row r="1489" ht="15.75" customHeight="1">
      <c r="A1489" s="3"/>
      <c r="B1489" s="2" t="str">
        <f t="shared" si="1"/>
        <v/>
      </c>
      <c r="E1489" s="2"/>
      <c r="F1489" s="2"/>
      <c r="G1489" s="2"/>
      <c r="H1489" s="2"/>
      <c r="I1489" s="2"/>
      <c r="J1489" s="2"/>
      <c r="K1489" s="2" t="str">
        <f t="shared" si="2"/>
        <v/>
      </c>
      <c r="L1489" s="2" t="str">
        <f t="shared" si="3"/>
        <v>No</v>
      </c>
      <c r="M1489" s="2" t="str">
        <f>IF(K1489="","",F1489*VLOOKUP(E1489,WEIGHTS!$A$2:$F$4,2,FALSE)+G1489*VLOOKUP(E1489,WEIGHTS!$A$2:$F$4,3,FALSE)+H1489*VLOOKUP(E1489,WEIGHTS!$A$2:$F$4,4,FALSE)+I1489*VLOOKUP(E1489,WEIGHTS!$A$2:$F$4,5,FALSE)+J1489*VLOOKUP(E1489,WEIGHTS!$A$2:$F$4,6,FALSE))</f>
        <v/>
      </c>
      <c r="N1489" s="2" t="str">
        <f t="shared" si="4"/>
        <v/>
      </c>
    </row>
    <row r="1490" ht="15.75" customHeight="1">
      <c r="A1490" s="3"/>
      <c r="B1490" s="2" t="str">
        <f t="shared" si="1"/>
        <v/>
      </c>
      <c r="E1490" s="2"/>
      <c r="F1490" s="2"/>
      <c r="G1490" s="2"/>
      <c r="H1490" s="2"/>
      <c r="I1490" s="2"/>
      <c r="J1490" s="2"/>
      <c r="K1490" s="2" t="str">
        <f t="shared" si="2"/>
        <v/>
      </c>
      <c r="L1490" s="2" t="str">
        <f t="shared" si="3"/>
        <v>No</v>
      </c>
      <c r="M1490" s="2" t="str">
        <f>IF(K1490="","",F1490*VLOOKUP(E1490,WEIGHTS!$A$2:$F$4,2,FALSE)+G1490*VLOOKUP(E1490,WEIGHTS!$A$2:$F$4,3,FALSE)+H1490*VLOOKUP(E1490,WEIGHTS!$A$2:$F$4,4,FALSE)+I1490*VLOOKUP(E1490,WEIGHTS!$A$2:$F$4,5,FALSE)+J1490*VLOOKUP(E1490,WEIGHTS!$A$2:$F$4,6,FALSE))</f>
        <v/>
      </c>
      <c r="N1490" s="2" t="str">
        <f t="shared" si="4"/>
        <v/>
      </c>
    </row>
    <row r="1491" ht="15.75" customHeight="1">
      <c r="A1491" s="3"/>
      <c r="B1491" s="2" t="str">
        <f t="shared" si="1"/>
        <v/>
      </c>
      <c r="E1491" s="2"/>
      <c r="F1491" s="2"/>
      <c r="G1491" s="2"/>
      <c r="H1491" s="2"/>
      <c r="I1491" s="2"/>
      <c r="J1491" s="2"/>
      <c r="K1491" s="2" t="str">
        <f t="shared" si="2"/>
        <v/>
      </c>
      <c r="L1491" s="2" t="str">
        <f t="shared" si="3"/>
        <v>No</v>
      </c>
      <c r="M1491" s="2" t="str">
        <f>IF(K1491="","",F1491*VLOOKUP(E1491,WEIGHTS!$A$2:$F$4,2,FALSE)+G1491*VLOOKUP(E1491,WEIGHTS!$A$2:$F$4,3,FALSE)+H1491*VLOOKUP(E1491,WEIGHTS!$A$2:$F$4,4,FALSE)+I1491*VLOOKUP(E1491,WEIGHTS!$A$2:$F$4,5,FALSE)+J1491*VLOOKUP(E1491,WEIGHTS!$A$2:$F$4,6,FALSE))</f>
        <v/>
      </c>
      <c r="N1491" s="2" t="str">
        <f t="shared" si="4"/>
        <v/>
      </c>
    </row>
    <row r="1492" ht="15.75" customHeight="1">
      <c r="A1492" s="3"/>
      <c r="B1492" s="2" t="str">
        <f t="shared" si="1"/>
        <v/>
      </c>
      <c r="E1492" s="2"/>
      <c r="F1492" s="2"/>
      <c r="G1492" s="2"/>
      <c r="H1492" s="2"/>
      <c r="I1492" s="2"/>
      <c r="J1492" s="2"/>
      <c r="K1492" s="2" t="str">
        <f t="shared" si="2"/>
        <v/>
      </c>
      <c r="L1492" s="2" t="str">
        <f t="shared" si="3"/>
        <v>No</v>
      </c>
      <c r="M1492" s="2" t="str">
        <f>IF(K1492="","",F1492*VLOOKUP(E1492,WEIGHTS!$A$2:$F$4,2,FALSE)+G1492*VLOOKUP(E1492,WEIGHTS!$A$2:$F$4,3,FALSE)+H1492*VLOOKUP(E1492,WEIGHTS!$A$2:$F$4,4,FALSE)+I1492*VLOOKUP(E1492,WEIGHTS!$A$2:$F$4,5,FALSE)+J1492*VLOOKUP(E1492,WEIGHTS!$A$2:$F$4,6,FALSE))</f>
        <v/>
      </c>
      <c r="N1492" s="2" t="str">
        <f t="shared" si="4"/>
        <v/>
      </c>
    </row>
    <row r="1493" ht="15.75" customHeight="1">
      <c r="A1493" s="3"/>
      <c r="B1493" s="2" t="str">
        <f t="shared" si="1"/>
        <v/>
      </c>
      <c r="E1493" s="2"/>
      <c r="F1493" s="2"/>
      <c r="G1493" s="2"/>
      <c r="H1493" s="2"/>
      <c r="I1493" s="2"/>
      <c r="J1493" s="2"/>
      <c r="K1493" s="2" t="str">
        <f t="shared" si="2"/>
        <v/>
      </c>
      <c r="L1493" s="2" t="str">
        <f t="shared" si="3"/>
        <v>No</v>
      </c>
      <c r="M1493" s="2" t="str">
        <f>IF(K1493="","",F1493*VLOOKUP(E1493,WEIGHTS!$A$2:$F$4,2,FALSE)+G1493*VLOOKUP(E1493,WEIGHTS!$A$2:$F$4,3,FALSE)+H1493*VLOOKUP(E1493,WEIGHTS!$A$2:$F$4,4,FALSE)+I1493*VLOOKUP(E1493,WEIGHTS!$A$2:$F$4,5,FALSE)+J1493*VLOOKUP(E1493,WEIGHTS!$A$2:$F$4,6,FALSE))</f>
        <v/>
      </c>
      <c r="N1493" s="2" t="str">
        <f t="shared" si="4"/>
        <v/>
      </c>
    </row>
    <row r="1494" ht="15.75" customHeight="1">
      <c r="A1494" s="3"/>
      <c r="B1494" s="2" t="str">
        <f t="shared" si="1"/>
        <v/>
      </c>
      <c r="E1494" s="2"/>
      <c r="F1494" s="2"/>
      <c r="G1494" s="2"/>
      <c r="H1494" s="2"/>
      <c r="I1494" s="2"/>
      <c r="J1494" s="2"/>
      <c r="K1494" s="2" t="str">
        <f t="shared" si="2"/>
        <v/>
      </c>
      <c r="L1494" s="2" t="str">
        <f t="shared" si="3"/>
        <v>No</v>
      </c>
      <c r="M1494" s="2" t="str">
        <f>IF(K1494="","",F1494*VLOOKUP(E1494,WEIGHTS!$A$2:$F$4,2,FALSE)+G1494*VLOOKUP(E1494,WEIGHTS!$A$2:$F$4,3,FALSE)+H1494*VLOOKUP(E1494,WEIGHTS!$A$2:$F$4,4,FALSE)+I1494*VLOOKUP(E1494,WEIGHTS!$A$2:$F$4,5,FALSE)+J1494*VLOOKUP(E1494,WEIGHTS!$A$2:$F$4,6,FALSE))</f>
        <v/>
      </c>
      <c r="N1494" s="2" t="str">
        <f t="shared" si="4"/>
        <v/>
      </c>
    </row>
    <row r="1495" ht="15.75" customHeight="1">
      <c r="A1495" s="3"/>
      <c r="B1495" s="2" t="str">
        <f t="shared" si="1"/>
        <v/>
      </c>
      <c r="E1495" s="2"/>
      <c r="F1495" s="2"/>
      <c r="G1495" s="2"/>
      <c r="H1495" s="2"/>
      <c r="I1495" s="2"/>
      <c r="J1495" s="2"/>
      <c r="K1495" s="2" t="str">
        <f t="shared" si="2"/>
        <v/>
      </c>
      <c r="L1495" s="2" t="str">
        <f t="shared" si="3"/>
        <v>No</v>
      </c>
      <c r="M1495" s="2" t="str">
        <f>IF(K1495="","",F1495*VLOOKUP(E1495,WEIGHTS!$A$2:$F$4,2,FALSE)+G1495*VLOOKUP(E1495,WEIGHTS!$A$2:$F$4,3,FALSE)+H1495*VLOOKUP(E1495,WEIGHTS!$A$2:$F$4,4,FALSE)+I1495*VLOOKUP(E1495,WEIGHTS!$A$2:$F$4,5,FALSE)+J1495*VLOOKUP(E1495,WEIGHTS!$A$2:$F$4,6,FALSE))</f>
        <v/>
      </c>
      <c r="N1495" s="2" t="str">
        <f t="shared" si="4"/>
        <v/>
      </c>
    </row>
    <row r="1496" ht="15.75" customHeight="1">
      <c r="A1496" s="3"/>
      <c r="B1496" s="2" t="str">
        <f t="shared" si="1"/>
        <v/>
      </c>
      <c r="E1496" s="2"/>
      <c r="F1496" s="2"/>
      <c r="G1496" s="2"/>
      <c r="H1496" s="2"/>
      <c r="I1496" s="2"/>
      <c r="J1496" s="2"/>
      <c r="K1496" s="2" t="str">
        <f t="shared" si="2"/>
        <v/>
      </c>
      <c r="L1496" s="2" t="str">
        <f t="shared" si="3"/>
        <v>No</v>
      </c>
      <c r="M1496" s="2" t="str">
        <f>IF(K1496="","",F1496*VLOOKUP(E1496,WEIGHTS!$A$2:$F$4,2,FALSE)+G1496*VLOOKUP(E1496,WEIGHTS!$A$2:$F$4,3,FALSE)+H1496*VLOOKUP(E1496,WEIGHTS!$A$2:$F$4,4,FALSE)+I1496*VLOOKUP(E1496,WEIGHTS!$A$2:$F$4,5,FALSE)+J1496*VLOOKUP(E1496,WEIGHTS!$A$2:$F$4,6,FALSE))</f>
        <v/>
      </c>
      <c r="N1496" s="2" t="str">
        <f t="shared" si="4"/>
        <v/>
      </c>
    </row>
    <row r="1497" ht="15.75" customHeight="1">
      <c r="A1497" s="3"/>
      <c r="B1497" s="2" t="str">
        <f t="shared" si="1"/>
        <v/>
      </c>
      <c r="E1497" s="2"/>
      <c r="F1497" s="2"/>
      <c r="G1497" s="2"/>
      <c r="H1497" s="2"/>
      <c r="I1497" s="2"/>
      <c r="J1497" s="2"/>
      <c r="K1497" s="2" t="str">
        <f t="shared" si="2"/>
        <v/>
      </c>
      <c r="L1497" s="2" t="str">
        <f t="shared" si="3"/>
        <v>No</v>
      </c>
      <c r="M1497" s="2" t="str">
        <f>IF(K1497="","",F1497*VLOOKUP(E1497,WEIGHTS!$A$2:$F$4,2,FALSE)+G1497*VLOOKUP(E1497,WEIGHTS!$A$2:$F$4,3,FALSE)+H1497*VLOOKUP(E1497,WEIGHTS!$A$2:$F$4,4,FALSE)+I1497*VLOOKUP(E1497,WEIGHTS!$A$2:$F$4,5,FALSE)+J1497*VLOOKUP(E1497,WEIGHTS!$A$2:$F$4,6,FALSE))</f>
        <v/>
      </c>
      <c r="N1497" s="2" t="str">
        <f t="shared" si="4"/>
        <v/>
      </c>
    </row>
    <row r="1498" ht="15.75" customHeight="1">
      <c r="A1498" s="3"/>
      <c r="B1498" s="2" t="str">
        <f t="shared" si="1"/>
        <v/>
      </c>
      <c r="E1498" s="2"/>
      <c r="F1498" s="2"/>
      <c r="G1498" s="2"/>
      <c r="H1498" s="2"/>
      <c r="I1498" s="2"/>
      <c r="J1498" s="2"/>
      <c r="K1498" s="2" t="str">
        <f t="shared" si="2"/>
        <v/>
      </c>
      <c r="L1498" s="2" t="str">
        <f t="shared" si="3"/>
        <v>No</v>
      </c>
      <c r="M1498" s="2" t="str">
        <f>IF(K1498="","",F1498*VLOOKUP(E1498,WEIGHTS!$A$2:$F$4,2,FALSE)+G1498*VLOOKUP(E1498,WEIGHTS!$A$2:$F$4,3,FALSE)+H1498*VLOOKUP(E1498,WEIGHTS!$A$2:$F$4,4,FALSE)+I1498*VLOOKUP(E1498,WEIGHTS!$A$2:$F$4,5,FALSE)+J1498*VLOOKUP(E1498,WEIGHTS!$A$2:$F$4,6,FALSE))</f>
        <v/>
      </c>
      <c r="N1498" s="2" t="str">
        <f t="shared" si="4"/>
        <v/>
      </c>
    </row>
    <row r="1499" ht="15.75" customHeight="1">
      <c r="A1499" s="3"/>
      <c r="B1499" s="2" t="str">
        <f t="shared" si="1"/>
        <v/>
      </c>
      <c r="E1499" s="2"/>
      <c r="F1499" s="2"/>
      <c r="G1499" s="2"/>
      <c r="H1499" s="2"/>
      <c r="I1499" s="2"/>
      <c r="J1499" s="2"/>
      <c r="K1499" s="2" t="str">
        <f t="shared" si="2"/>
        <v/>
      </c>
      <c r="L1499" s="2" t="str">
        <f t="shared" si="3"/>
        <v>No</v>
      </c>
      <c r="M1499" s="2" t="str">
        <f>IF(K1499="","",F1499*VLOOKUP(E1499,WEIGHTS!$A$2:$F$4,2,FALSE)+G1499*VLOOKUP(E1499,WEIGHTS!$A$2:$F$4,3,FALSE)+H1499*VLOOKUP(E1499,WEIGHTS!$A$2:$F$4,4,FALSE)+I1499*VLOOKUP(E1499,WEIGHTS!$A$2:$F$4,5,FALSE)+J1499*VLOOKUP(E1499,WEIGHTS!$A$2:$F$4,6,FALSE))</f>
        <v/>
      </c>
      <c r="N1499" s="2" t="str">
        <f t="shared" si="4"/>
        <v/>
      </c>
    </row>
    <row r="1500" ht="15.75" customHeight="1">
      <c r="A1500" s="3"/>
      <c r="B1500" s="2" t="str">
        <f t="shared" si="1"/>
        <v/>
      </c>
      <c r="E1500" s="2"/>
      <c r="F1500" s="2"/>
      <c r="G1500" s="2"/>
      <c r="H1500" s="2"/>
      <c r="I1500" s="2"/>
      <c r="J1500" s="2"/>
      <c r="K1500" s="2" t="str">
        <f t="shared" si="2"/>
        <v/>
      </c>
      <c r="L1500" s="2" t="str">
        <f t="shared" si="3"/>
        <v>No</v>
      </c>
      <c r="M1500" s="2" t="str">
        <f>IF(K1500="","",F1500*VLOOKUP(E1500,WEIGHTS!$A$2:$F$4,2,FALSE)+G1500*VLOOKUP(E1500,WEIGHTS!$A$2:$F$4,3,FALSE)+H1500*VLOOKUP(E1500,WEIGHTS!$A$2:$F$4,4,FALSE)+I1500*VLOOKUP(E1500,WEIGHTS!$A$2:$F$4,5,FALSE)+J1500*VLOOKUP(E1500,WEIGHTS!$A$2:$F$4,6,FALSE))</f>
        <v/>
      </c>
      <c r="N1500" s="2" t="str">
        <f t="shared" si="4"/>
        <v/>
      </c>
    </row>
    <row r="1501" ht="15.75" customHeight="1">
      <c r="A1501" s="3"/>
      <c r="B1501" s="2" t="str">
        <f t="shared" si="1"/>
        <v/>
      </c>
      <c r="E1501" s="2"/>
      <c r="F1501" s="2"/>
      <c r="G1501" s="2"/>
      <c r="H1501" s="2"/>
      <c r="I1501" s="2"/>
      <c r="J1501" s="2"/>
      <c r="K1501" s="2" t="str">
        <f t="shared" si="2"/>
        <v/>
      </c>
      <c r="L1501" s="2" t="str">
        <f t="shared" si="3"/>
        <v>No</v>
      </c>
      <c r="M1501" s="2" t="str">
        <f>IF(K1501="","",F1501*VLOOKUP(E1501,WEIGHTS!$A$2:$F$4,2,FALSE)+G1501*VLOOKUP(E1501,WEIGHTS!$A$2:$F$4,3,FALSE)+H1501*VLOOKUP(E1501,WEIGHTS!$A$2:$F$4,4,FALSE)+I1501*VLOOKUP(E1501,WEIGHTS!$A$2:$F$4,5,FALSE)+J1501*VLOOKUP(E1501,WEIGHTS!$A$2:$F$4,6,FALSE))</f>
        <v/>
      </c>
      <c r="N1501" s="2" t="str">
        <f t="shared" si="4"/>
        <v/>
      </c>
    </row>
    <row r="1502" ht="15.75" customHeight="1">
      <c r="A1502" s="3"/>
      <c r="B1502" s="2" t="str">
        <f t="shared" si="1"/>
        <v/>
      </c>
      <c r="E1502" s="2"/>
      <c r="F1502" s="2"/>
      <c r="G1502" s="2"/>
      <c r="H1502" s="2"/>
      <c r="I1502" s="2"/>
      <c r="J1502" s="2"/>
      <c r="K1502" s="2" t="str">
        <f t="shared" si="2"/>
        <v/>
      </c>
      <c r="L1502" s="2" t="str">
        <f t="shared" si="3"/>
        <v>No</v>
      </c>
      <c r="M1502" s="2" t="str">
        <f>IF(K1502="","",F1502*VLOOKUP(E1502,WEIGHTS!$A$2:$F$4,2,FALSE)+G1502*VLOOKUP(E1502,WEIGHTS!$A$2:$F$4,3,FALSE)+H1502*VLOOKUP(E1502,WEIGHTS!$A$2:$F$4,4,FALSE)+I1502*VLOOKUP(E1502,WEIGHTS!$A$2:$F$4,5,FALSE)+J1502*VLOOKUP(E1502,WEIGHTS!$A$2:$F$4,6,FALSE))</f>
        <v/>
      </c>
      <c r="N1502" s="2" t="str">
        <f t="shared" si="4"/>
        <v/>
      </c>
    </row>
    <row r="1503" ht="15.75" customHeight="1">
      <c r="A1503" s="3"/>
      <c r="B1503" s="2" t="str">
        <f t="shared" si="1"/>
        <v/>
      </c>
      <c r="E1503" s="2"/>
      <c r="F1503" s="2"/>
      <c r="G1503" s="2"/>
      <c r="H1503" s="2"/>
      <c r="I1503" s="2"/>
      <c r="J1503" s="2"/>
      <c r="K1503" s="2" t="str">
        <f t="shared" si="2"/>
        <v/>
      </c>
      <c r="L1503" s="2" t="str">
        <f t="shared" si="3"/>
        <v>No</v>
      </c>
      <c r="M1503" s="2" t="str">
        <f>IF(K1503="","",F1503*VLOOKUP(E1503,WEIGHTS!$A$2:$F$4,2,FALSE)+G1503*VLOOKUP(E1503,WEIGHTS!$A$2:$F$4,3,FALSE)+H1503*VLOOKUP(E1503,WEIGHTS!$A$2:$F$4,4,FALSE)+I1503*VLOOKUP(E1503,WEIGHTS!$A$2:$F$4,5,FALSE)+J1503*VLOOKUP(E1503,WEIGHTS!$A$2:$F$4,6,FALSE))</f>
        <v/>
      </c>
      <c r="N1503" s="2" t="str">
        <f t="shared" si="4"/>
        <v/>
      </c>
    </row>
    <row r="1504" ht="15.75" customHeight="1">
      <c r="A1504" s="3"/>
      <c r="B1504" s="2" t="str">
        <f t="shared" si="1"/>
        <v/>
      </c>
      <c r="E1504" s="2"/>
      <c r="F1504" s="2"/>
      <c r="G1504" s="2"/>
      <c r="H1504" s="2"/>
      <c r="I1504" s="2"/>
      <c r="J1504" s="2"/>
      <c r="K1504" s="2" t="str">
        <f t="shared" si="2"/>
        <v/>
      </c>
      <c r="L1504" s="2" t="str">
        <f t="shared" si="3"/>
        <v>No</v>
      </c>
      <c r="M1504" s="2" t="str">
        <f>IF(K1504="","",F1504*VLOOKUP(E1504,WEIGHTS!$A$2:$F$4,2,FALSE)+G1504*VLOOKUP(E1504,WEIGHTS!$A$2:$F$4,3,FALSE)+H1504*VLOOKUP(E1504,WEIGHTS!$A$2:$F$4,4,FALSE)+I1504*VLOOKUP(E1504,WEIGHTS!$A$2:$F$4,5,FALSE)+J1504*VLOOKUP(E1504,WEIGHTS!$A$2:$F$4,6,FALSE))</f>
        <v/>
      </c>
      <c r="N1504" s="2" t="str">
        <f t="shared" si="4"/>
        <v/>
      </c>
    </row>
    <row r="1505" ht="15.75" customHeight="1">
      <c r="A1505" s="3"/>
      <c r="B1505" s="2" t="str">
        <f t="shared" si="1"/>
        <v/>
      </c>
      <c r="E1505" s="2"/>
      <c r="F1505" s="2"/>
      <c r="G1505" s="2"/>
      <c r="H1505" s="2"/>
      <c r="I1505" s="2"/>
      <c r="J1505" s="2"/>
      <c r="K1505" s="2" t="str">
        <f t="shared" si="2"/>
        <v/>
      </c>
      <c r="L1505" s="2" t="str">
        <f t="shared" si="3"/>
        <v>No</v>
      </c>
      <c r="M1505" s="2" t="str">
        <f>IF(K1505="","",F1505*VLOOKUP(E1505,WEIGHTS!$A$2:$F$4,2,FALSE)+G1505*VLOOKUP(E1505,WEIGHTS!$A$2:$F$4,3,FALSE)+H1505*VLOOKUP(E1505,WEIGHTS!$A$2:$F$4,4,FALSE)+I1505*VLOOKUP(E1505,WEIGHTS!$A$2:$F$4,5,FALSE)+J1505*VLOOKUP(E1505,WEIGHTS!$A$2:$F$4,6,FALSE))</f>
        <v/>
      </c>
      <c r="N1505" s="2" t="str">
        <f t="shared" si="4"/>
        <v/>
      </c>
    </row>
    <row r="1506" ht="15.75" customHeight="1">
      <c r="A1506" s="3"/>
      <c r="B1506" s="2" t="str">
        <f t="shared" si="1"/>
        <v/>
      </c>
      <c r="E1506" s="2"/>
      <c r="F1506" s="2"/>
      <c r="G1506" s="2"/>
      <c r="H1506" s="2"/>
      <c r="I1506" s="2"/>
      <c r="J1506" s="2"/>
      <c r="K1506" s="2" t="str">
        <f t="shared" si="2"/>
        <v/>
      </c>
      <c r="L1506" s="2" t="str">
        <f t="shared" si="3"/>
        <v>No</v>
      </c>
      <c r="M1506" s="2" t="str">
        <f>IF(K1506="","",F1506*VLOOKUP(E1506,WEIGHTS!$A$2:$F$4,2,FALSE)+G1506*VLOOKUP(E1506,WEIGHTS!$A$2:$F$4,3,FALSE)+H1506*VLOOKUP(E1506,WEIGHTS!$A$2:$F$4,4,FALSE)+I1506*VLOOKUP(E1506,WEIGHTS!$A$2:$F$4,5,FALSE)+J1506*VLOOKUP(E1506,WEIGHTS!$A$2:$F$4,6,FALSE))</f>
        <v/>
      </c>
      <c r="N1506" s="2" t="str">
        <f t="shared" si="4"/>
        <v/>
      </c>
    </row>
    <row r="1507" ht="15.75" customHeight="1">
      <c r="A1507" s="3"/>
      <c r="B1507" s="2" t="str">
        <f t="shared" si="1"/>
        <v/>
      </c>
      <c r="E1507" s="2"/>
      <c r="F1507" s="2"/>
      <c r="G1507" s="2"/>
      <c r="H1507" s="2"/>
      <c r="I1507" s="2"/>
      <c r="J1507" s="2"/>
      <c r="K1507" s="2" t="str">
        <f t="shared" si="2"/>
        <v/>
      </c>
      <c r="L1507" s="2" t="str">
        <f t="shared" si="3"/>
        <v>No</v>
      </c>
      <c r="M1507" s="2" t="str">
        <f>IF(K1507="","",F1507*VLOOKUP(E1507,WEIGHTS!$A$2:$F$4,2,FALSE)+G1507*VLOOKUP(E1507,WEIGHTS!$A$2:$F$4,3,FALSE)+H1507*VLOOKUP(E1507,WEIGHTS!$A$2:$F$4,4,FALSE)+I1507*VLOOKUP(E1507,WEIGHTS!$A$2:$F$4,5,FALSE)+J1507*VLOOKUP(E1507,WEIGHTS!$A$2:$F$4,6,FALSE))</f>
        <v/>
      </c>
      <c r="N1507" s="2" t="str">
        <f t="shared" si="4"/>
        <v/>
      </c>
    </row>
    <row r="1508" ht="15.75" customHeight="1">
      <c r="A1508" s="3"/>
      <c r="B1508" s="2" t="str">
        <f t="shared" si="1"/>
        <v/>
      </c>
      <c r="E1508" s="2"/>
      <c r="F1508" s="2"/>
      <c r="G1508" s="2"/>
      <c r="H1508" s="2"/>
      <c r="I1508" s="2"/>
      <c r="J1508" s="2"/>
      <c r="K1508" s="2" t="str">
        <f t="shared" si="2"/>
        <v/>
      </c>
      <c r="L1508" s="2" t="str">
        <f t="shared" si="3"/>
        <v>No</v>
      </c>
      <c r="M1508" s="2" t="str">
        <f>IF(K1508="","",F1508*VLOOKUP(E1508,WEIGHTS!$A$2:$F$4,2,FALSE)+G1508*VLOOKUP(E1508,WEIGHTS!$A$2:$F$4,3,FALSE)+H1508*VLOOKUP(E1508,WEIGHTS!$A$2:$F$4,4,FALSE)+I1508*VLOOKUP(E1508,WEIGHTS!$A$2:$F$4,5,FALSE)+J1508*VLOOKUP(E1508,WEIGHTS!$A$2:$F$4,6,FALSE))</f>
        <v/>
      </c>
      <c r="N1508" s="2" t="str">
        <f t="shared" si="4"/>
        <v/>
      </c>
    </row>
    <row r="1509" ht="15.75" customHeight="1">
      <c r="A1509" s="3"/>
      <c r="B1509" s="2" t="str">
        <f t="shared" si="1"/>
        <v/>
      </c>
      <c r="E1509" s="2"/>
      <c r="F1509" s="2"/>
      <c r="G1509" s="2"/>
      <c r="H1509" s="2"/>
      <c r="I1509" s="2"/>
      <c r="J1509" s="2"/>
      <c r="K1509" s="2" t="str">
        <f t="shared" si="2"/>
        <v/>
      </c>
      <c r="L1509" s="2" t="str">
        <f t="shared" si="3"/>
        <v>No</v>
      </c>
      <c r="M1509" s="2" t="str">
        <f>IF(K1509="","",F1509*VLOOKUP(E1509,WEIGHTS!$A$2:$F$4,2,FALSE)+G1509*VLOOKUP(E1509,WEIGHTS!$A$2:$F$4,3,FALSE)+H1509*VLOOKUP(E1509,WEIGHTS!$A$2:$F$4,4,FALSE)+I1509*VLOOKUP(E1509,WEIGHTS!$A$2:$F$4,5,FALSE)+J1509*VLOOKUP(E1509,WEIGHTS!$A$2:$F$4,6,FALSE))</f>
        <v/>
      </c>
      <c r="N1509" s="2" t="str">
        <f t="shared" si="4"/>
        <v/>
      </c>
    </row>
    <row r="1510" ht="15.75" customHeight="1">
      <c r="A1510" s="3"/>
      <c r="B1510" s="2" t="str">
        <f t="shared" si="1"/>
        <v/>
      </c>
      <c r="E1510" s="2"/>
      <c r="F1510" s="2"/>
      <c r="G1510" s="2"/>
      <c r="H1510" s="2"/>
      <c r="I1510" s="2"/>
      <c r="J1510" s="2"/>
      <c r="K1510" s="2" t="str">
        <f t="shared" si="2"/>
        <v/>
      </c>
      <c r="L1510" s="2" t="str">
        <f t="shared" si="3"/>
        <v>No</v>
      </c>
      <c r="M1510" s="2" t="str">
        <f>IF(K1510="","",F1510*VLOOKUP(E1510,WEIGHTS!$A$2:$F$4,2,FALSE)+G1510*VLOOKUP(E1510,WEIGHTS!$A$2:$F$4,3,FALSE)+H1510*VLOOKUP(E1510,WEIGHTS!$A$2:$F$4,4,FALSE)+I1510*VLOOKUP(E1510,WEIGHTS!$A$2:$F$4,5,FALSE)+J1510*VLOOKUP(E1510,WEIGHTS!$A$2:$F$4,6,FALSE))</f>
        <v/>
      </c>
      <c r="N1510" s="2" t="str">
        <f t="shared" si="4"/>
        <v/>
      </c>
    </row>
    <row r="1511" ht="15.75" customHeight="1">
      <c r="A1511" s="3"/>
      <c r="B1511" s="2" t="str">
        <f t="shared" si="1"/>
        <v/>
      </c>
      <c r="E1511" s="2"/>
      <c r="F1511" s="2"/>
      <c r="G1511" s="2"/>
      <c r="H1511" s="2"/>
      <c r="I1511" s="2"/>
      <c r="J1511" s="2"/>
      <c r="K1511" s="2" t="str">
        <f t="shared" si="2"/>
        <v/>
      </c>
      <c r="L1511" s="2" t="str">
        <f t="shared" si="3"/>
        <v>No</v>
      </c>
      <c r="M1511" s="2" t="str">
        <f>IF(K1511="","",F1511*VLOOKUP(E1511,WEIGHTS!$A$2:$F$4,2,FALSE)+G1511*VLOOKUP(E1511,WEIGHTS!$A$2:$F$4,3,FALSE)+H1511*VLOOKUP(E1511,WEIGHTS!$A$2:$F$4,4,FALSE)+I1511*VLOOKUP(E1511,WEIGHTS!$A$2:$F$4,5,FALSE)+J1511*VLOOKUP(E1511,WEIGHTS!$A$2:$F$4,6,FALSE))</f>
        <v/>
      </c>
      <c r="N1511" s="2" t="str">
        <f t="shared" si="4"/>
        <v/>
      </c>
    </row>
    <row r="1512" ht="15.75" customHeight="1">
      <c r="A1512" s="3"/>
      <c r="B1512" s="2" t="str">
        <f t="shared" si="1"/>
        <v/>
      </c>
      <c r="E1512" s="2"/>
      <c r="F1512" s="2"/>
      <c r="G1512" s="2"/>
      <c r="H1512" s="2"/>
      <c r="I1512" s="2"/>
      <c r="J1512" s="2"/>
      <c r="K1512" s="2" t="str">
        <f t="shared" si="2"/>
        <v/>
      </c>
      <c r="L1512" s="2" t="str">
        <f t="shared" si="3"/>
        <v>No</v>
      </c>
      <c r="M1512" s="2" t="str">
        <f>IF(K1512="","",F1512*VLOOKUP(E1512,WEIGHTS!$A$2:$F$4,2,FALSE)+G1512*VLOOKUP(E1512,WEIGHTS!$A$2:$F$4,3,FALSE)+H1512*VLOOKUP(E1512,WEIGHTS!$A$2:$F$4,4,FALSE)+I1512*VLOOKUP(E1512,WEIGHTS!$A$2:$F$4,5,FALSE)+J1512*VLOOKUP(E1512,WEIGHTS!$A$2:$F$4,6,FALSE))</f>
        <v/>
      </c>
      <c r="N1512" s="2" t="str">
        <f t="shared" si="4"/>
        <v/>
      </c>
    </row>
    <row r="1513" ht="15.75" customHeight="1">
      <c r="A1513" s="3"/>
      <c r="B1513" s="2" t="str">
        <f t="shared" si="1"/>
        <v/>
      </c>
      <c r="E1513" s="2"/>
      <c r="F1513" s="2"/>
      <c r="G1513" s="2"/>
      <c r="H1513" s="2"/>
      <c r="I1513" s="2"/>
      <c r="J1513" s="2"/>
      <c r="K1513" s="2" t="str">
        <f t="shared" si="2"/>
        <v/>
      </c>
      <c r="L1513" s="2" t="str">
        <f t="shared" si="3"/>
        <v>No</v>
      </c>
      <c r="M1513" s="2" t="str">
        <f>IF(K1513="","",F1513*VLOOKUP(E1513,WEIGHTS!$A$2:$F$4,2,FALSE)+G1513*VLOOKUP(E1513,WEIGHTS!$A$2:$F$4,3,FALSE)+H1513*VLOOKUP(E1513,WEIGHTS!$A$2:$F$4,4,FALSE)+I1513*VLOOKUP(E1513,WEIGHTS!$A$2:$F$4,5,FALSE)+J1513*VLOOKUP(E1513,WEIGHTS!$A$2:$F$4,6,FALSE))</f>
        <v/>
      </c>
      <c r="N1513" s="2" t="str">
        <f t="shared" si="4"/>
        <v/>
      </c>
    </row>
    <row r="1514" ht="15.75" customHeight="1">
      <c r="A1514" s="3"/>
      <c r="B1514" s="2" t="str">
        <f t="shared" si="1"/>
        <v/>
      </c>
      <c r="E1514" s="2"/>
      <c r="F1514" s="2"/>
      <c r="G1514" s="2"/>
      <c r="H1514" s="2"/>
      <c r="I1514" s="2"/>
      <c r="J1514" s="2"/>
      <c r="K1514" s="2" t="str">
        <f t="shared" si="2"/>
        <v/>
      </c>
      <c r="L1514" s="2" t="str">
        <f t="shared" si="3"/>
        <v>No</v>
      </c>
      <c r="M1514" s="2" t="str">
        <f>IF(K1514="","",F1514*VLOOKUP(E1514,WEIGHTS!$A$2:$F$4,2,FALSE)+G1514*VLOOKUP(E1514,WEIGHTS!$A$2:$F$4,3,FALSE)+H1514*VLOOKUP(E1514,WEIGHTS!$A$2:$F$4,4,FALSE)+I1514*VLOOKUP(E1514,WEIGHTS!$A$2:$F$4,5,FALSE)+J1514*VLOOKUP(E1514,WEIGHTS!$A$2:$F$4,6,FALSE))</f>
        <v/>
      </c>
      <c r="N1514" s="2" t="str">
        <f t="shared" si="4"/>
        <v/>
      </c>
    </row>
    <row r="1515" ht="15.75" customHeight="1">
      <c r="A1515" s="3"/>
      <c r="B1515" s="2" t="str">
        <f t="shared" si="1"/>
        <v/>
      </c>
      <c r="E1515" s="2"/>
      <c r="F1515" s="2"/>
      <c r="G1515" s="2"/>
      <c r="H1515" s="2"/>
      <c r="I1515" s="2"/>
      <c r="J1515" s="2"/>
      <c r="K1515" s="2" t="str">
        <f t="shared" si="2"/>
        <v/>
      </c>
      <c r="L1515" s="2" t="str">
        <f t="shared" si="3"/>
        <v>No</v>
      </c>
      <c r="M1515" s="2" t="str">
        <f>IF(K1515="","",F1515*VLOOKUP(E1515,WEIGHTS!$A$2:$F$4,2,FALSE)+G1515*VLOOKUP(E1515,WEIGHTS!$A$2:$F$4,3,FALSE)+H1515*VLOOKUP(E1515,WEIGHTS!$A$2:$F$4,4,FALSE)+I1515*VLOOKUP(E1515,WEIGHTS!$A$2:$F$4,5,FALSE)+J1515*VLOOKUP(E1515,WEIGHTS!$A$2:$F$4,6,FALSE))</f>
        <v/>
      </c>
      <c r="N1515" s="2" t="str">
        <f t="shared" si="4"/>
        <v/>
      </c>
    </row>
    <row r="1516" ht="15.75" customHeight="1">
      <c r="A1516" s="3"/>
      <c r="B1516" s="2" t="str">
        <f t="shared" si="1"/>
        <v/>
      </c>
      <c r="E1516" s="2"/>
      <c r="F1516" s="2"/>
      <c r="G1516" s="2"/>
      <c r="H1516" s="2"/>
      <c r="I1516" s="2"/>
      <c r="J1516" s="2"/>
      <c r="K1516" s="2" t="str">
        <f t="shared" si="2"/>
        <v/>
      </c>
      <c r="L1516" s="2" t="str">
        <f t="shared" si="3"/>
        <v>No</v>
      </c>
      <c r="M1516" s="2" t="str">
        <f>IF(K1516="","",F1516*VLOOKUP(E1516,WEIGHTS!$A$2:$F$4,2,FALSE)+G1516*VLOOKUP(E1516,WEIGHTS!$A$2:$F$4,3,FALSE)+H1516*VLOOKUP(E1516,WEIGHTS!$A$2:$F$4,4,FALSE)+I1516*VLOOKUP(E1516,WEIGHTS!$A$2:$F$4,5,FALSE)+J1516*VLOOKUP(E1516,WEIGHTS!$A$2:$F$4,6,FALSE))</f>
        <v/>
      </c>
      <c r="N1516" s="2" t="str">
        <f t="shared" si="4"/>
        <v/>
      </c>
    </row>
    <row r="1517" ht="15.75" customHeight="1">
      <c r="A1517" s="3"/>
      <c r="B1517" s="2" t="str">
        <f t="shared" si="1"/>
        <v/>
      </c>
      <c r="E1517" s="2"/>
      <c r="F1517" s="2"/>
      <c r="G1517" s="2"/>
      <c r="H1517" s="2"/>
      <c r="I1517" s="2"/>
      <c r="J1517" s="2"/>
      <c r="K1517" s="2" t="str">
        <f t="shared" si="2"/>
        <v/>
      </c>
      <c r="L1517" s="2" t="str">
        <f t="shared" si="3"/>
        <v>No</v>
      </c>
      <c r="M1517" s="2" t="str">
        <f>IF(K1517="","",F1517*VLOOKUP(E1517,WEIGHTS!$A$2:$F$4,2,FALSE)+G1517*VLOOKUP(E1517,WEIGHTS!$A$2:$F$4,3,FALSE)+H1517*VLOOKUP(E1517,WEIGHTS!$A$2:$F$4,4,FALSE)+I1517*VLOOKUP(E1517,WEIGHTS!$A$2:$F$4,5,FALSE)+J1517*VLOOKUP(E1517,WEIGHTS!$A$2:$F$4,6,FALSE))</f>
        <v/>
      </c>
      <c r="N1517" s="2" t="str">
        <f t="shared" si="4"/>
        <v/>
      </c>
    </row>
    <row r="1518" ht="15.75" customHeight="1">
      <c r="A1518" s="3"/>
      <c r="B1518" s="2" t="str">
        <f t="shared" si="1"/>
        <v/>
      </c>
      <c r="E1518" s="2"/>
      <c r="F1518" s="2"/>
      <c r="G1518" s="2"/>
      <c r="H1518" s="2"/>
      <c r="I1518" s="2"/>
      <c r="J1518" s="2"/>
      <c r="K1518" s="2" t="str">
        <f t="shared" si="2"/>
        <v/>
      </c>
      <c r="L1518" s="2" t="str">
        <f t="shared" si="3"/>
        <v>No</v>
      </c>
      <c r="M1518" s="2" t="str">
        <f>IF(K1518="","",F1518*VLOOKUP(E1518,WEIGHTS!$A$2:$F$4,2,FALSE)+G1518*VLOOKUP(E1518,WEIGHTS!$A$2:$F$4,3,FALSE)+H1518*VLOOKUP(E1518,WEIGHTS!$A$2:$F$4,4,FALSE)+I1518*VLOOKUP(E1518,WEIGHTS!$A$2:$F$4,5,FALSE)+J1518*VLOOKUP(E1518,WEIGHTS!$A$2:$F$4,6,FALSE))</f>
        <v/>
      </c>
      <c r="N1518" s="2" t="str">
        <f t="shared" si="4"/>
        <v/>
      </c>
    </row>
    <row r="1519" ht="15.75" customHeight="1">
      <c r="A1519" s="3"/>
      <c r="B1519" s="2" t="str">
        <f t="shared" si="1"/>
        <v/>
      </c>
      <c r="E1519" s="2"/>
      <c r="F1519" s="2"/>
      <c r="G1519" s="2"/>
      <c r="H1519" s="2"/>
      <c r="I1519" s="2"/>
      <c r="J1519" s="2"/>
      <c r="K1519" s="2" t="str">
        <f t="shared" si="2"/>
        <v/>
      </c>
      <c r="L1519" s="2" t="str">
        <f t="shared" si="3"/>
        <v>No</v>
      </c>
      <c r="M1519" s="2" t="str">
        <f>IF(K1519="","",F1519*VLOOKUP(E1519,WEIGHTS!$A$2:$F$4,2,FALSE)+G1519*VLOOKUP(E1519,WEIGHTS!$A$2:$F$4,3,FALSE)+H1519*VLOOKUP(E1519,WEIGHTS!$A$2:$F$4,4,FALSE)+I1519*VLOOKUP(E1519,WEIGHTS!$A$2:$F$4,5,FALSE)+J1519*VLOOKUP(E1519,WEIGHTS!$A$2:$F$4,6,FALSE))</f>
        <v/>
      </c>
      <c r="N1519" s="2" t="str">
        <f t="shared" si="4"/>
        <v/>
      </c>
    </row>
    <row r="1520" ht="15.75" customHeight="1">
      <c r="A1520" s="3"/>
      <c r="B1520" s="2" t="str">
        <f t="shared" si="1"/>
        <v/>
      </c>
      <c r="E1520" s="2"/>
      <c r="F1520" s="2"/>
      <c r="G1520" s="2"/>
      <c r="H1520" s="2"/>
      <c r="I1520" s="2"/>
      <c r="J1520" s="2"/>
      <c r="K1520" s="2" t="str">
        <f t="shared" si="2"/>
        <v/>
      </c>
      <c r="L1520" s="2" t="str">
        <f t="shared" si="3"/>
        <v>No</v>
      </c>
      <c r="M1520" s="2" t="str">
        <f>IF(K1520="","",F1520*VLOOKUP(E1520,WEIGHTS!$A$2:$F$4,2,FALSE)+G1520*VLOOKUP(E1520,WEIGHTS!$A$2:$F$4,3,FALSE)+H1520*VLOOKUP(E1520,WEIGHTS!$A$2:$F$4,4,FALSE)+I1520*VLOOKUP(E1520,WEIGHTS!$A$2:$F$4,5,FALSE)+J1520*VLOOKUP(E1520,WEIGHTS!$A$2:$F$4,6,FALSE))</f>
        <v/>
      </c>
      <c r="N1520" s="2" t="str">
        <f t="shared" si="4"/>
        <v/>
      </c>
    </row>
    <row r="1521" ht="15.75" customHeight="1">
      <c r="A1521" s="3"/>
      <c r="B1521" s="2" t="str">
        <f t="shared" si="1"/>
        <v/>
      </c>
      <c r="E1521" s="2"/>
      <c r="F1521" s="2"/>
      <c r="G1521" s="2"/>
      <c r="H1521" s="2"/>
      <c r="I1521" s="2"/>
      <c r="J1521" s="2"/>
      <c r="K1521" s="2" t="str">
        <f t="shared" si="2"/>
        <v/>
      </c>
      <c r="L1521" s="2" t="str">
        <f t="shared" si="3"/>
        <v>No</v>
      </c>
      <c r="M1521" s="2" t="str">
        <f>IF(K1521="","",F1521*VLOOKUP(E1521,WEIGHTS!$A$2:$F$4,2,FALSE)+G1521*VLOOKUP(E1521,WEIGHTS!$A$2:$F$4,3,FALSE)+H1521*VLOOKUP(E1521,WEIGHTS!$A$2:$F$4,4,FALSE)+I1521*VLOOKUP(E1521,WEIGHTS!$A$2:$F$4,5,FALSE)+J1521*VLOOKUP(E1521,WEIGHTS!$A$2:$F$4,6,FALSE))</f>
        <v/>
      </c>
      <c r="N1521" s="2" t="str">
        <f t="shared" si="4"/>
        <v/>
      </c>
    </row>
    <row r="1522" ht="15.75" customHeight="1">
      <c r="A1522" s="3"/>
      <c r="B1522" s="2" t="str">
        <f t="shared" si="1"/>
        <v/>
      </c>
      <c r="E1522" s="2"/>
      <c r="F1522" s="2"/>
      <c r="G1522" s="2"/>
      <c r="H1522" s="2"/>
      <c r="I1522" s="2"/>
      <c r="J1522" s="2"/>
      <c r="K1522" s="2" t="str">
        <f t="shared" si="2"/>
        <v/>
      </c>
      <c r="L1522" s="2" t="str">
        <f t="shared" si="3"/>
        <v>No</v>
      </c>
      <c r="M1522" s="2" t="str">
        <f>IF(K1522="","",F1522*VLOOKUP(E1522,WEIGHTS!$A$2:$F$4,2,FALSE)+G1522*VLOOKUP(E1522,WEIGHTS!$A$2:$F$4,3,FALSE)+H1522*VLOOKUP(E1522,WEIGHTS!$A$2:$F$4,4,FALSE)+I1522*VLOOKUP(E1522,WEIGHTS!$A$2:$F$4,5,FALSE)+J1522*VLOOKUP(E1522,WEIGHTS!$A$2:$F$4,6,FALSE))</f>
        <v/>
      </c>
      <c r="N1522" s="2" t="str">
        <f t="shared" si="4"/>
        <v/>
      </c>
    </row>
    <row r="1523" ht="15.75" customHeight="1">
      <c r="A1523" s="3"/>
      <c r="B1523" s="2" t="str">
        <f t="shared" si="1"/>
        <v/>
      </c>
      <c r="E1523" s="2"/>
      <c r="F1523" s="2"/>
      <c r="G1523" s="2"/>
      <c r="H1523" s="2"/>
      <c r="I1523" s="2"/>
      <c r="J1523" s="2"/>
      <c r="K1523" s="2" t="str">
        <f t="shared" si="2"/>
        <v/>
      </c>
      <c r="L1523" s="2" t="str">
        <f t="shared" si="3"/>
        <v>No</v>
      </c>
      <c r="M1523" s="2" t="str">
        <f>IF(K1523="","",F1523*VLOOKUP(E1523,WEIGHTS!$A$2:$F$4,2,FALSE)+G1523*VLOOKUP(E1523,WEIGHTS!$A$2:$F$4,3,FALSE)+H1523*VLOOKUP(E1523,WEIGHTS!$A$2:$F$4,4,FALSE)+I1523*VLOOKUP(E1523,WEIGHTS!$A$2:$F$4,5,FALSE)+J1523*VLOOKUP(E1523,WEIGHTS!$A$2:$F$4,6,FALSE))</f>
        <v/>
      </c>
      <c r="N1523" s="2" t="str">
        <f t="shared" si="4"/>
        <v/>
      </c>
    </row>
    <row r="1524" ht="15.75" customHeight="1">
      <c r="A1524" s="3"/>
      <c r="B1524" s="2" t="str">
        <f t="shared" si="1"/>
        <v/>
      </c>
      <c r="E1524" s="2"/>
      <c r="F1524" s="2"/>
      <c r="G1524" s="2"/>
      <c r="H1524" s="2"/>
      <c r="I1524" s="2"/>
      <c r="J1524" s="2"/>
      <c r="K1524" s="2" t="str">
        <f t="shared" si="2"/>
        <v/>
      </c>
      <c r="L1524" s="2" t="str">
        <f t="shared" si="3"/>
        <v>No</v>
      </c>
      <c r="M1524" s="2" t="str">
        <f>IF(K1524="","",F1524*VLOOKUP(E1524,WEIGHTS!$A$2:$F$4,2,FALSE)+G1524*VLOOKUP(E1524,WEIGHTS!$A$2:$F$4,3,FALSE)+H1524*VLOOKUP(E1524,WEIGHTS!$A$2:$F$4,4,FALSE)+I1524*VLOOKUP(E1524,WEIGHTS!$A$2:$F$4,5,FALSE)+J1524*VLOOKUP(E1524,WEIGHTS!$A$2:$F$4,6,FALSE))</f>
        <v/>
      </c>
      <c r="N1524" s="2" t="str">
        <f t="shared" si="4"/>
        <v/>
      </c>
    </row>
    <row r="1525" ht="15.75" customHeight="1">
      <c r="A1525" s="3"/>
      <c r="B1525" s="2" t="str">
        <f t="shared" si="1"/>
        <v/>
      </c>
      <c r="E1525" s="2"/>
      <c r="F1525" s="2"/>
      <c r="G1525" s="2"/>
      <c r="H1525" s="2"/>
      <c r="I1525" s="2"/>
      <c r="J1525" s="2"/>
      <c r="K1525" s="2" t="str">
        <f t="shared" si="2"/>
        <v/>
      </c>
      <c r="L1525" s="2" t="str">
        <f t="shared" si="3"/>
        <v>No</v>
      </c>
      <c r="M1525" s="2" t="str">
        <f>IF(K1525="","",F1525*VLOOKUP(E1525,WEIGHTS!$A$2:$F$4,2,FALSE)+G1525*VLOOKUP(E1525,WEIGHTS!$A$2:$F$4,3,FALSE)+H1525*VLOOKUP(E1525,WEIGHTS!$A$2:$F$4,4,FALSE)+I1525*VLOOKUP(E1525,WEIGHTS!$A$2:$F$4,5,FALSE)+J1525*VLOOKUP(E1525,WEIGHTS!$A$2:$F$4,6,FALSE))</f>
        <v/>
      </c>
      <c r="N1525" s="2" t="str">
        <f t="shared" si="4"/>
        <v/>
      </c>
    </row>
    <row r="1526" ht="15.75" customHeight="1">
      <c r="A1526" s="3"/>
      <c r="B1526" s="2" t="str">
        <f t="shared" si="1"/>
        <v/>
      </c>
      <c r="E1526" s="2"/>
      <c r="F1526" s="2"/>
      <c r="G1526" s="2"/>
      <c r="H1526" s="2"/>
      <c r="I1526" s="2"/>
      <c r="J1526" s="2"/>
      <c r="K1526" s="2" t="str">
        <f t="shared" si="2"/>
        <v/>
      </c>
      <c r="L1526" s="2" t="str">
        <f t="shared" si="3"/>
        <v>No</v>
      </c>
      <c r="M1526" s="2" t="str">
        <f>IF(K1526="","",F1526*VLOOKUP(E1526,WEIGHTS!$A$2:$F$4,2,FALSE)+G1526*VLOOKUP(E1526,WEIGHTS!$A$2:$F$4,3,FALSE)+H1526*VLOOKUP(E1526,WEIGHTS!$A$2:$F$4,4,FALSE)+I1526*VLOOKUP(E1526,WEIGHTS!$A$2:$F$4,5,FALSE)+J1526*VLOOKUP(E1526,WEIGHTS!$A$2:$F$4,6,FALSE))</f>
        <v/>
      </c>
      <c r="N1526" s="2" t="str">
        <f t="shared" si="4"/>
        <v/>
      </c>
    </row>
    <row r="1527" ht="15.75" customHeight="1">
      <c r="A1527" s="3"/>
      <c r="B1527" s="2" t="str">
        <f t="shared" si="1"/>
        <v/>
      </c>
      <c r="E1527" s="2"/>
      <c r="F1527" s="2"/>
      <c r="G1527" s="2"/>
      <c r="H1527" s="2"/>
      <c r="I1527" s="2"/>
      <c r="J1527" s="2"/>
      <c r="K1527" s="2" t="str">
        <f t="shared" si="2"/>
        <v/>
      </c>
      <c r="L1527" s="2" t="str">
        <f t="shared" si="3"/>
        <v>No</v>
      </c>
      <c r="M1527" s="2" t="str">
        <f>IF(K1527="","",F1527*VLOOKUP(E1527,WEIGHTS!$A$2:$F$4,2,FALSE)+G1527*VLOOKUP(E1527,WEIGHTS!$A$2:$F$4,3,FALSE)+H1527*VLOOKUP(E1527,WEIGHTS!$A$2:$F$4,4,FALSE)+I1527*VLOOKUP(E1527,WEIGHTS!$A$2:$F$4,5,FALSE)+J1527*VLOOKUP(E1527,WEIGHTS!$A$2:$F$4,6,FALSE))</f>
        <v/>
      </c>
      <c r="N1527" s="2" t="str">
        <f t="shared" si="4"/>
        <v/>
      </c>
    </row>
    <row r="1528" ht="15.75" customHeight="1">
      <c r="A1528" s="3"/>
      <c r="B1528" s="2" t="str">
        <f t="shared" si="1"/>
        <v/>
      </c>
      <c r="E1528" s="2"/>
      <c r="F1528" s="2"/>
      <c r="G1528" s="2"/>
      <c r="H1528" s="2"/>
      <c r="I1528" s="2"/>
      <c r="J1528" s="2"/>
      <c r="K1528" s="2" t="str">
        <f t="shared" si="2"/>
        <v/>
      </c>
      <c r="L1528" s="2" t="str">
        <f t="shared" si="3"/>
        <v>No</v>
      </c>
      <c r="M1528" s="2" t="str">
        <f>IF(K1528="","",F1528*VLOOKUP(E1528,WEIGHTS!$A$2:$F$4,2,FALSE)+G1528*VLOOKUP(E1528,WEIGHTS!$A$2:$F$4,3,FALSE)+H1528*VLOOKUP(E1528,WEIGHTS!$A$2:$F$4,4,FALSE)+I1528*VLOOKUP(E1528,WEIGHTS!$A$2:$F$4,5,FALSE)+J1528*VLOOKUP(E1528,WEIGHTS!$A$2:$F$4,6,FALSE))</f>
        <v/>
      </c>
      <c r="N1528" s="2" t="str">
        <f t="shared" si="4"/>
        <v/>
      </c>
    </row>
    <row r="1529" ht="15.75" customHeight="1">
      <c r="A1529" s="3"/>
      <c r="B1529" s="2" t="str">
        <f t="shared" si="1"/>
        <v/>
      </c>
      <c r="E1529" s="2"/>
      <c r="F1529" s="2"/>
      <c r="G1529" s="2"/>
      <c r="H1529" s="2"/>
      <c r="I1529" s="2"/>
      <c r="J1529" s="2"/>
      <c r="K1529" s="2" t="str">
        <f t="shared" si="2"/>
        <v/>
      </c>
      <c r="L1529" s="2" t="str">
        <f t="shared" si="3"/>
        <v>No</v>
      </c>
      <c r="M1529" s="2" t="str">
        <f>IF(K1529="","",F1529*VLOOKUP(E1529,WEIGHTS!$A$2:$F$4,2,FALSE)+G1529*VLOOKUP(E1529,WEIGHTS!$A$2:$F$4,3,FALSE)+H1529*VLOOKUP(E1529,WEIGHTS!$A$2:$F$4,4,FALSE)+I1529*VLOOKUP(E1529,WEIGHTS!$A$2:$F$4,5,FALSE)+J1529*VLOOKUP(E1529,WEIGHTS!$A$2:$F$4,6,FALSE))</f>
        <v/>
      </c>
      <c r="N1529" s="2" t="str">
        <f t="shared" si="4"/>
        <v/>
      </c>
    </row>
    <row r="1530" ht="15.75" customHeight="1">
      <c r="A1530" s="3"/>
      <c r="B1530" s="2" t="str">
        <f t="shared" si="1"/>
        <v/>
      </c>
      <c r="E1530" s="2"/>
      <c r="F1530" s="2"/>
      <c r="G1530" s="2"/>
      <c r="H1530" s="2"/>
      <c r="I1530" s="2"/>
      <c r="J1530" s="2"/>
      <c r="K1530" s="2" t="str">
        <f t="shared" si="2"/>
        <v/>
      </c>
      <c r="L1530" s="2" t="str">
        <f t="shared" si="3"/>
        <v>No</v>
      </c>
      <c r="M1530" s="2" t="str">
        <f>IF(K1530="","",F1530*VLOOKUP(E1530,WEIGHTS!$A$2:$F$4,2,FALSE)+G1530*VLOOKUP(E1530,WEIGHTS!$A$2:$F$4,3,FALSE)+H1530*VLOOKUP(E1530,WEIGHTS!$A$2:$F$4,4,FALSE)+I1530*VLOOKUP(E1530,WEIGHTS!$A$2:$F$4,5,FALSE)+J1530*VLOOKUP(E1530,WEIGHTS!$A$2:$F$4,6,FALSE))</f>
        <v/>
      </c>
      <c r="N1530" s="2" t="str">
        <f t="shared" si="4"/>
        <v/>
      </c>
    </row>
    <row r="1531" ht="15.75" customHeight="1">
      <c r="A1531" s="3"/>
      <c r="B1531" s="2" t="str">
        <f t="shared" si="1"/>
        <v/>
      </c>
      <c r="E1531" s="2"/>
      <c r="F1531" s="2"/>
      <c r="G1531" s="2"/>
      <c r="H1531" s="2"/>
      <c r="I1531" s="2"/>
      <c r="J1531" s="2"/>
      <c r="K1531" s="2" t="str">
        <f t="shared" si="2"/>
        <v/>
      </c>
      <c r="L1531" s="2" t="str">
        <f t="shared" si="3"/>
        <v>No</v>
      </c>
      <c r="M1531" s="2" t="str">
        <f>IF(K1531="","",F1531*VLOOKUP(E1531,WEIGHTS!$A$2:$F$4,2,FALSE)+G1531*VLOOKUP(E1531,WEIGHTS!$A$2:$F$4,3,FALSE)+H1531*VLOOKUP(E1531,WEIGHTS!$A$2:$F$4,4,FALSE)+I1531*VLOOKUP(E1531,WEIGHTS!$A$2:$F$4,5,FALSE)+J1531*VLOOKUP(E1531,WEIGHTS!$A$2:$F$4,6,FALSE))</f>
        <v/>
      </c>
      <c r="N1531" s="2" t="str">
        <f t="shared" si="4"/>
        <v/>
      </c>
    </row>
    <row r="1532" ht="15.75" customHeight="1">
      <c r="A1532" s="3"/>
      <c r="B1532" s="2" t="str">
        <f t="shared" si="1"/>
        <v/>
      </c>
      <c r="E1532" s="2"/>
      <c r="F1532" s="2"/>
      <c r="G1532" s="2"/>
      <c r="H1532" s="2"/>
      <c r="I1532" s="2"/>
      <c r="J1532" s="2"/>
      <c r="K1532" s="2" t="str">
        <f t="shared" si="2"/>
        <v/>
      </c>
      <c r="L1532" s="2" t="str">
        <f t="shared" si="3"/>
        <v>No</v>
      </c>
      <c r="M1532" s="2" t="str">
        <f>IF(K1532="","",F1532*VLOOKUP(E1532,WEIGHTS!$A$2:$F$4,2,FALSE)+G1532*VLOOKUP(E1532,WEIGHTS!$A$2:$F$4,3,FALSE)+H1532*VLOOKUP(E1532,WEIGHTS!$A$2:$F$4,4,FALSE)+I1532*VLOOKUP(E1532,WEIGHTS!$A$2:$F$4,5,FALSE)+J1532*VLOOKUP(E1532,WEIGHTS!$A$2:$F$4,6,FALSE))</f>
        <v/>
      </c>
      <c r="N1532" s="2" t="str">
        <f t="shared" si="4"/>
        <v/>
      </c>
    </row>
    <row r="1533" ht="15.75" customHeight="1">
      <c r="A1533" s="3"/>
      <c r="B1533" s="2" t="str">
        <f t="shared" si="1"/>
        <v/>
      </c>
      <c r="E1533" s="2"/>
      <c r="F1533" s="2"/>
      <c r="G1533" s="2"/>
      <c r="H1533" s="2"/>
      <c r="I1533" s="2"/>
      <c r="J1533" s="2"/>
      <c r="K1533" s="2" t="str">
        <f t="shared" si="2"/>
        <v/>
      </c>
      <c r="L1533" s="2" t="str">
        <f t="shared" si="3"/>
        <v>No</v>
      </c>
      <c r="M1533" s="2" t="str">
        <f>IF(K1533="","",F1533*VLOOKUP(E1533,WEIGHTS!$A$2:$F$4,2,FALSE)+G1533*VLOOKUP(E1533,WEIGHTS!$A$2:$F$4,3,FALSE)+H1533*VLOOKUP(E1533,WEIGHTS!$A$2:$F$4,4,FALSE)+I1533*VLOOKUP(E1533,WEIGHTS!$A$2:$F$4,5,FALSE)+J1533*VLOOKUP(E1533,WEIGHTS!$A$2:$F$4,6,FALSE))</f>
        <v/>
      </c>
      <c r="N1533" s="2" t="str">
        <f t="shared" si="4"/>
        <v/>
      </c>
    </row>
    <row r="1534" ht="15.75" customHeight="1">
      <c r="A1534" s="3"/>
      <c r="B1534" s="2" t="str">
        <f t="shared" si="1"/>
        <v/>
      </c>
      <c r="E1534" s="2"/>
      <c r="F1534" s="2"/>
      <c r="G1534" s="2"/>
      <c r="H1534" s="2"/>
      <c r="I1534" s="2"/>
      <c r="J1534" s="2"/>
      <c r="K1534" s="2" t="str">
        <f t="shared" si="2"/>
        <v/>
      </c>
      <c r="L1534" s="2" t="str">
        <f t="shared" si="3"/>
        <v>No</v>
      </c>
      <c r="M1534" s="2" t="str">
        <f>IF(K1534="","",F1534*VLOOKUP(E1534,WEIGHTS!$A$2:$F$4,2,FALSE)+G1534*VLOOKUP(E1534,WEIGHTS!$A$2:$F$4,3,FALSE)+H1534*VLOOKUP(E1534,WEIGHTS!$A$2:$F$4,4,FALSE)+I1534*VLOOKUP(E1534,WEIGHTS!$A$2:$F$4,5,FALSE)+J1534*VLOOKUP(E1534,WEIGHTS!$A$2:$F$4,6,FALSE))</f>
        <v/>
      </c>
      <c r="N1534" s="2" t="str">
        <f t="shared" si="4"/>
        <v/>
      </c>
    </row>
    <row r="1535" ht="15.75" customHeight="1">
      <c r="A1535" s="3"/>
      <c r="B1535" s="2" t="str">
        <f t="shared" si="1"/>
        <v/>
      </c>
      <c r="E1535" s="2"/>
      <c r="F1535" s="2"/>
      <c r="G1535" s="2"/>
      <c r="H1535" s="2"/>
      <c r="I1535" s="2"/>
      <c r="J1535" s="2"/>
      <c r="K1535" s="2" t="str">
        <f t="shared" si="2"/>
        <v/>
      </c>
      <c r="L1535" s="2" t="str">
        <f t="shared" si="3"/>
        <v>No</v>
      </c>
      <c r="M1535" s="2" t="str">
        <f>IF(K1535="","",F1535*VLOOKUP(E1535,WEIGHTS!$A$2:$F$4,2,FALSE)+G1535*VLOOKUP(E1535,WEIGHTS!$A$2:$F$4,3,FALSE)+H1535*VLOOKUP(E1535,WEIGHTS!$A$2:$F$4,4,FALSE)+I1535*VLOOKUP(E1535,WEIGHTS!$A$2:$F$4,5,FALSE)+J1535*VLOOKUP(E1535,WEIGHTS!$A$2:$F$4,6,FALSE))</f>
        <v/>
      </c>
      <c r="N1535" s="2" t="str">
        <f t="shared" si="4"/>
        <v/>
      </c>
    </row>
    <row r="1536" ht="15.75" customHeight="1">
      <c r="A1536" s="3"/>
      <c r="B1536" s="2" t="str">
        <f t="shared" si="1"/>
        <v/>
      </c>
      <c r="E1536" s="2"/>
      <c r="F1536" s="2"/>
      <c r="G1536" s="2"/>
      <c r="H1536" s="2"/>
      <c r="I1536" s="2"/>
      <c r="J1536" s="2"/>
      <c r="K1536" s="2" t="str">
        <f t="shared" si="2"/>
        <v/>
      </c>
      <c r="L1536" s="2" t="str">
        <f t="shared" si="3"/>
        <v>No</v>
      </c>
      <c r="M1536" s="2" t="str">
        <f>IF(K1536="","",F1536*VLOOKUP(E1536,WEIGHTS!$A$2:$F$4,2,FALSE)+G1536*VLOOKUP(E1536,WEIGHTS!$A$2:$F$4,3,FALSE)+H1536*VLOOKUP(E1536,WEIGHTS!$A$2:$F$4,4,FALSE)+I1536*VLOOKUP(E1536,WEIGHTS!$A$2:$F$4,5,FALSE)+J1536*VLOOKUP(E1536,WEIGHTS!$A$2:$F$4,6,FALSE))</f>
        <v/>
      </c>
      <c r="N1536" s="2" t="str">
        <f t="shared" si="4"/>
        <v/>
      </c>
    </row>
    <row r="1537" ht="15.75" customHeight="1">
      <c r="A1537" s="3"/>
      <c r="B1537" s="2" t="str">
        <f t="shared" si="1"/>
        <v/>
      </c>
      <c r="E1537" s="2"/>
      <c r="F1537" s="2"/>
      <c r="G1537" s="2"/>
      <c r="H1537" s="2"/>
      <c r="I1537" s="2"/>
      <c r="J1537" s="2"/>
      <c r="K1537" s="2" t="str">
        <f t="shared" si="2"/>
        <v/>
      </c>
      <c r="L1537" s="2" t="str">
        <f t="shared" si="3"/>
        <v>No</v>
      </c>
      <c r="M1537" s="2" t="str">
        <f>IF(K1537="","",F1537*VLOOKUP(E1537,WEIGHTS!$A$2:$F$4,2,FALSE)+G1537*VLOOKUP(E1537,WEIGHTS!$A$2:$F$4,3,FALSE)+H1537*VLOOKUP(E1537,WEIGHTS!$A$2:$F$4,4,FALSE)+I1537*VLOOKUP(E1537,WEIGHTS!$A$2:$F$4,5,FALSE)+J1537*VLOOKUP(E1537,WEIGHTS!$A$2:$F$4,6,FALSE))</f>
        <v/>
      </c>
      <c r="N1537" s="2" t="str">
        <f t="shared" si="4"/>
        <v/>
      </c>
    </row>
    <row r="1538" ht="15.75" customHeight="1">
      <c r="A1538" s="3"/>
      <c r="B1538" s="2" t="str">
        <f t="shared" si="1"/>
        <v/>
      </c>
      <c r="E1538" s="2"/>
      <c r="F1538" s="2"/>
      <c r="G1538" s="2"/>
      <c r="H1538" s="2"/>
      <c r="I1538" s="2"/>
      <c r="J1538" s="2"/>
      <c r="K1538" s="2" t="str">
        <f t="shared" si="2"/>
        <v/>
      </c>
      <c r="L1538" s="2" t="str">
        <f t="shared" si="3"/>
        <v>No</v>
      </c>
      <c r="M1538" s="2" t="str">
        <f>IF(K1538="","",F1538*VLOOKUP(E1538,WEIGHTS!$A$2:$F$4,2,FALSE)+G1538*VLOOKUP(E1538,WEIGHTS!$A$2:$F$4,3,FALSE)+H1538*VLOOKUP(E1538,WEIGHTS!$A$2:$F$4,4,FALSE)+I1538*VLOOKUP(E1538,WEIGHTS!$A$2:$F$4,5,FALSE)+J1538*VLOOKUP(E1538,WEIGHTS!$A$2:$F$4,6,FALSE))</f>
        <v/>
      </c>
      <c r="N1538" s="2" t="str">
        <f t="shared" si="4"/>
        <v/>
      </c>
    </row>
    <row r="1539" ht="15.75" customHeight="1">
      <c r="A1539" s="3"/>
      <c r="B1539" s="2" t="str">
        <f t="shared" si="1"/>
        <v/>
      </c>
      <c r="E1539" s="2"/>
      <c r="F1539" s="2"/>
      <c r="G1539" s="2"/>
      <c r="H1539" s="2"/>
      <c r="I1539" s="2"/>
      <c r="J1539" s="2"/>
      <c r="K1539" s="2" t="str">
        <f t="shared" si="2"/>
        <v/>
      </c>
      <c r="L1539" s="2" t="str">
        <f t="shared" si="3"/>
        <v>No</v>
      </c>
      <c r="M1539" s="2" t="str">
        <f>IF(K1539="","",F1539*VLOOKUP(E1539,WEIGHTS!$A$2:$F$4,2,FALSE)+G1539*VLOOKUP(E1539,WEIGHTS!$A$2:$F$4,3,FALSE)+H1539*VLOOKUP(E1539,WEIGHTS!$A$2:$F$4,4,FALSE)+I1539*VLOOKUP(E1539,WEIGHTS!$A$2:$F$4,5,FALSE)+J1539*VLOOKUP(E1539,WEIGHTS!$A$2:$F$4,6,FALSE))</f>
        <v/>
      </c>
      <c r="N1539" s="2" t="str">
        <f t="shared" si="4"/>
        <v/>
      </c>
    </row>
    <row r="1540" ht="15.75" customHeight="1">
      <c r="A1540" s="3"/>
      <c r="B1540" s="2" t="str">
        <f t="shared" si="1"/>
        <v/>
      </c>
      <c r="E1540" s="2"/>
      <c r="F1540" s="2"/>
      <c r="G1540" s="2"/>
      <c r="H1540" s="2"/>
      <c r="I1540" s="2"/>
      <c r="J1540" s="2"/>
      <c r="K1540" s="2" t="str">
        <f t="shared" si="2"/>
        <v/>
      </c>
      <c r="L1540" s="2" t="str">
        <f t="shared" si="3"/>
        <v>No</v>
      </c>
      <c r="M1540" s="2" t="str">
        <f>IF(K1540="","",F1540*VLOOKUP(E1540,WEIGHTS!$A$2:$F$4,2,FALSE)+G1540*VLOOKUP(E1540,WEIGHTS!$A$2:$F$4,3,FALSE)+H1540*VLOOKUP(E1540,WEIGHTS!$A$2:$F$4,4,FALSE)+I1540*VLOOKUP(E1540,WEIGHTS!$A$2:$F$4,5,FALSE)+J1540*VLOOKUP(E1540,WEIGHTS!$A$2:$F$4,6,FALSE))</f>
        <v/>
      </c>
      <c r="N1540" s="2" t="str">
        <f t="shared" si="4"/>
        <v/>
      </c>
    </row>
    <row r="1541" ht="15.75" customHeight="1">
      <c r="A1541" s="3"/>
      <c r="B1541" s="2" t="str">
        <f t="shared" si="1"/>
        <v/>
      </c>
      <c r="E1541" s="2"/>
      <c r="F1541" s="2"/>
      <c r="G1541" s="2"/>
      <c r="H1541" s="2"/>
      <c r="I1541" s="2"/>
      <c r="J1541" s="2"/>
      <c r="K1541" s="2" t="str">
        <f t="shared" si="2"/>
        <v/>
      </c>
      <c r="L1541" s="2" t="str">
        <f t="shared" si="3"/>
        <v>No</v>
      </c>
      <c r="M1541" s="2" t="str">
        <f>IF(K1541="","",F1541*VLOOKUP(E1541,WEIGHTS!$A$2:$F$4,2,FALSE)+G1541*VLOOKUP(E1541,WEIGHTS!$A$2:$F$4,3,FALSE)+H1541*VLOOKUP(E1541,WEIGHTS!$A$2:$F$4,4,FALSE)+I1541*VLOOKUP(E1541,WEIGHTS!$A$2:$F$4,5,FALSE)+J1541*VLOOKUP(E1541,WEIGHTS!$A$2:$F$4,6,FALSE))</f>
        <v/>
      </c>
      <c r="N1541" s="2" t="str">
        <f t="shared" si="4"/>
        <v/>
      </c>
    </row>
    <row r="1542" ht="15.75" customHeight="1">
      <c r="A1542" s="3"/>
      <c r="B1542" s="2" t="str">
        <f t="shared" si="1"/>
        <v/>
      </c>
      <c r="E1542" s="2"/>
      <c r="F1542" s="2"/>
      <c r="G1542" s="2"/>
      <c r="H1542" s="2"/>
      <c r="I1542" s="2"/>
      <c r="J1542" s="2"/>
      <c r="K1542" s="2" t="str">
        <f t="shared" si="2"/>
        <v/>
      </c>
      <c r="L1542" s="2" t="str">
        <f t="shared" si="3"/>
        <v>No</v>
      </c>
      <c r="M1542" s="2" t="str">
        <f>IF(K1542="","",F1542*VLOOKUP(E1542,WEIGHTS!$A$2:$F$4,2,FALSE)+G1542*VLOOKUP(E1542,WEIGHTS!$A$2:$F$4,3,FALSE)+H1542*VLOOKUP(E1542,WEIGHTS!$A$2:$F$4,4,FALSE)+I1542*VLOOKUP(E1542,WEIGHTS!$A$2:$F$4,5,FALSE)+J1542*VLOOKUP(E1542,WEIGHTS!$A$2:$F$4,6,FALSE))</f>
        <v/>
      </c>
      <c r="N1542" s="2" t="str">
        <f t="shared" si="4"/>
        <v/>
      </c>
    </row>
    <row r="1543" ht="15.75" customHeight="1">
      <c r="A1543" s="3"/>
      <c r="B1543" s="2" t="str">
        <f t="shared" si="1"/>
        <v/>
      </c>
      <c r="E1543" s="2"/>
      <c r="F1543" s="2"/>
      <c r="G1543" s="2"/>
      <c r="H1543" s="2"/>
      <c r="I1543" s="2"/>
      <c r="J1543" s="2"/>
      <c r="K1543" s="2" t="str">
        <f t="shared" si="2"/>
        <v/>
      </c>
      <c r="L1543" s="2" t="str">
        <f t="shared" si="3"/>
        <v>No</v>
      </c>
      <c r="M1543" s="2" t="str">
        <f>IF(K1543="","",F1543*VLOOKUP(E1543,WEIGHTS!$A$2:$F$4,2,FALSE)+G1543*VLOOKUP(E1543,WEIGHTS!$A$2:$F$4,3,FALSE)+H1543*VLOOKUP(E1543,WEIGHTS!$A$2:$F$4,4,FALSE)+I1543*VLOOKUP(E1543,WEIGHTS!$A$2:$F$4,5,FALSE)+J1543*VLOOKUP(E1543,WEIGHTS!$A$2:$F$4,6,FALSE))</f>
        <v/>
      </c>
      <c r="N1543" s="2" t="str">
        <f t="shared" si="4"/>
        <v/>
      </c>
    </row>
    <row r="1544" ht="15.75" customHeight="1">
      <c r="A1544" s="3"/>
      <c r="B1544" s="2" t="str">
        <f t="shared" si="1"/>
        <v/>
      </c>
      <c r="E1544" s="2"/>
      <c r="F1544" s="2"/>
      <c r="G1544" s="2"/>
      <c r="H1544" s="2"/>
      <c r="I1544" s="2"/>
      <c r="J1544" s="2"/>
      <c r="K1544" s="2" t="str">
        <f t="shared" si="2"/>
        <v/>
      </c>
      <c r="L1544" s="2" t="str">
        <f t="shared" si="3"/>
        <v>No</v>
      </c>
      <c r="M1544" s="2" t="str">
        <f>IF(K1544="","",F1544*VLOOKUP(E1544,WEIGHTS!$A$2:$F$4,2,FALSE)+G1544*VLOOKUP(E1544,WEIGHTS!$A$2:$F$4,3,FALSE)+H1544*VLOOKUP(E1544,WEIGHTS!$A$2:$F$4,4,FALSE)+I1544*VLOOKUP(E1544,WEIGHTS!$A$2:$F$4,5,FALSE)+J1544*VLOOKUP(E1544,WEIGHTS!$A$2:$F$4,6,FALSE))</f>
        <v/>
      </c>
      <c r="N1544" s="2" t="str">
        <f t="shared" si="4"/>
        <v/>
      </c>
    </row>
    <row r="1545" ht="15.75" customHeight="1">
      <c r="A1545" s="3"/>
      <c r="B1545" s="2" t="str">
        <f t="shared" si="1"/>
        <v/>
      </c>
      <c r="E1545" s="2"/>
      <c r="F1545" s="2"/>
      <c r="G1545" s="2"/>
      <c r="H1545" s="2"/>
      <c r="I1545" s="2"/>
      <c r="J1545" s="2"/>
      <c r="K1545" s="2" t="str">
        <f t="shared" si="2"/>
        <v/>
      </c>
      <c r="L1545" s="2" t="str">
        <f t="shared" si="3"/>
        <v>No</v>
      </c>
      <c r="M1545" s="2" t="str">
        <f>IF(K1545="","",F1545*VLOOKUP(E1545,WEIGHTS!$A$2:$F$4,2,FALSE)+G1545*VLOOKUP(E1545,WEIGHTS!$A$2:$F$4,3,FALSE)+H1545*VLOOKUP(E1545,WEIGHTS!$A$2:$F$4,4,FALSE)+I1545*VLOOKUP(E1545,WEIGHTS!$A$2:$F$4,5,FALSE)+J1545*VLOOKUP(E1545,WEIGHTS!$A$2:$F$4,6,FALSE))</f>
        <v/>
      </c>
      <c r="N1545" s="2" t="str">
        <f t="shared" si="4"/>
        <v/>
      </c>
    </row>
    <row r="1546" ht="15.75" customHeight="1">
      <c r="A1546" s="3"/>
      <c r="B1546" s="2" t="str">
        <f t="shared" si="1"/>
        <v/>
      </c>
      <c r="E1546" s="2"/>
      <c r="F1546" s="2"/>
      <c r="G1546" s="2"/>
      <c r="H1546" s="2"/>
      <c r="I1546" s="2"/>
      <c r="J1546" s="2"/>
      <c r="K1546" s="2" t="str">
        <f t="shared" si="2"/>
        <v/>
      </c>
      <c r="L1546" s="2" t="str">
        <f t="shared" si="3"/>
        <v>No</v>
      </c>
      <c r="M1546" s="2" t="str">
        <f>IF(K1546="","",F1546*VLOOKUP(E1546,WEIGHTS!$A$2:$F$4,2,FALSE)+G1546*VLOOKUP(E1546,WEIGHTS!$A$2:$F$4,3,FALSE)+H1546*VLOOKUP(E1546,WEIGHTS!$A$2:$F$4,4,FALSE)+I1546*VLOOKUP(E1546,WEIGHTS!$A$2:$F$4,5,FALSE)+J1546*VLOOKUP(E1546,WEIGHTS!$A$2:$F$4,6,FALSE))</f>
        <v/>
      </c>
      <c r="N1546" s="2" t="str">
        <f t="shared" si="4"/>
        <v/>
      </c>
    </row>
    <row r="1547" ht="15.75" customHeight="1">
      <c r="A1547" s="3"/>
      <c r="B1547" s="2" t="str">
        <f t="shared" si="1"/>
        <v/>
      </c>
      <c r="E1547" s="2"/>
      <c r="F1547" s="2"/>
      <c r="G1547" s="2"/>
      <c r="H1547" s="2"/>
      <c r="I1547" s="2"/>
      <c r="J1547" s="2"/>
      <c r="K1547" s="2" t="str">
        <f t="shared" si="2"/>
        <v/>
      </c>
      <c r="L1547" s="2" t="str">
        <f t="shared" si="3"/>
        <v>No</v>
      </c>
      <c r="M1547" s="2" t="str">
        <f>IF(K1547="","",F1547*VLOOKUP(E1547,WEIGHTS!$A$2:$F$4,2,FALSE)+G1547*VLOOKUP(E1547,WEIGHTS!$A$2:$F$4,3,FALSE)+H1547*VLOOKUP(E1547,WEIGHTS!$A$2:$F$4,4,FALSE)+I1547*VLOOKUP(E1547,WEIGHTS!$A$2:$F$4,5,FALSE)+J1547*VLOOKUP(E1547,WEIGHTS!$A$2:$F$4,6,FALSE))</f>
        <v/>
      </c>
      <c r="N1547" s="2" t="str">
        <f t="shared" si="4"/>
        <v/>
      </c>
    </row>
    <row r="1548" ht="15.75" customHeight="1">
      <c r="A1548" s="3"/>
      <c r="B1548" s="2" t="str">
        <f t="shared" si="1"/>
        <v/>
      </c>
      <c r="E1548" s="2"/>
      <c r="F1548" s="2"/>
      <c r="G1548" s="2"/>
      <c r="H1548" s="2"/>
      <c r="I1548" s="2"/>
      <c r="J1548" s="2"/>
      <c r="K1548" s="2" t="str">
        <f t="shared" si="2"/>
        <v/>
      </c>
      <c r="L1548" s="2" t="str">
        <f t="shared" si="3"/>
        <v>No</v>
      </c>
      <c r="M1548" s="2" t="str">
        <f>IF(K1548="","",F1548*VLOOKUP(E1548,WEIGHTS!$A$2:$F$4,2,FALSE)+G1548*VLOOKUP(E1548,WEIGHTS!$A$2:$F$4,3,FALSE)+H1548*VLOOKUP(E1548,WEIGHTS!$A$2:$F$4,4,FALSE)+I1548*VLOOKUP(E1548,WEIGHTS!$A$2:$F$4,5,FALSE)+J1548*VLOOKUP(E1548,WEIGHTS!$A$2:$F$4,6,FALSE))</f>
        <v/>
      </c>
      <c r="N1548" s="2" t="str">
        <f t="shared" si="4"/>
        <v/>
      </c>
    </row>
    <row r="1549" ht="15.75" customHeight="1">
      <c r="A1549" s="3"/>
      <c r="B1549" s="2" t="str">
        <f t="shared" si="1"/>
        <v/>
      </c>
      <c r="E1549" s="2"/>
      <c r="F1549" s="2"/>
      <c r="G1549" s="2"/>
      <c r="H1549" s="2"/>
      <c r="I1549" s="2"/>
      <c r="J1549" s="2"/>
      <c r="K1549" s="2" t="str">
        <f t="shared" si="2"/>
        <v/>
      </c>
      <c r="L1549" s="2" t="str">
        <f t="shared" si="3"/>
        <v>No</v>
      </c>
      <c r="M1549" s="2" t="str">
        <f>IF(K1549="","",F1549*VLOOKUP(E1549,WEIGHTS!$A$2:$F$4,2,FALSE)+G1549*VLOOKUP(E1549,WEIGHTS!$A$2:$F$4,3,FALSE)+H1549*VLOOKUP(E1549,WEIGHTS!$A$2:$F$4,4,FALSE)+I1549*VLOOKUP(E1549,WEIGHTS!$A$2:$F$4,5,FALSE)+J1549*VLOOKUP(E1549,WEIGHTS!$A$2:$F$4,6,FALSE))</f>
        <v/>
      </c>
      <c r="N1549" s="2" t="str">
        <f t="shared" si="4"/>
        <v/>
      </c>
    </row>
    <row r="1550" ht="15.75" customHeight="1">
      <c r="A1550" s="3"/>
      <c r="B1550" s="2" t="str">
        <f t="shared" si="1"/>
        <v/>
      </c>
      <c r="E1550" s="2"/>
      <c r="F1550" s="2"/>
      <c r="G1550" s="2"/>
      <c r="H1550" s="2"/>
      <c r="I1550" s="2"/>
      <c r="J1550" s="2"/>
      <c r="K1550" s="2" t="str">
        <f t="shared" si="2"/>
        <v/>
      </c>
      <c r="L1550" s="2" t="str">
        <f t="shared" si="3"/>
        <v>No</v>
      </c>
      <c r="M1550" s="2" t="str">
        <f>IF(K1550="","",F1550*VLOOKUP(E1550,WEIGHTS!$A$2:$F$4,2,FALSE)+G1550*VLOOKUP(E1550,WEIGHTS!$A$2:$F$4,3,FALSE)+H1550*VLOOKUP(E1550,WEIGHTS!$A$2:$F$4,4,FALSE)+I1550*VLOOKUP(E1550,WEIGHTS!$A$2:$F$4,5,FALSE)+J1550*VLOOKUP(E1550,WEIGHTS!$A$2:$F$4,6,FALSE))</f>
        <v/>
      </c>
      <c r="N1550" s="2" t="str">
        <f t="shared" si="4"/>
        <v/>
      </c>
    </row>
    <row r="1551" ht="15.75" customHeight="1">
      <c r="A1551" s="3"/>
      <c r="B1551" s="2" t="str">
        <f t="shared" si="1"/>
        <v/>
      </c>
      <c r="E1551" s="2"/>
      <c r="F1551" s="2"/>
      <c r="G1551" s="2"/>
      <c r="H1551" s="2"/>
      <c r="I1551" s="2"/>
      <c r="J1551" s="2"/>
      <c r="K1551" s="2" t="str">
        <f t="shared" si="2"/>
        <v/>
      </c>
      <c r="L1551" s="2" t="str">
        <f t="shared" si="3"/>
        <v>No</v>
      </c>
      <c r="M1551" s="2" t="str">
        <f>IF(K1551="","",F1551*VLOOKUP(E1551,WEIGHTS!$A$2:$F$4,2,FALSE)+G1551*VLOOKUP(E1551,WEIGHTS!$A$2:$F$4,3,FALSE)+H1551*VLOOKUP(E1551,WEIGHTS!$A$2:$F$4,4,FALSE)+I1551*VLOOKUP(E1551,WEIGHTS!$A$2:$F$4,5,FALSE)+J1551*VLOOKUP(E1551,WEIGHTS!$A$2:$F$4,6,FALSE))</f>
        <v/>
      </c>
      <c r="N1551" s="2" t="str">
        <f t="shared" si="4"/>
        <v/>
      </c>
    </row>
    <row r="1552" ht="15.75" customHeight="1">
      <c r="A1552" s="3"/>
      <c r="B1552" s="2" t="str">
        <f t="shared" si="1"/>
        <v/>
      </c>
      <c r="E1552" s="2"/>
      <c r="F1552" s="2"/>
      <c r="G1552" s="2"/>
      <c r="H1552" s="2"/>
      <c r="I1552" s="2"/>
      <c r="J1552" s="2"/>
      <c r="K1552" s="2" t="str">
        <f t="shared" si="2"/>
        <v/>
      </c>
      <c r="L1552" s="2" t="str">
        <f t="shared" si="3"/>
        <v>No</v>
      </c>
      <c r="M1552" s="2" t="str">
        <f>IF(K1552="","",F1552*VLOOKUP(E1552,WEIGHTS!$A$2:$F$4,2,FALSE)+G1552*VLOOKUP(E1552,WEIGHTS!$A$2:$F$4,3,FALSE)+H1552*VLOOKUP(E1552,WEIGHTS!$A$2:$F$4,4,FALSE)+I1552*VLOOKUP(E1552,WEIGHTS!$A$2:$F$4,5,FALSE)+J1552*VLOOKUP(E1552,WEIGHTS!$A$2:$F$4,6,FALSE))</f>
        <v/>
      </c>
      <c r="N1552" s="2" t="str">
        <f t="shared" si="4"/>
        <v/>
      </c>
    </row>
    <row r="1553" ht="15.75" customHeight="1">
      <c r="A1553" s="3"/>
      <c r="B1553" s="2" t="str">
        <f t="shared" si="1"/>
        <v/>
      </c>
      <c r="E1553" s="2"/>
      <c r="F1553" s="2"/>
      <c r="G1553" s="2"/>
      <c r="H1553" s="2"/>
      <c r="I1553" s="2"/>
      <c r="J1553" s="2"/>
      <c r="K1553" s="2" t="str">
        <f t="shared" si="2"/>
        <v/>
      </c>
      <c r="L1553" s="2" t="str">
        <f t="shared" si="3"/>
        <v>No</v>
      </c>
      <c r="M1553" s="2" t="str">
        <f>IF(K1553="","",F1553*VLOOKUP(E1553,WEIGHTS!$A$2:$F$4,2,FALSE)+G1553*VLOOKUP(E1553,WEIGHTS!$A$2:$F$4,3,FALSE)+H1553*VLOOKUP(E1553,WEIGHTS!$A$2:$F$4,4,FALSE)+I1553*VLOOKUP(E1553,WEIGHTS!$A$2:$F$4,5,FALSE)+J1553*VLOOKUP(E1553,WEIGHTS!$A$2:$F$4,6,FALSE))</f>
        <v/>
      </c>
      <c r="N1553" s="2" t="str">
        <f t="shared" si="4"/>
        <v/>
      </c>
    </row>
    <row r="1554" ht="15.75" customHeight="1">
      <c r="A1554" s="3"/>
      <c r="B1554" s="2" t="str">
        <f t="shared" si="1"/>
        <v/>
      </c>
      <c r="E1554" s="2"/>
      <c r="F1554" s="2"/>
      <c r="G1554" s="2"/>
      <c r="H1554" s="2"/>
      <c r="I1554" s="2"/>
      <c r="J1554" s="2"/>
      <c r="K1554" s="2" t="str">
        <f t="shared" si="2"/>
        <v/>
      </c>
      <c r="L1554" s="2" t="str">
        <f t="shared" si="3"/>
        <v>No</v>
      </c>
      <c r="M1554" s="2" t="str">
        <f>IF(K1554="","",F1554*VLOOKUP(E1554,WEIGHTS!$A$2:$F$4,2,FALSE)+G1554*VLOOKUP(E1554,WEIGHTS!$A$2:$F$4,3,FALSE)+H1554*VLOOKUP(E1554,WEIGHTS!$A$2:$F$4,4,FALSE)+I1554*VLOOKUP(E1554,WEIGHTS!$A$2:$F$4,5,FALSE)+J1554*VLOOKUP(E1554,WEIGHTS!$A$2:$F$4,6,FALSE))</f>
        <v/>
      </c>
      <c r="N1554" s="2" t="str">
        <f t="shared" si="4"/>
        <v/>
      </c>
    </row>
    <row r="1555" ht="15.75" customHeight="1">
      <c r="A1555" s="3"/>
      <c r="B1555" s="2" t="str">
        <f t="shared" si="1"/>
        <v/>
      </c>
      <c r="E1555" s="2"/>
      <c r="F1555" s="2"/>
      <c r="G1555" s="2"/>
      <c r="H1555" s="2"/>
      <c r="I1555" s="2"/>
      <c r="J1555" s="2"/>
      <c r="K1555" s="2" t="str">
        <f t="shared" si="2"/>
        <v/>
      </c>
      <c r="L1555" s="2" t="str">
        <f t="shared" si="3"/>
        <v>No</v>
      </c>
      <c r="M1555" s="2" t="str">
        <f>IF(K1555="","",F1555*VLOOKUP(E1555,WEIGHTS!$A$2:$F$4,2,FALSE)+G1555*VLOOKUP(E1555,WEIGHTS!$A$2:$F$4,3,FALSE)+H1555*VLOOKUP(E1555,WEIGHTS!$A$2:$F$4,4,FALSE)+I1555*VLOOKUP(E1555,WEIGHTS!$A$2:$F$4,5,FALSE)+J1555*VLOOKUP(E1555,WEIGHTS!$A$2:$F$4,6,FALSE))</f>
        <v/>
      </c>
      <c r="N1555" s="2" t="str">
        <f t="shared" si="4"/>
        <v/>
      </c>
    </row>
    <row r="1556" ht="15.75" customHeight="1">
      <c r="A1556" s="3"/>
      <c r="B1556" s="2" t="str">
        <f t="shared" si="1"/>
        <v/>
      </c>
      <c r="E1556" s="2"/>
      <c r="F1556" s="2"/>
      <c r="G1556" s="2"/>
      <c r="H1556" s="2"/>
      <c r="I1556" s="2"/>
      <c r="J1556" s="2"/>
      <c r="K1556" s="2" t="str">
        <f t="shared" si="2"/>
        <v/>
      </c>
      <c r="L1556" s="2" t="str">
        <f t="shared" si="3"/>
        <v>No</v>
      </c>
      <c r="M1556" s="2" t="str">
        <f>IF(K1556="","",F1556*VLOOKUP(E1556,WEIGHTS!$A$2:$F$4,2,FALSE)+G1556*VLOOKUP(E1556,WEIGHTS!$A$2:$F$4,3,FALSE)+H1556*VLOOKUP(E1556,WEIGHTS!$A$2:$F$4,4,FALSE)+I1556*VLOOKUP(E1556,WEIGHTS!$A$2:$F$4,5,FALSE)+J1556*VLOOKUP(E1556,WEIGHTS!$A$2:$F$4,6,FALSE))</f>
        <v/>
      </c>
      <c r="N1556" s="2" t="str">
        <f t="shared" si="4"/>
        <v/>
      </c>
    </row>
    <row r="1557" ht="15.75" customHeight="1">
      <c r="A1557" s="3"/>
      <c r="B1557" s="2" t="str">
        <f t="shared" si="1"/>
        <v/>
      </c>
      <c r="E1557" s="2"/>
      <c r="F1557" s="2"/>
      <c r="G1557" s="2"/>
      <c r="H1557" s="2"/>
      <c r="I1557" s="2"/>
      <c r="J1557" s="2"/>
      <c r="K1557" s="2" t="str">
        <f t="shared" si="2"/>
        <v/>
      </c>
      <c r="L1557" s="2" t="str">
        <f t="shared" si="3"/>
        <v>No</v>
      </c>
      <c r="M1557" s="2" t="str">
        <f>IF(K1557="","",F1557*VLOOKUP(E1557,WEIGHTS!$A$2:$F$4,2,FALSE)+G1557*VLOOKUP(E1557,WEIGHTS!$A$2:$F$4,3,FALSE)+H1557*VLOOKUP(E1557,WEIGHTS!$A$2:$F$4,4,FALSE)+I1557*VLOOKUP(E1557,WEIGHTS!$A$2:$F$4,5,FALSE)+J1557*VLOOKUP(E1557,WEIGHTS!$A$2:$F$4,6,FALSE))</f>
        <v/>
      </c>
      <c r="N1557" s="2" t="str">
        <f t="shared" si="4"/>
        <v/>
      </c>
    </row>
    <row r="1558" ht="15.75" customHeight="1">
      <c r="A1558" s="3"/>
      <c r="B1558" s="2" t="str">
        <f t="shared" si="1"/>
        <v/>
      </c>
      <c r="E1558" s="2"/>
      <c r="F1558" s="2"/>
      <c r="G1558" s="2"/>
      <c r="H1558" s="2"/>
      <c r="I1558" s="2"/>
      <c r="J1558" s="2"/>
      <c r="K1558" s="2" t="str">
        <f t="shared" si="2"/>
        <v/>
      </c>
      <c r="L1558" s="2" t="str">
        <f t="shared" si="3"/>
        <v>No</v>
      </c>
      <c r="M1558" s="2" t="str">
        <f>IF(K1558="","",F1558*VLOOKUP(E1558,WEIGHTS!$A$2:$F$4,2,FALSE)+G1558*VLOOKUP(E1558,WEIGHTS!$A$2:$F$4,3,FALSE)+H1558*VLOOKUP(E1558,WEIGHTS!$A$2:$F$4,4,FALSE)+I1558*VLOOKUP(E1558,WEIGHTS!$A$2:$F$4,5,FALSE)+J1558*VLOOKUP(E1558,WEIGHTS!$A$2:$F$4,6,FALSE))</f>
        <v/>
      </c>
      <c r="N1558" s="2" t="str">
        <f t="shared" si="4"/>
        <v/>
      </c>
    </row>
    <row r="1559" ht="15.75" customHeight="1">
      <c r="A1559" s="3"/>
      <c r="B1559" s="2" t="str">
        <f t="shared" si="1"/>
        <v/>
      </c>
      <c r="E1559" s="2"/>
      <c r="F1559" s="2"/>
      <c r="G1559" s="2"/>
      <c r="H1559" s="2"/>
      <c r="I1559" s="2"/>
      <c r="J1559" s="2"/>
      <c r="K1559" s="2" t="str">
        <f t="shared" si="2"/>
        <v/>
      </c>
      <c r="L1559" s="2" t="str">
        <f t="shared" si="3"/>
        <v>No</v>
      </c>
      <c r="M1559" s="2" t="str">
        <f>IF(K1559="","",F1559*VLOOKUP(E1559,WEIGHTS!$A$2:$F$4,2,FALSE)+G1559*VLOOKUP(E1559,WEIGHTS!$A$2:$F$4,3,FALSE)+H1559*VLOOKUP(E1559,WEIGHTS!$A$2:$F$4,4,FALSE)+I1559*VLOOKUP(E1559,WEIGHTS!$A$2:$F$4,5,FALSE)+J1559*VLOOKUP(E1559,WEIGHTS!$A$2:$F$4,6,FALSE))</f>
        <v/>
      </c>
      <c r="N1559" s="2" t="str">
        <f t="shared" si="4"/>
        <v/>
      </c>
    </row>
    <row r="1560" ht="15.75" customHeight="1">
      <c r="A1560" s="3"/>
      <c r="B1560" s="2" t="str">
        <f t="shared" si="1"/>
        <v/>
      </c>
      <c r="E1560" s="2"/>
      <c r="F1560" s="2"/>
      <c r="G1560" s="2"/>
      <c r="H1560" s="2"/>
      <c r="I1560" s="2"/>
      <c r="J1560" s="2"/>
      <c r="K1560" s="2" t="str">
        <f t="shared" si="2"/>
        <v/>
      </c>
      <c r="L1560" s="2" t="str">
        <f t="shared" si="3"/>
        <v>No</v>
      </c>
      <c r="M1560" s="2" t="str">
        <f>IF(K1560="","",F1560*VLOOKUP(E1560,WEIGHTS!$A$2:$F$4,2,FALSE)+G1560*VLOOKUP(E1560,WEIGHTS!$A$2:$F$4,3,FALSE)+H1560*VLOOKUP(E1560,WEIGHTS!$A$2:$F$4,4,FALSE)+I1560*VLOOKUP(E1560,WEIGHTS!$A$2:$F$4,5,FALSE)+J1560*VLOOKUP(E1560,WEIGHTS!$A$2:$F$4,6,FALSE))</f>
        <v/>
      </c>
      <c r="N1560" s="2" t="str">
        <f t="shared" si="4"/>
        <v/>
      </c>
    </row>
    <row r="1561" ht="15.75" customHeight="1">
      <c r="A1561" s="3"/>
      <c r="B1561" s="2" t="str">
        <f t="shared" si="1"/>
        <v/>
      </c>
      <c r="E1561" s="2"/>
      <c r="F1561" s="2"/>
      <c r="G1561" s="2"/>
      <c r="H1561" s="2"/>
      <c r="I1561" s="2"/>
      <c r="J1561" s="2"/>
      <c r="K1561" s="2" t="str">
        <f t="shared" si="2"/>
        <v/>
      </c>
      <c r="L1561" s="2" t="str">
        <f t="shared" si="3"/>
        <v>No</v>
      </c>
      <c r="M1561" s="2" t="str">
        <f>IF(K1561="","",F1561*VLOOKUP(E1561,WEIGHTS!$A$2:$F$4,2,FALSE)+G1561*VLOOKUP(E1561,WEIGHTS!$A$2:$F$4,3,FALSE)+H1561*VLOOKUP(E1561,WEIGHTS!$A$2:$F$4,4,FALSE)+I1561*VLOOKUP(E1561,WEIGHTS!$A$2:$F$4,5,FALSE)+J1561*VLOOKUP(E1561,WEIGHTS!$A$2:$F$4,6,FALSE))</f>
        <v/>
      </c>
      <c r="N1561" s="2" t="str">
        <f t="shared" si="4"/>
        <v/>
      </c>
    </row>
    <row r="1562" ht="15.75" customHeight="1">
      <c r="A1562" s="3"/>
      <c r="B1562" s="2" t="str">
        <f t="shared" si="1"/>
        <v/>
      </c>
      <c r="E1562" s="2"/>
      <c r="F1562" s="2"/>
      <c r="G1562" s="2"/>
      <c r="H1562" s="2"/>
      <c r="I1562" s="2"/>
      <c r="J1562" s="2"/>
      <c r="K1562" s="2" t="str">
        <f t="shared" si="2"/>
        <v/>
      </c>
      <c r="L1562" s="2" t="str">
        <f t="shared" si="3"/>
        <v>No</v>
      </c>
      <c r="M1562" s="2" t="str">
        <f>IF(K1562="","",F1562*VLOOKUP(E1562,WEIGHTS!$A$2:$F$4,2,FALSE)+G1562*VLOOKUP(E1562,WEIGHTS!$A$2:$F$4,3,FALSE)+H1562*VLOOKUP(E1562,WEIGHTS!$A$2:$F$4,4,FALSE)+I1562*VLOOKUP(E1562,WEIGHTS!$A$2:$F$4,5,FALSE)+J1562*VLOOKUP(E1562,WEIGHTS!$A$2:$F$4,6,FALSE))</f>
        <v/>
      </c>
      <c r="N1562" s="2" t="str">
        <f t="shared" si="4"/>
        <v/>
      </c>
    </row>
    <row r="1563" ht="15.75" customHeight="1">
      <c r="A1563" s="3"/>
      <c r="B1563" s="2" t="str">
        <f t="shared" si="1"/>
        <v/>
      </c>
      <c r="E1563" s="2"/>
      <c r="F1563" s="2"/>
      <c r="G1563" s="2"/>
      <c r="H1563" s="2"/>
      <c r="I1563" s="2"/>
      <c r="J1563" s="2"/>
      <c r="K1563" s="2" t="str">
        <f t="shared" si="2"/>
        <v/>
      </c>
      <c r="L1563" s="2" t="str">
        <f t="shared" si="3"/>
        <v>No</v>
      </c>
      <c r="M1563" s="2" t="str">
        <f>IF(K1563="","",F1563*VLOOKUP(E1563,WEIGHTS!$A$2:$F$4,2,FALSE)+G1563*VLOOKUP(E1563,WEIGHTS!$A$2:$F$4,3,FALSE)+H1563*VLOOKUP(E1563,WEIGHTS!$A$2:$F$4,4,FALSE)+I1563*VLOOKUP(E1563,WEIGHTS!$A$2:$F$4,5,FALSE)+J1563*VLOOKUP(E1563,WEIGHTS!$A$2:$F$4,6,FALSE))</f>
        <v/>
      </c>
      <c r="N1563" s="2" t="str">
        <f t="shared" si="4"/>
        <v/>
      </c>
    </row>
    <row r="1564" ht="15.75" customHeight="1">
      <c r="A1564" s="3"/>
      <c r="B1564" s="2" t="str">
        <f t="shared" si="1"/>
        <v/>
      </c>
      <c r="E1564" s="2"/>
      <c r="F1564" s="2"/>
      <c r="G1564" s="2"/>
      <c r="H1564" s="2"/>
      <c r="I1564" s="2"/>
      <c r="J1564" s="2"/>
      <c r="K1564" s="2" t="str">
        <f t="shared" si="2"/>
        <v/>
      </c>
      <c r="L1564" s="2" t="str">
        <f t="shared" si="3"/>
        <v>No</v>
      </c>
      <c r="M1564" s="2" t="str">
        <f>IF(K1564="","",F1564*VLOOKUP(E1564,WEIGHTS!$A$2:$F$4,2,FALSE)+G1564*VLOOKUP(E1564,WEIGHTS!$A$2:$F$4,3,FALSE)+H1564*VLOOKUP(E1564,WEIGHTS!$A$2:$F$4,4,FALSE)+I1564*VLOOKUP(E1564,WEIGHTS!$A$2:$F$4,5,FALSE)+J1564*VLOOKUP(E1564,WEIGHTS!$A$2:$F$4,6,FALSE))</f>
        <v/>
      </c>
      <c r="N1564" s="2" t="str">
        <f t="shared" si="4"/>
        <v/>
      </c>
    </row>
    <row r="1565" ht="15.75" customHeight="1">
      <c r="A1565" s="3"/>
      <c r="B1565" s="2" t="str">
        <f t="shared" si="1"/>
        <v/>
      </c>
      <c r="E1565" s="2"/>
      <c r="F1565" s="2"/>
      <c r="G1565" s="2"/>
      <c r="H1565" s="2"/>
      <c r="I1565" s="2"/>
      <c r="J1565" s="2"/>
      <c r="K1565" s="2" t="str">
        <f t="shared" si="2"/>
        <v/>
      </c>
      <c r="L1565" s="2" t="str">
        <f t="shared" si="3"/>
        <v>No</v>
      </c>
      <c r="M1565" s="2" t="str">
        <f>IF(K1565="","",F1565*VLOOKUP(E1565,WEIGHTS!$A$2:$F$4,2,FALSE)+G1565*VLOOKUP(E1565,WEIGHTS!$A$2:$F$4,3,FALSE)+H1565*VLOOKUP(E1565,WEIGHTS!$A$2:$F$4,4,FALSE)+I1565*VLOOKUP(E1565,WEIGHTS!$A$2:$F$4,5,FALSE)+J1565*VLOOKUP(E1565,WEIGHTS!$A$2:$F$4,6,FALSE))</f>
        <v/>
      </c>
      <c r="N1565" s="2" t="str">
        <f t="shared" si="4"/>
        <v/>
      </c>
    </row>
    <row r="1566" ht="15.75" customHeight="1">
      <c r="A1566" s="3"/>
      <c r="B1566" s="2" t="str">
        <f t="shared" si="1"/>
        <v/>
      </c>
      <c r="E1566" s="2"/>
      <c r="F1566" s="2"/>
      <c r="G1566" s="2"/>
      <c r="H1566" s="2"/>
      <c r="I1566" s="2"/>
      <c r="J1566" s="2"/>
      <c r="K1566" s="2" t="str">
        <f t="shared" si="2"/>
        <v/>
      </c>
      <c r="L1566" s="2" t="str">
        <f t="shared" si="3"/>
        <v>No</v>
      </c>
      <c r="M1566" s="2" t="str">
        <f>IF(K1566="","",F1566*VLOOKUP(E1566,WEIGHTS!$A$2:$F$4,2,FALSE)+G1566*VLOOKUP(E1566,WEIGHTS!$A$2:$F$4,3,FALSE)+H1566*VLOOKUP(E1566,WEIGHTS!$A$2:$F$4,4,FALSE)+I1566*VLOOKUP(E1566,WEIGHTS!$A$2:$F$4,5,FALSE)+J1566*VLOOKUP(E1566,WEIGHTS!$A$2:$F$4,6,FALSE))</f>
        <v/>
      </c>
      <c r="N1566" s="2" t="str">
        <f t="shared" si="4"/>
        <v/>
      </c>
    </row>
    <row r="1567" ht="15.75" customHeight="1">
      <c r="A1567" s="3"/>
      <c r="B1567" s="2" t="str">
        <f t="shared" si="1"/>
        <v/>
      </c>
      <c r="E1567" s="2"/>
      <c r="F1567" s="2"/>
      <c r="G1567" s="2"/>
      <c r="H1567" s="2"/>
      <c r="I1567" s="2"/>
      <c r="J1567" s="2"/>
      <c r="K1567" s="2" t="str">
        <f t="shared" si="2"/>
        <v/>
      </c>
      <c r="L1567" s="2" t="str">
        <f t="shared" si="3"/>
        <v>No</v>
      </c>
      <c r="M1567" s="2" t="str">
        <f>IF(K1567="","",F1567*VLOOKUP(E1567,WEIGHTS!$A$2:$F$4,2,FALSE)+G1567*VLOOKUP(E1567,WEIGHTS!$A$2:$F$4,3,FALSE)+H1567*VLOOKUP(E1567,WEIGHTS!$A$2:$F$4,4,FALSE)+I1567*VLOOKUP(E1567,WEIGHTS!$A$2:$F$4,5,FALSE)+J1567*VLOOKUP(E1567,WEIGHTS!$A$2:$F$4,6,FALSE))</f>
        <v/>
      </c>
      <c r="N1567" s="2" t="str">
        <f t="shared" si="4"/>
        <v/>
      </c>
    </row>
    <row r="1568" ht="15.75" customHeight="1">
      <c r="A1568" s="3"/>
      <c r="B1568" s="2" t="str">
        <f t="shared" si="1"/>
        <v/>
      </c>
      <c r="E1568" s="2"/>
      <c r="F1568" s="2"/>
      <c r="G1568" s="2"/>
      <c r="H1568" s="2"/>
      <c r="I1568" s="2"/>
      <c r="J1568" s="2"/>
      <c r="K1568" s="2" t="str">
        <f t="shared" si="2"/>
        <v/>
      </c>
      <c r="L1568" s="2" t="str">
        <f t="shared" si="3"/>
        <v>No</v>
      </c>
      <c r="M1568" s="2" t="str">
        <f>IF(K1568="","",F1568*VLOOKUP(E1568,WEIGHTS!$A$2:$F$4,2,FALSE)+G1568*VLOOKUP(E1568,WEIGHTS!$A$2:$F$4,3,FALSE)+H1568*VLOOKUP(E1568,WEIGHTS!$A$2:$F$4,4,FALSE)+I1568*VLOOKUP(E1568,WEIGHTS!$A$2:$F$4,5,FALSE)+J1568*VLOOKUP(E1568,WEIGHTS!$A$2:$F$4,6,FALSE))</f>
        <v/>
      </c>
      <c r="N1568" s="2" t="str">
        <f t="shared" si="4"/>
        <v/>
      </c>
    </row>
    <row r="1569" ht="15.75" customHeight="1">
      <c r="A1569" s="3"/>
      <c r="B1569" s="2" t="str">
        <f t="shared" si="1"/>
        <v/>
      </c>
      <c r="E1569" s="2"/>
      <c r="F1569" s="2"/>
      <c r="G1569" s="2"/>
      <c r="H1569" s="2"/>
      <c r="I1569" s="2"/>
      <c r="J1569" s="2"/>
      <c r="K1569" s="2" t="str">
        <f t="shared" si="2"/>
        <v/>
      </c>
      <c r="L1569" s="2" t="str">
        <f t="shared" si="3"/>
        <v>No</v>
      </c>
      <c r="M1569" s="2" t="str">
        <f>IF(K1569="","",F1569*VLOOKUP(E1569,WEIGHTS!$A$2:$F$4,2,FALSE)+G1569*VLOOKUP(E1569,WEIGHTS!$A$2:$F$4,3,FALSE)+H1569*VLOOKUP(E1569,WEIGHTS!$A$2:$F$4,4,FALSE)+I1569*VLOOKUP(E1569,WEIGHTS!$A$2:$F$4,5,FALSE)+J1569*VLOOKUP(E1569,WEIGHTS!$A$2:$F$4,6,FALSE))</f>
        <v/>
      </c>
      <c r="N1569" s="2" t="str">
        <f t="shared" si="4"/>
        <v/>
      </c>
    </row>
    <row r="1570" ht="15.75" customHeight="1">
      <c r="A1570" s="3"/>
      <c r="B1570" s="2" t="str">
        <f t="shared" si="1"/>
        <v/>
      </c>
      <c r="E1570" s="2"/>
      <c r="F1570" s="2"/>
      <c r="G1570" s="2"/>
      <c r="H1570" s="2"/>
      <c r="I1570" s="2"/>
      <c r="J1570" s="2"/>
      <c r="K1570" s="2" t="str">
        <f t="shared" si="2"/>
        <v/>
      </c>
      <c r="L1570" s="2" t="str">
        <f t="shared" si="3"/>
        <v>No</v>
      </c>
      <c r="M1570" s="2" t="str">
        <f>IF(K1570="","",F1570*VLOOKUP(E1570,WEIGHTS!$A$2:$F$4,2,FALSE)+G1570*VLOOKUP(E1570,WEIGHTS!$A$2:$F$4,3,FALSE)+H1570*VLOOKUP(E1570,WEIGHTS!$A$2:$F$4,4,FALSE)+I1570*VLOOKUP(E1570,WEIGHTS!$A$2:$F$4,5,FALSE)+J1570*VLOOKUP(E1570,WEIGHTS!$A$2:$F$4,6,FALSE))</f>
        <v/>
      </c>
      <c r="N1570" s="2" t="str">
        <f t="shared" si="4"/>
        <v/>
      </c>
    </row>
    <row r="1571" ht="15.75" customHeight="1">
      <c r="A1571" s="3"/>
      <c r="B1571" s="2" t="str">
        <f t="shared" si="1"/>
        <v/>
      </c>
      <c r="E1571" s="2"/>
      <c r="F1571" s="2"/>
      <c r="G1571" s="2"/>
      <c r="H1571" s="2"/>
      <c r="I1571" s="2"/>
      <c r="J1571" s="2"/>
      <c r="K1571" s="2" t="str">
        <f t="shared" si="2"/>
        <v/>
      </c>
      <c r="L1571" s="2" t="str">
        <f t="shared" si="3"/>
        <v>No</v>
      </c>
      <c r="M1571" s="2" t="str">
        <f>IF(K1571="","",F1571*VLOOKUP(E1571,WEIGHTS!$A$2:$F$4,2,FALSE)+G1571*VLOOKUP(E1571,WEIGHTS!$A$2:$F$4,3,FALSE)+H1571*VLOOKUP(E1571,WEIGHTS!$A$2:$F$4,4,FALSE)+I1571*VLOOKUP(E1571,WEIGHTS!$A$2:$F$4,5,FALSE)+J1571*VLOOKUP(E1571,WEIGHTS!$A$2:$F$4,6,FALSE))</f>
        <v/>
      </c>
      <c r="N1571" s="2" t="str">
        <f t="shared" si="4"/>
        <v/>
      </c>
    </row>
    <row r="1572" ht="15.75" customHeight="1">
      <c r="A1572" s="3"/>
      <c r="B1572" s="2" t="str">
        <f t="shared" si="1"/>
        <v/>
      </c>
      <c r="E1572" s="2"/>
      <c r="F1572" s="2"/>
      <c r="G1572" s="2"/>
      <c r="H1572" s="2"/>
      <c r="I1572" s="2"/>
      <c r="J1572" s="2"/>
      <c r="K1572" s="2" t="str">
        <f t="shared" si="2"/>
        <v/>
      </c>
      <c r="L1572" s="2" t="str">
        <f t="shared" si="3"/>
        <v>No</v>
      </c>
      <c r="M1572" s="2" t="str">
        <f>IF(K1572="","",F1572*VLOOKUP(E1572,WEIGHTS!$A$2:$F$4,2,FALSE)+G1572*VLOOKUP(E1572,WEIGHTS!$A$2:$F$4,3,FALSE)+H1572*VLOOKUP(E1572,WEIGHTS!$A$2:$F$4,4,FALSE)+I1572*VLOOKUP(E1572,WEIGHTS!$A$2:$F$4,5,FALSE)+J1572*VLOOKUP(E1572,WEIGHTS!$A$2:$F$4,6,FALSE))</f>
        <v/>
      </c>
      <c r="N1572" s="2" t="str">
        <f t="shared" si="4"/>
        <v/>
      </c>
    </row>
    <row r="1573" ht="15.75" customHeight="1">
      <c r="A1573" s="3"/>
      <c r="B1573" s="2" t="str">
        <f t="shared" si="1"/>
        <v/>
      </c>
      <c r="E1573" s="2"/>
      <c r="F1573" s="2"/>
      <c r="G1573" s="2"/>
      <c r="H1573" s="2"/>
      <c r="I1573" s="2"/>
      <c r="J1573" s="2"/>
      <c r="K1573" s="2" t="str">
        <f t="shared" si="2"/>
        <v/>
      </c>
      <c r="L1573" s="2" t="str">
        <f t="shared" si="3"/>
        <v>No</v>
      </c>
      <c r="M1573" s="2" t="str">
        <f>IF(K1573="","",F1573*VLOOKUP(E1573,WEIGHTS!$A$2:$F$4,2,FALSE)+G1573*VLOOKUP(E1573,WEIGHTS!$A$2:$F$4,3,FALSE)+H1573*VLOOKUP(E1573,WEIGHTS!$A$2:$F$4,4,FALSE)+I1573*VLOOKUP(E1573,WEIGHTS!$A$2:$F$4,5,FALSE)+J1573*VLOOKUP(E1573,WEIGHTS!$A$2:$F$4,6,FALSE))</f>
        <v/>
      </c>
      <c r="N1573" s="2" t="str">
        <f t="shared" si="4"/>
        <v/>
      </c>
    </row>
    <row r="1574" ht="15.75" customHeight="1">
      <c r="A1574" s="3"/>
      <c r="B1574" s="2" t="str">
        <f t="shared" si="1"/>
        <v/>
      </c>
      <c r="E1574" s="2"/>
      <c r="F1574" s="2"/>
      <c r="G1574" s="2"/>
      <c r="H1574" s="2"/>
      <c r="I1574" s="2"/>
      <c r="J1574" s="2"/>
      <c r="K1574" s="2" t="str">
        <f t="shared" si="2"/>
        <v/>
      </c>
      <c r="L1574" s="2" t="str">
        <f t="shared" si="3"/>
        <v>No</v>
      </c>
      <c r="M1574" s="2" t="str">
        <f>IF(K1574="","",F1574*VLOOKUP(E1574,WEIGHTS!$A$2:$F$4,2,FALSE)+G1574*VLOOKUP(E1574,WEIGHTS!$A$2:$F$4,3,FALSE)+H1574*VLOOKUP(E1574,WEIGHTS!$A$2:$F$4,4,FALSE)+I1574*VLOOKUP(E1574,WEIGHTS!$A$2:$F$4,5,FALSE)+J1574*VLOOKUP(E1574,WEIGHTS!$A$2:$F$4,6,FALSE))</f>
        <v/>
      </c>
      <c r="N1574" s="2" t="str">
        <f t="shared" si="4"/>
        <v/>
      </c>
    </row>
    <row r="1575" ht="15.75" customHeight="1">
      <c r="A1575" s="3"/>
      <c r="B1575" s="2" t="str">
        <f t="shared" si="1"/>
        <v/>
      </c>
      <c r="E1575" s="2"/>
      <c r="F1575" s="2"/>
      <c r="G1575" s="2"/>
      <c r="H1575" s="2"/>
      <c r="I1575" s="2"/>
      <c r="J1575" s="2"/>
      <c r="K1575" s="2" t="str">
        <f t="shared" si="2"/>
        <v/>
      </c>
      <c r="L1575" s="2" t="str">
        <f t="shared" si="3"/>
        <v>No</v>
      </c>
      <c r="M1575" s="2" t="str">
        <f>IF(K1575="","",F1575*VLOOKUP(E1575,WEIGHTS!$A$2:$F$4,2,FALSE)+G1575*VLOOKUP(E1575,WEIGHTS!$A$2:$F$4,3,FALSE)+H1575*VLOOKUP(E1575,WEIGHTS!$A$2:$F$4,4,FALSE)+I1575*VLOOKUP(E1575,WEIGHTS!$A$2:$F$4,5,FALSE)+J1575*VLOOKUP(E1575,WEIGHTS!$A$2:$F$4,6,FALSE))</f>
        <v/>
      </c>
      <c r="N1575" s="2" t="str">
        <f t="shared" si="4"/>
        <v/>
      </c>
    </row>
    <row r="1576" ht="15.75" customHeight="1">
      <c r="A1576" s="3"/>
      <c r="B1576" s="2" t="str">
        <f t="shared" si="1"/>
        <v/>
      </c>
      <c r="E1576" s="2"/>
      <c r="F1576" s="2"/>
      <c r="G1576" s="2"/>
      <c r="H1576" s="2"/>
      <c r="I1576" s="2"/>
      <c r="J1576" s="2"/>
      <c r="K1576" s="2" t="str">
        <f t="shared" si="2"/>
        <v/>
      </c>
      <c r="L1576" s="2" t="str">
        <f t="shared" si="3"/>
        <v>No</v>
      </c>
      <c r="M1576" s="2" t="str">
        <f>IF(K1576="","",F1576*VLOOKUP(E1576,WEIGHTS!$A$2:$F$4,2,FALSE)+G1576*VLOOKUP(E1576,WEIGHTS!$A$2:$F$4,3,FALSE)+H1576*VLOOKUP(E1576,WEIGHTS!$A$2:$F$4,4,FALSE)+I1576*VLOOKUP(E1576,WEIGHTS!$A$2:$F$4,5,FALSE)+J1576*VLOOKUP(E1576,WEIGHTS!$A$2:$F$4,6,FALSE))</f>
        <v/>
      </c>
      <c r="N1576" s="2" t="str">
        <f t="shared" si="4"/>
        <v/>
      </c>
    </row>
    <row r="1577" ht="15.75" customHeight="1">
      <c r="A1577" s="3"/>
      <c r="B1577" s="2" t="str">
        <f t="shared" si="1"/>
        <v/>
      </c>
      <c r="E1577" s="2"/>
      <c r="F1577" s="2"/>
      <c r="G1577" s="2"/>
      <c r="H1577" s="2"/>
      <c r="I1577" s="2"/>
      <c r="J1577" s="2"/>
      <c r="K1577" s="2" t="str">
        <f t="shared" si="2"/>
        <v/>
      </c>
      <c r="L1577" s="2" t="str">
        <f t="shared" si="3"/>
        <v>No</v>
      </c>
      <c r="M1577" s="2" t="str">
        <f>IF(K1577="","",F1577*VLOOKUP(E1577,WEIGHTS!$A$2:$F$4,2,FALSE)+G1577*VLOOKUP(E1577,WEIGHTS!$A$2:$F$4,3,FALSE)+H1577*VLOOKUP(E1577,WEIGHTS!$A$2:$F$4,4,FALSE)+I1577*VLOOKUP(E1577,WEIGHTS!$A$2:$F$4,5,FALSE)+J1577*VLOOKUP(E1577,WEIGHTS!$A$2:$F$4,6,FALSE))</f>
        <v/>
      </c>
      <c r="N1577" s="2" t="str">
        <f t="shared" si="4"/>
        <v/>
      </c>
    </row>
    <row r="1578" ht="15.75" customHeight="1">
      <c r="A1578" s="3"/>
      <c r="B1578" s="2" t="str">
        <f t="shared" si="1"/>
        <v/>
      </c>
      <c r="E1578" s="2"/>
      <c r="F1578" s="2"/>
      <c r="G1578" s="2"/>
      <c r="H1578" s="2"/>
      <c r="I1578" s="2"/>
      <c r="J1578" s="2"/>
      <c r="K1578" s="2" t="str">
        <f t="shared" si="2"/>
        <v/>
      </c>
      <c r="L1578" s="2" t="str">
        <f t="shared" si="3"/>
        <v>No</v>
      </c>
      <c r="M1578" s="2" t="str">
        <f>IF(K1578="","",F1578*VLOOKUP(E1578,WEIGHTS!$A$2:$F$4,2,FALSE)+G1578*VLOOKUP(E1578,WEIGHTS!$A$2:$F$4,3,FALSE)+H1578*VLOOKUP(E1578,WEIGHTS!$A$2:$F$4,4,FALSE)+I1578*VLOOKUP(E1578,WEIGHTS!$A$2:$F$4,5,FALSE)+J1578*VLOOKUP(E1578,WEIGHTS!$A$2:$F$4,6,FALSE))</f>
        <v/>
      </c>
      <c r="N1578" s="2" t="str">
        <f t="shared" si="4"/>
        <v/>
      </c>
    </row>
    <row r="1579" ht="15.75" customHeight="1">
      <c r="A1579" s="3"/>
      <c r="B1579" s="2" t="str">
        <f t="shared" si="1"/>
        <v/>
      </c>
      <c r="E1579" s="2"/>
      <c r="F1579" s="2"/>
      <c r="G1579" s="2"/>
      <c r="H1579" s="2"/>
      <c r="I1579" s="2"/>
      <c r="J1579" s="2"/>
      <c r="K1579" s="2" t="str">
        <f t="shared" si="2"/>
        <v/>
      </c>
      <c r="L1579" s="2" t="str">
        <f t="shared" si="3"/>
        <v>No</v>
      </c>
      <c r="M1579" s="2" t="str">
        <f>IF(K1579="","",F1579*VLOOKUP(E1579,WEIGHTS!$A$2:$F$4,2,FALSE)+G1579*VLOOKUP(E1579,WEIGHTS!$A$2:$F$4,3,FALSE)+H1579*VLOOKUP(E1579,WEIGHTS!$A$2:$F$4,4,FALSE)+I1579*VLOOKUP(E1579,WEIGHTS!$A$2:$F$4,5,FALSE)+J1579*VLOOKUP(E1579,WEIGHTS!$A$2:$F$4,6,FALSE))</f>
        <v/>
      </c>
      <c r="N1579" s="2" t="str">
        <f t="shared" si="4"/>
        <v/>
      </c>
    </row>
    <row r="1580" ht="15.75" customHeight="1">
      <c r="A1580" s="3"/>
      <c r="B1580" s="2" t="str">
        <f t="shared" si="1"/>
        <v/>
      </c>
      <c r="E1580" s="2"/>
      <c r="F1580" s="2"/>
      <c r="G1580" s="2"/>
      <c r="H1580" s="2"/>
      <c r="I1580" s="2"/>
      <c r="J1580" s="2"/>
      <c r="K1580" s="2" t="str">
        <f t="shared" si="2"/>
        <v/>
      </c>
      <c r="L1580" s="2" t="str">
        <f t="shared" si="3"/>
        <v>No</v>
      </c>
      <c r="M1580" s="2" t="str">
        <f>IF(K1580="","",F1580*VLOOKUP(E1580,WEIGHTS!$A$2:$F$4,2,FALSE)+G1580*VLOOKUP(E1580,WEIGHTS!$A$2:$F$4,3,FALSE)+H1580*VLOOKUP(E1580,WEIGHTS!$A$2:$F$4,4,FALSE)+I1580*VLOOKUP(E1580,WEIGHTS!$A$2:$F$4,5,FALSE)+J1580*VLOOKUP(E1580,WEIGHTS!$A$2:$F$4,6,FALSE))</f>
        <v/>
      </c>
      <c r="N1580" s="2" t="str">
        <f t="shared" si="4"/>
        <v/>
      </c>
    </row>
    <row r="1581" ht="15.75" customHeight="1">
      <c r="A1581" s="3"/>
      <c r="B1581" s="2" t="str">
        <f t="shared" si="1"/>
        <v/>
      </c>
      <c r="E1581" s="2"/>
      <c r="F1581" s="2"/>
      <c r="G1581" s="2"/>
      <c r="H1581" s="2"/>
      <c r="I1581" s="2"/>
      <c r="J1581" s="2"/>
      <c r="K1581" s="2" t="str">
        <f t="shared" si="2"/>
        <v/>
      </c>
      <c r="L1581" s="2" t="str">
        <f t="shared" si="3"/>
        <v>No</v>
      </c>
      <c r="M1581" s="2" t="str">
        <f>IF(K1581="","",F1581*VLOOKUP(E1581,WEIGHTS!$A$2:$F$4,2,FALSE)+G1581*VLOOKUP(E1581,WEIGHTS!$A$2:$F$4,3,FALSE)+H1581*VLOOKUP(E1581,WEIGHTS!$A$2:$F$4,4,FALSE)+I1581*VLOOKUP(E1581,WEIGHTS!$A$2:$F$4,5,FALSE)+J1581*VLOOKUP(E1581,WEIGHTS!$A$2:$F$4,6,FALSE))</f>
        <v/>
      </c>
      <c r="N1581" s="2" t="str">
        <f t="shared" si="4"/>
        <v/>
      </c>
    </row>
    <row r="1582" ht="15.75" customHeight="1">
      <c r="A1582" s="3"/>
      <c r="B1582" s="2" t="str">
        <f t="shared" si="1"/>
        <v/>
      </c>
      <c r="E1582" s="2"/>
      <c r="F1582" s="2"/>
      <c r="G1582" s="2"/>
      <c r="H1582" s="2"/>
      <c r="I1582" s="2"/>
      <c r="J1582" s="2"/>
      <c r="K1582" s="2" t="str">
        <f t="shared" si="2"/>
        <v/>
      </c>
      <c r="L1582" s="2" t="str">
        <f t="shared" si="3"/>
        <v>No</v>
      </c>
      <c r="M1582" s="2" t="str">
        <f>IF(K1582="","",F1582*VLOOKUP(E1582,WEIGHTS!$A$2:$F$4,2,FALSE)+G1582*VLOOKUP(E1582,WEIGHTS!$A$2:$F$4,3,FALSE)+H1582*VLOOKUP(E1582,WEIGHTS!$A$2:$F$4,4,FALSE)+I1582*VLOOKUP(E1582,WEIGHTS!$A$2:$F$4,5,FALSE)+J1582*VLOOKUP(E1582,WEIGHTS!$A$2:$F$4,6,FALSE))</f>
        <v/>
      </c>
      <c r="N1582" s="2" t="str">
        <f t="shared" si="4"/>
        <v/>
      </c>
    </row>
    <row r="1583" ht="15.75" customHeight="1">
      <c r="A1583" s="3"/>
      <c r="B1583" s="2" t="str">
        <f t="shared" si="1"/>
        <v/>
      </c>
      <c r="E1583" s="2"/>
      <c r="F1583" s="2"/>
      <c r="G1583" s="2"/>
      <c r="H1583" s="2"/>
      <c r="I1583" s="2"/>
      <c r="J1583" s="2"/>
      <c r="K1583" s="2" t="str">
        <f t="shared" si="2"/>
        <v/>
      </c>
      <c r="L1583" s="2" t="str">
        <f t="shared" si="3"/>
        <v>No</v>
      </c>
      <c r="M1583" s="2" t="str">
        <f>IF(K1583="","",F1583*VLOOKUP(E1583,WEIGHTS!$A$2:$F$4,2,FALSE)+G1583*VLOOKUP(E1583,WEIGHTS!$A$2:$F$4,3,FALSE)+H1583*VLOOKUP(E1583,WEIGHTS!$A$2:$F$4,4,FALSE)+I1583*VLOOKUP(E1583,WEIGHTS!$A$2:$F$4,5,FALSE)+J1583*VLOOKUP(E1583,WEIGHTS!$A$2:$F$4,6,FALSE))</f>
        <v/>
      </c>
      <c r="N1583" s="2" t="str">
        <f t="shared" si="4"/>
        <v/>
      </c>
    </row>
    <row r="1584" ht="15.75" customHeight="1">
      <c r="A1584" s="3"/>
      <c r="B1584" s="2" t="str">
        <f t="shared" si="1"/>
        <v/>
      </c>
      <c r="E1584" s="2"/>
      <c r="F1584" s="2"/>
      <c r="G1584" s="2"/>
      <c r="H1584" s="2"/>
      <c r="I1584" s="2"/>
      <c r="J1584" s="2"/>
      <c r="K1584" s="2" t="str">
        <f t="shared" si="2"/>
        <v/>
      </c>
      <c r="L1584" s="2" t="str">
        <f t="shared" si="3"/>
        <v>No</v>
      </c>
      <c r="M1584" s="2" t="str">
        <f>IF(K1584="","",F1584*VLOOKUP(E1584,WEIGHTS!$A$2:$F$4,2,FALSE)+G1584*VLOOKUP(E1584,WEIGHTS!$A$2:$F$4,3,FALSE)+H1584*VLOOKUP(E1584,WEIGHTS!$A$2:$F$4,4,FALSE)+I1584*VLOOKUP(E1584,WEIGHTS!$A$2:$F$4,5,FALSE)+J1584*VLOOKUP(E1584,WEIGHTS!$A$2:$F$4,6,FALSE))</f>
        <v/>
      </c>
      <c r="N1584" s="2" t="str">
        <f t="shared" si="4"/>
        <v/>
      </c>
    </row>
    <row r="1585" ht="15.75" customHeight="1">
      <c r="A1585" s="3"/>
      <c r="B1585" s="2" t="str">
        <f t="shared" si="1"/>
        <v/>
      </c>
      <c r="E1585" s="2"/>
      <c r="F1585" s="2"/>
      <c r="G1585" s="2"/>
      <c r="H1585" s="2"/>
      <c r="I1585" s="2"/>
      <c r="J1585" s="2"/>
      <c r="K1585" s="2" t="str">
        <f t="shared" si="2"/>
        <v/>
      </c>
      <c r="L1585" s="2" t="str">
        <f t="shared" si="3"/>
        <v>No</v>
      </c>
      <c r="M1585" s="2" t="str">
        <f>IF(K1585="","",F1585*VLOOKUP(E1585,WEIGHTS!$A$2:$F$4,2,FALSE)+G1585*VLOOKUP(E1585,WEIGHTS!$A$2:$F$4,3,FALSE)+H1585*VLOOKUP(E1585,WEIGHTS!$A$2:$F$4,4,FALSE)+I1585*VLOOKUP(E1585,WEIGHTS!$A$2:$F$4,5,FALSE)+J1585*VLOOKUP(E1585,WEIGHTS!$A$2:$F$4,6,FALSE))</f>
        <v/>
      </c>
      <c r="N1585" s="2" t="str">
        <f t="shared" si="4"/>
        <v/>
      </c>
    </row>
    <row r="1586" ht="15.75" customHeight="1">
      <c r="A1586" s="3"/>
      <c r="B1586" s="2" t="str">
        <f t="shared" si="1"/>
        <v/>
      </c>
      <c r="E1586" s="2"/>
      <c r="F1586" s="2"/>
      <c r="G1586" s="2"/>
      <c r="H1586" s="2"/>
      <c r="I1586" s="2"/>
      <c r="J1586" s="2"/>
      <c r="K1586" s="2" t="str">
        <f t="shared" si="2"/>
        <v/>
      </c>
      <c r="L1586" s="2" t="str">
        <f t="shared" si="3"/>
        <v>No</v>
      </c>
      <c r="M1586" s="2" t="str">
        <f>IF(K1586="","",F1586*VLOOKUP(E1586,WEIGHTS!$A$2:$F$4,2,FALSE)+G1586*VLOOKUP(E1586,WEIGHTS!$A$2:$F$4,3,FALSE)+H1586*VLOOKUP(E1586,WEIGHTS!$A$2:$F$4,4,FALSE)+I1586*VLOOKUP(E1586,WEIGHTS!$A$2:$F$4,5,FALSE)+J1586*VLOOKUP(E1586,WEIGHTS!$A$2:$F$4,6,FALSE))</f>
        <v/>
      </c>
      <c r="N1586" s="2" t="str">
        <f t="shared" si="4"/>
        <v/>
      </c>
    </row>
    <row r="1587" ht="15.75" customHeight="1">
      <c r="A1587" s="3"/>
      <c r="B1587" s="2" t="str">
        <f t="shared" si="1"/>
        <v/>
      </c>
      <c r="E1587" s="2"/>
      <c r="F1587" s="2"/>
      <c r="G1587" s="2"/>
      <c r="H1587" s="2"/>
      <c r="I1587" s="2"/>
      <c r="J1587" s="2"/>
      <c r="K1587" s="2" t="str">
        <f t="shared" si="2"/>
        <v/>
      </c>
      <c r="L1587" s="2" t="str">
        <f t="shared" si="3"/>
        <v>No</v>
      </c>
      <c r="M1587" s="2" t="str">
        <f>IF(K1587="","",F1587*VLOOKUP(E1587,WEIGHTS!$A$2:$F$4,2,FALSE)+G1587*VLOOKUP(E1587,WEIGHTS!$A$2:$F$4,3,FALSE)+H1587*VLOOKUP(E1587,WEIGHTS!$A$2:$F$4,4,FALSE)+I1587*VLOOKUP(E1587,WEIGHTS!$A$2:$F$4,5,FALSE)+J1587*VLOOKUP(E1587,WEIGHTS!$A$2:$F$4,6,FALSE))</f>
        <v/>
      </c>
      <c r="N1587" s="2" t="str">
        <f t="shared" si="4"/>
        <v/>
      </c>
    </row>
    <row r="1588" ht="15.75" customHeight="1">
      <c r="A1588" s="3"/>
      <c r="B1588" s="2" t="str">
        <f t="shared" si="1"/>
        <v/>
      </c>
      <c r="E1588" s="2"/>
      <c r="F1588" s="2"/>
      <c r="G1588" s="2"/>
      <c r="H1588" s="2"/>
      <c r="I1588" s="2"/>
      <c r="J1588" s="2"/>
      <c r="K1588" s="2" t="str">
        <f t="shared" si="2"/>
        <v/>
      </c>
      <c r="L1588" s="2" t="str">
        <f t="shared" si="3"/>
        <v>No</v>
      </c>
      <c r="M1588" s="2" t="str">
        <f>IF(K1588="","",F1588*VLOOKUP(E1588,WEIGHTS!$A$2:$F$4,2,FALSE)+G1588*VLOOKUP(E1588,WEIGHTS!$A$2:$F$4,3,FALSE)+H1588*VLOOKUP(E1588,WEIGHTS!$A$2:$F$4,4,FALSE)+I1588*VLOOKUP(E1588,WEIGHTS!$A$2:$F$4,5,FALSE)+J1588*VLOOKUP(E1588,WEIGHTS!$A$2:$F$4,6,FALSE))</f>
        <v/>
      </c>
      <c r="N1588" s="2" t="str">
        <f t="shared" si="4"/>
        <v/>
      </c>
    </row>
    <row r="1589" ht="15.75" customHeight="1">
      <c r="A1589" s="3"/>
      <c r="B1589" s="2" t="str">
        <f t="shared" si="1"/>
        <v/>
      </c>
      <c r="E1589" s="2"/>
      <c r="F1589" s="2"/>
      <c r="G1589" s="2"/>
      <c r="H1589" s="2"/>
      <c r="I1589" s="2"/>
      <c r="J1589" s="2"/>
      <c r="K1589" s="2" t="str">
        <f t="shared" si="2"/>
        <v/>
      </c>
      <c r="L1589" s="2" t="str">
        <f t="shared" si="3"/>
        <v>No</v>
      </c>
      <c r="M1589" s="2" t="str">
        <f>IF(K1589="","",F1589*VLOOKUP(E1589,WEIGHTS!$A$2:$F$4,2,FALSE)+G1589*VLOOKUP(E1589,WEIGHTS!$A$2:$F$4,3,FALSE)+H1589*VLOOKUP(E1589,WEIGHTS!$A$2:$F$4,4,FALSE)+I1589*VLOOKUP(E1589,WEIGHTS!$A$2:$F$4,5,FALSE)+J1589*VLOOKUP(E1589,WEIGHTS!$A$2:$F$4,6,FALSE))</f>
        <v/>
      </c>
      <c r="N1589" s="2" t="str">
        <f t="shared" si="4"/>
        <v/>
      </c>
    </row>
    <row r="1590" ht="15.75" customHeight="1">
      <c r="A1590" s="3"/>
      <c r="B1590" s="2" t="str">
        <f t="shared" si="1"/>
        <v/>
      </c>
      <c r="E1590" s="2"/>
      <c r="F1590" s="2"/>
      <c r="G1590" s="2"/>
      <c r="H1590" s="2"/>
      <c r="I1590" s="2"/>
      <c r="J1590" s="2"/>
      <c r="K1590" s="2" t="str">
        <f t="shared" si="2"/>
        <v/>
      </c>
      <c r="L1590" s="2" t="str">
        <f t="shared" si="3"/>
        <v>No</v>
      </c>
      <c r="M1590" s="2" t="str">
        <f>IF(K1590="","",F1590*VLOOKUP(E1590,WEIGHTS!$A$2:$F$4,2,FALSE)+G1590*VLOOKUP(E1590,WEIGHTS!$A$2:$F$4,3,FALSE)+H1590*VLOOKUP(E1590,WEIGHTS!$A$2:$F$4,4,FALSE)+I1590*VLOOKUP(E1590,WEIGHTS!$A$2:$F$4,5,FALSE)+J1590*VLOOKUP(E1590,WEIGHTS!$A$2:$F$4,6,FALSE))</f>
        <v/>
      </c>
      <c r="N1590" s="2" t="str">
        <f t="shared" si="4"/>
        <v/>
      </c>
    </row>
    <row r="1591" ht="15.75" customHeight="1">
      <c r="A1591" s="3"/>
      <c r="B1591" s="2" t="str">
        <f t="shared" si="1"/>
        <v/>
      </c>
      <c r="E1591" s="2"/>
      <c r="F1591" s="2"/>
      <c r="G1591" s="2"/>
      <c r="H1591" s="2"/>
      <c r="I1591" s="2"/>
      <c r="J1591" s="2"/>
      <c r="K1591" s="2" t="str">
        <f t="shared" si="2"/>
        <v/>
      </c>
      <c r="L1591" s="2" t="str">
        <f t="shared" si="3"/>
        <v>No</v>
      </c>
      <c r="M1591" s="2" t="str">
        <f>IF(K1591="","",F1591*VLOOKUP(E1591,WEIGHTS!$A$2:$F$4,2,FALSE)+G1591*VLOOKUP(E1591,WEIGHTS!$A$2:$F$4,3,FALSE)+H1591*VLOOKUP(E1591,WEIGHTS!$A$2:$F$4,4,FALSE)+I1591*VLOOKUP(E1591,WEIGHTS!$A$2:$F$4,5,FALSE)+J1591*VLOOKUP(E1591,WEIGHTS!$A$2:$F$4,6,FALSE))</f>
        <v/>
      </c>
      <c r="N1591" s="2" t="str">
        <f t="shared" si="4"/>
        <v/>
      </c>
    </row>
    <row r="1592" ht="15.75" customHeight="1">
      <c r="A1592" s="3"/>
      <c r="B1592" s="2" t="str">
        <f t="shared" si="1"/>
        <v/>
      </c>
      <c r="E1592" s="2"/>
      <c r="F1592" s="2"/>
      <c r="G1592" s="2"/>
      <c r="H1592" s="2"/>
      <c r="I1592" s="2"/>
      <c r="J1592" s="2"/>
      <c r="K1592" s="2" t="str">
        <f t="shared" si="2"/>
        <v/>
      </c>
      <c r="L1592" s="2" t="str">
        <f t="shared" si="3"/>
        <v>No</v>
      </c>
      <c r="M1592" s="2" t="str">
        <f>IF(K1592="","",F1592*VLOOKUP(E1592,WEIGHTS!$A$2:$F$4,2,FALSE)+G1592*VLOOKUP(E1592,WEIGHTS!$A$2:$F$4,3,FALSE)+H1592*VLOOKUP(E1592,WEIGHTS!$A$2:$F$4,4,FALSE)+I1592*VLOOKUP(E1592,WEIGHTS!$A$2:$F$4,5,FALSE)+J1592*VLOOKUP(E1592,WEIGHTS!$A$2:$F$4,6,FALSE))</f>
        <v/>
      </c>
      <c r="N1592" s="2" t="str">
        <f t="shared" si="4"/>
        <v/>
      </c>
    </row>
    <row r="1593" ht="15.75" customHeight="1">
      <c r="A1593" s="3"/>
      <c r="B1593" s="2" t="str">
        <f t="shared" si="1"/>
        <v/>
      </c>
      <c r="E1593" s="2"/>
      <c r="F1593" s="2"/>
      <c r="G1593" s="2"/>
      <c r="H1593" s="2"/>
      <c r="I1593" s="2"/>
      <c r="J1593" s="2"/>
      <c r="K1593" s="2" t="str">
        <f t="shared" si="2"/>
        <v/>
      </c>
      <c r="L1593" s="2" t="str">
        <f t="shared" si="3"/>
        <v>No</v>
      </c>
      <c r="M1593" s="2" t="str">
        <f>IF(K1593="","",F1593*VLOOKUP(E1593,WEIGHTS!$A$2:$F$4,2,FALSE)+G1593*VLOOKUP(E1593,WEIGHTS!$A$2:$F$4,3,FALSE)+H1593*VLOOKUP(E1593,WEIGHTS!$A$2:$F$4,4,FALSE)+I1593*VLOOKUP(E1593,WEIGHTS!$A$2:$F$4,5,FALSE)+J1593*VLOOKUP(E1593,WEIGHTS!$A$2:$F$4,6,FALSE))</f>
        <v/>
      </c>
      <c r="N1593" s="2" t="str">
        <f t="shared" si="4"/>
        <v/>
      </c>
    </row>
    <row r="1594" ht="15.75" customHeight="1">
      <c r="A1594" s="3"/>
      <c r="B1594" s="2" t="str">
        <f t="shared" si="1"/>
        <v/>
      </c>
      <c r="E1594" s="2"/>
      <c r="F1594" s="2"/>
      <c r="G1594" s="2"/>
      <c r="H1594" s="2"/>
      <c r="I1594" s="2"/>
      <c r="J1594" s="2"/>
      <c r="K1594" s="2" t="str">
        <f t="shared" si="2"/>
        <v/>
      </c>
      <c r="L1594" s="2" t="str">
        <f t="shared" si="3"/>
        <v>No</v>
      </c>
      <c r="M1594" s="2" t="str">
        <f>IF(K1594="","",F1594*VLOOKUP(E1594,WEIGHTS!$A$2:$F$4,2,FALSE)+G1594*VLOOKUP(E1594,WEIGHTS!$A$2:$F$4,3,FALSE)+H1594*VLOOKUP(E1594,WEIGHTS!$A$2:$F$4,4,FALSE)+I1594*VLOOKUP(E1594,WEIGHTS!$A$2:$F$4,5,FALSE)+J1594*VLOOKUP(E1594,WEIGHTS!$A$2:$F$4,6,FALSE))</f>
        <v/>
      </c>
      <c r="N1594" s="2" t="str">
        <f t="shared" si="4"/>
        <v/>
      </c>
    </row>
    <row r="1595" ht="15.75" customHeight="1">
      <c r="A1595" s="3"/>
      <c r="B1595" s="2" t="str">
        <f t="shared" si="1"/>
        <v/>
      </c>
      <c r="E1595" s="2"/>
      <c r="F1595" s="2"/>
      <c r="G1595" s="2"/>
      <c r="H1595" s="2"/>
      <c r="I1595" s="2"/>
      <c r="J1595" s="2"/>
      <c r="K1595" s="2" t="str">
        <f t="shared" si="2"/>
        <v/>
      </c>
      <c r="L1595" s="2" t="str">
        <f t="shared" si="3"/>
        <v>No</v>
      </c>
      <c r="M1595" s="2" t="str">
        <f>IF(K1595="","",F1595*VLOOKUP(E1595,WEIGHTS!$A$2:$F$4,2,FALSE)+G1595*VLOOKUP(E1595,WEIGHTS!$A$2:$F$4,3,FALSE)+H1595*VLOOKUP(E1595,WEIGHTS!$A$2:$F$4,4,FALSE)+I1595*VLOOKUP(E1595,WEIGHTS!$A$2:$F$4,5,FALSE)+J1595*VLOOKUP(E1595,WEIGHTS!$A$2:$F$4,6,FALSE))</f>
        <v/>
      </c>
      <c r="N1595" s="2" t="str">
        <f t="shared" si="4"/>
        <v/>
      </c>
    </row>
    <row r="1596" ht="15.75" customHeight="1">
      <c r="A1596" s="3"/>
      <c r="B1596" s="2" t="str">
        <f t="shared" si="1"/>
        <v/>
      </c>
      <c r="E1596" s="2"/>
      <c r="F1596" s="2"/>
      <c r="G1596" s="2"/>
      <c r="H1596" s="2"/>
      <c r="I1596" s="2"/>
      <c r="J1596" s="2"/>
      <c r="K1596" s="2" t="str">
        <f t="shared" si="2"/>
        <v/>
      </c>
      <c r="L1596" s="2" t="str">
        <f t="shared" si="3"/>
        <v>No</v>
      </c>
      <c r="M1596" s="2" t="str">
        <f>IF(K1596="","",F1596*VLOOKUP(E1596,WEIGHTS!$A$2:$F$4,2,FALSE)+G1596*VLOOKUP(E1596,WEIGHTS!$A$2:$F$4,3,FALSE)+H1596*VLOOKUP(E1596,WEIGHTS!$A$2:$F$4,4,FALSE)+I1596*VLOOKUP(E1596,WEIGHTS!$A$2:$F$4,5,FALSE)+J1596*VLOOKUP(E1596,WEIGHTS!$A$2:$F$4,6,FALSE))</f>
        <v/>
      </c>
      <c r="N1596" s="2" t="str">
        <f t="shared" si="4"/>
        <v/>
      </c>
    </row>
    <row r="1597" ht="15.75" customHeight="1">
      <c r="A1597" s="3"/>
      <c r="B1597" s="2" t="str">
        <f t="shared" si="1"/>
        <v/>
      </c>
      <c r="E1597" s="2"/>
      <c r="F1597" s="2"/>
      <c r="G1597" s="2"/>
      <c r="H1597" s="2"/>
      <c r="I1597" s="2"/>
      <c r="J1597" s="2"/>
      <c r="K1597" s="2" t="str">
        <f t="shared" si="2"/>
        <v/>
      </c>
      <c r="L1597" s="2" t="str">
        <f t="shared" si="3"/>
        <v>No</v>
      </c>
      <c r="M1597" s="2" t="str">
        <f>IF(K1597="","",F1597*VLOOKUP(E1597,WEIGHTS!$A$2:$F$4,2,FALSE)+G1597*VLOOKUP(E1597,WEIGHTS!$A$2:$F$4,3,FALSE)+H1597*VLOOKUP(E1597,WEIGHTS!$A$2:$F$4,4,FALSE)+I1597*VLOOKUP(E1597,WEIGHTS!$A$2:$F$4,5,FALSE)+J1597*VLOOKUP(E1597,WEIGHTS!$A$2:$F$4,6,FALSE))</f>
        <v/>
      </c>
      <c r="N1597" s="2" t="str">
        <f t="shared" si="4"/>
        <v/>
      </c>
    </row>
    <row r="1598" ht="15.75" customHeight="1">
      <c r="A1598" s="3"/>
      <c r="B1598" s="2" t="str">
        <f t="shared" si="1"/>
        <v/>
      </c>
      <c r="E1598" s="2"/>
      <c r="F1598" s="2"/>
      <c r="G1598" s="2"/>
      <c r="H1598" s="2"/>
      <c r="I1598" s="2"/>
      <c r="J1598" s="2"/>
      <c r="K1598" s="2" t="str">
        <f t="shared" si="2"/>
        <v/>
      </c>
      <c r="L1598" s="2" t="str">
        <f t="shared" si="3"/>
        <v>No</v>
      </c>
      <c r="M1598" s="2" t="str">
        <f>IF(K1598="","",F1598*VLOOKUP(E1598,WEIGHTS!$A$2:$F$4,2,FALSE)+G1598*VLOOKUP(E1598,WEIGHTS!$A$2:$F$4,3,FALSE)+H1598*VLOOKUP(E1598,WEIGHTS!$A$2:$F$4,4,FALSE)+I1598*VLOOKUP(E1598,WEIGHTS!$A$2:$F$4,5,FALSE)+J1598*VLOOKUP(E1598,WEIGHTS!$A$2:$F$4,6,FALSE))</f>
        <v/>
      </c>
      <c r="N1598" s="2" t="str">
        <f t="shared" si="4"/>
        <v/>
      </c>
    </row>
    <row r="1599" ht="15.75" customHeight="1">
      <c r="A1599" s="3"/>
      <c r="B1599" s="2" t="str">
        <f t="shared" si="1"/>
        <v/>
      </c>
      <c r="E1599" s="2"/>
      <c r="F1599" s="2"/>
      <c r="G1599" s="2"/>
      <c r="H1599" s="2"/>
      <c r="I1599" s="2"/>
      <c r="J1599" s="2"/>
      <c r="K1599" s="2" t="str">
        <f t="shared" si="2"/>
        <v/>
      </c>
      <c r="L1599" s="2" t="str">
        <f t="shared" si="3"/>
        <v>No</v>
      </c>
      <c r="M1599" s="2" t="str">
        <f>IF(K1599="","",F1599*VLOOKUP(E1599,WEIGHTS!$A$2:$F$4,2,FALSE)+G1599*VLOOKUP(E1599,WEIGHTS!$A$2:$F$4,3,FALSE)+H1599*VLOOKUP(E1599,WEIGHTS!$A$2:$F$4,4,FALSE)+I1599*VLOOKUP(E1599,WEIGHTS!$A$2:$F$4,5,FALSE)+J1599*VLOOKUP(E1599,WEIGHTS!$A$2:$F$4,6,FALSE))</f>
        <v/>
      </c>
      <c r="N1599" s="2" t="str">
        <f t="shared" si="4"/>
        <v/>
      </c>
    </row>
    <row r="1600" ht="15.75" customHeight="1">
      <c r="A1600" s="3"/>
      <c r="B1600" s="2" t="str">
        <f t="shared" si="1"/>
        <v/>
      </c>
      <c r="E1600" s="2"/>
      <c r="F1600" s="2"/>
      <c r="G1600" s="2"/>
      <c r="H1600" s="2"/>
      <c r="I1600" s="2"/>
      <c r="J1600" s="2"/>
      <c r="K1600" s="2" t="str">
        <f t="shared" si="2"/>
        <v/>
      </c>
      <c r="L1600" s="2" t="str">
        <f t="shared" si="3"/>
        <v>No</v>
      </c>
      <c r="M1600" s="2" t="str">
        <f>IF(K1600="","",F1600*VLOOKUP(E1600,WEIGHTS!$A$2:$F$4,2,FALSE)+G1600*VLOOKUP(E1600,WEIGHTS!$A$2:$F$4,3,FALSE)+H1600*VLOOKUP(E1600,WEIGHTS!$A$2:$F$4,4,FALSE)+I1600*VLOOKUP(E1600,WEIGHTS!$A$2:$F$4,5,FALSE)+J1600*VLOOKUP(E1600,WEIGHTS!$A$2:$F$4,6,FALSE))</f>
        <v/>
      </c>
      <c r="N1600" s="2" t="str">
        <f t="shared" si="4"/>
        <v/>
      </c>
    </row>
    <row r="1601" ht="15.75" customHeight="1">
      <c r="A1601" s="3"/>
      <c r="B1601" s="2" t="str">
        <f t="shared" si="1"/>
        <v/>
      </c>
      <c r="E1601" s="2"/>
      <c r="F1601" s="2"/>
      <c r="G1601" s="2"/>
      <c r="H1601" s="2"/>
      <c r="I1601" s="2"/>
      <c r="J1601" s="2"/>
      <c r="K1601" s="2" t="str">
        <f t="shared" si="2"/>
        <v/>
      </c>
      <c r="L1601" s="2" t="str">
        <f t="shared" si="3"/>
        <v>No</v>
      </c>
      <c r="M1601" s="2" t="str">
        <f>IF(K1601="","",F1601*VLOOKUP(E1601,WEIGHTS!$A$2:$F$4,2,FALSE)+G1601*VLOOKUP(E1601,WEIGHTS!$A$2:$F$4,3,FALSE)+H1601*VLOOKUP(E1601,WEIGHTS!$A$2:$F$4,4,FALSE)+I1601*VLOOKUP(E1601,WEIGHTS!$A$2:$F$4,5,FALSE)+J1601*VLOOKUP(E1601,WEIGHTS!$A$2:$F$4,6,FALSE))</f>
        <v/>
      </c>
      <c r="N1601" s="2" t="str">
        <f t="shared" si="4"/>
        <v/>
      </c>
    </row>
    <row r="1602" ht="15.75" customHeight="1">
      <c r="A1602" s="3"/>
      <c r="B1602" s="2" t="str">
        <f t="shared" si="1"/>
        <v/>
      </c>
      <c r="E1602" s="2"/>
      <c r="F1602" s="2"/>
      <c r="G1602" s="2"/>
      <c r="H1602" s="2"/>
      <c r="I1602" s="2"/>
      <c r="J1602" s="2"/>
      <c r="K1602" s="2" t="str">
        <f t="shared" si="2"/>
        <v/>
      </c>
      <c r="L1602" s="2" t="str">
        <f t="shared" si="3"/>
        <v>No</v>
      </c>
      <c r="M1602" s="2" t="str">
        <f>IF(K1602="","",F1602*VLOOKUP(E1602,WEIGHTS!$A$2:$F$4,2,FALSE)+G1602*VLOOKUP(E1602,WEIGHTS!$A$2:$F$4,3,FALSE)+H1602*VLOOKUP(E1602,WEIGHTS!$A$2:$F$4,4,FALSE)+I1602*VLOOKUP(E1602,WEIGHTS!$A$2:$F$4,5,FALSE)+J1602*VLOOKUP(E1602,WEIGHTS!$A$2:$F$4,6,FALSE))</f>
        <v/>
      </c>
      <c r="N1602" s="2" t="str">
        <f t="shared" si="4"/>
        <v/>
      </c>
    </row>
    <row r="1603" ht="15.75" customHeight="1">
      <c r="A1603" s="3"/>
      <c r="B1603" s="2" t="str">
        <f t="shared" si="1"/>
        <v/>
      </c>
      <c r="E1603" s="2"/>
      <c r="F1603" s="2"/>
      <c r="G1603" s="2"/>
      <c r="H1603" s="2"/>
      <c r="I1603" s="2"/>
      <c r="J1603" s="2"/>
      <c r="K1603" s="2" t="str">
        <f t="shared" si="2"/>
        <v/>
      </c>
      <c r="L1603" s="2" t="str">
        <f t="shared" si="3"/>
        <v>No</v>
      </c>
      <c r="M1603" s="2" t="str">
        <f>IF(K1603="","",F1603*VLOOKUP(E1603,WEIGHTS!$A$2:$F$4,2,FALSE)+G1603*VLOOKUP(E1603,WEIGHTS!$A$2:$F$4,3,FALSE)+H1603*VLOOKUP(E1603,WEIGHTS!$A$2:$F$4,4,FALSE)+I1603*VLOOKUP(E1603,WEIGHTS!$A$2:$F$4,5,FALSE)+J1603*VLOOKUP(E1603,WEIGHTS!$A$2:$F$4,6,FALSE))</f>
        <v/>
      </c>
      <c r="N1603" s="2" t="str">
        <f t="shared" si="4"/>
        <v/>
      </c>
    </row>
    <row r="1604" ht="15.75" customHeight="1">
      <c r="A1604" s="3"/>
      <c r="B1604" s="2" t="str">
        <f t="shared" si="1"/>
        <v/>
      </c>
      <c r="E1604" s="2"/>
      <c r="F1604" s="2"/>
      <c r="G1604" s="2"/>
      <c r="H1604" s="2"/>
      <c r="I1604" s="2"/>
      <c r="J1604" s="2"/>
      <c r="K1604" s="2" t="str">
        <f t="shared" si="2"/>
        <v/>
      </c>
      <c r="L1604" s="2" t="str">
        <f t="shared" si="3"/>
        <v>No</v>
      </c>
      <c r="M1604" s="2" t="str">
        <f>IF(K1604="","",F1604*VLOOKUP(E1604,WEIGHTS!$A$2:$F$4,2,FALSE)+G1604*VLOOKUP(E1604,WEIGHTS!$A$2:$F$4,3,FALSE)+H1604*VLOOKUP(E1604,WEIGHTS!$A$2:$F$4,4,FALSE)+I1604*VLOOKUP(E1604,WEIGHTS!$A$2:$F$4,5,FALSE)+J1604*VLOOKUP(E1604,WEIGHTS!$A$2:$F$4,6,FALSE))</f>
        <v/>
      </c>
      <c r="N1604" s="2" t="str">
        <f t="shared" si="4"/>
        <v/>
      </c>
    </row>
    <row r="1605" ht="15.75" customHeight="1">
      <c r="A1605" s="3"/>
      <c r="B1605" s="2" t="str">
        <f t="shared" si="1"/>
        <v/>
      </c>
      <c r="E1605" s="2"/>
      <c r="F1605" s="2"/>
      <c r="G1605" s="2"/>
      <c r="H1605" s="2"/>
      <c r="I1605" s="2"/>
      <c r="J1605" s="2"/>
      <c r="K1605" s="2" t="str">
        <f t="shared" si="2"/>
        <v/>
      </c>
      <c r="L1605" s="2" t="str">
        <f t="shared" si="3"/>
        <v>No</v>
      </c>
      <c r="M1605" s="2" t="str">
        <f>IF(K1605="","",F1605*VLOOKUP(E1605,WEIGHTS!$A$2:$F$4,2,FALSE)+G1605*VLOOKUP(E1605,WEIGHTS!$A$2:$F$4,3,FALSE)+H1605*VLOOKUP(E1605,WEIGHTS!$A$2:$F$4,4,FALSE)+I1605*VLOOKUP(E1605,WEIGHTS!$A$2:$F$4,5,FALSE)+J1605*VLOOKUP(E1605,WEIGHTS!$A$2:$F$4,6,FALSE))</f>
        <v/>
      </c>
      <c r="N1605" s="2" t="str">
        <f t="shared" si="4"/>
        <v/>
      </c>
    </row>
    <row r="1606" ht="15.75" customHeight="1">
      <c r="A1606" s="3"/>
      <c r="B1606" s="2" t="str">
        <f t="shared" si="1"/>
        <v/>
      </c>
      <c r="E1606" s="2"/>
      <c r="F1606" s="2"/>
      <c r="G1606" s="2"/>
      <c r="H1606" s="2"/>
      <c r="I1606" s="2"/>
      <c r="J1606" s="2"/>
      <c r="K1606" s="2" t="str">
        <f t="shared" si="2"/>
        <v/>
      </c>
      <c r="L1606" s="2" t="str">
        <f t="shared" si="3"/>
        <v>No</v>
      </c>
      <c r="M1606" s="2" t="str">
        <f>IF(K1606="","",F1606*VLOOKUP(E1606,WEIGHTS!$A$2:$F$4,2,FALSE)+G1606*VLOOKUP(E1606,WEIGHTS!$A$2:$F$4,3,FALSE)+H1606*VLOOKUP(E1606,WEIGHTS!$A$2:$F$4,4,FALSE)+I1606*VLOOKUP(E1606,WEIGHTS!$A$2:$F$4,5,FALSE)+J1606*VLOOKUP(E1606,WEIGHTS!$A$2:$F$4,6,FALSE))</f>
        <v/>
      </c>
      <c r="N1606" s="2" t="str">
        <f t="shared" si="4"/>
        <v/>
      </c>
    </row>
    <row r="1607" ht="15.75" customHeight="1">
      <c r="A1607" s="3"/>
      <c r="B1607" s="2" t="str">
        <f t="shared" si="1"/>
        <v/>
      </c>
      <c r="E1607" s="2"/>
      <c r="F1607" s="2"/>
      <c r="G1607" s="2"/>
      <c r="H1607" s="2"/>
      <c r="I1607" s="2"/>
      <c r="J1607" s="2"/>
      <c r="K1607" s="2" t="str">
        <f t="shared" si="2"/>
        <v/>
      </c>
      <c r="L1607" s="2" t="str">
        <f t="shared" si="3"/>
        <v>No</v>
      </c>
      <c r="M1607" s="2" t="str">
        <f>IF(K1607="","",F1607*VLOOKUP(E1607,WEIGHTS!$A$2:$F$4,2,FALSE)+G1607*VLOOKUP(E1607,WEIGHTS!$A$2:$F$4,3,FALSE)+H1607*VLOOKUP(E1607,WEIGHTS!$A$2:$F$4,4,FALSE)+I1607*VLOOKUP(E1607,WEIGHTS!$A$2:$F$4,5,FALSE)+J1607*VLOOKUP(E1607,WEIGHTS!$A$2:$F$4,6,FALSE))</f>
        <v/>
      </c>
      <c r="N1607" s="2" t="str">
        <f t="shared" si="4"/>
        <v/>
      </c>
    </row>
    <row r="1608" ht="15.75" customHeight="1">
      <c r="A1608" s="3"/>
      <c r="B1608" s="2" t="str">
        <f t="shared" si="1"/>
        <v/>
      </c>
      <c r="E1608" s="2"/>
      <c r="F1608" s="2"/>
      <c r="G1608" s="2"/>
      <c r="H1608" s="2"/>
      <c r="I1608" s="2"/>
      <c r="J1608" s="2"/>
      <c r="K1608" s="2" t="str">
        <f t="shared" si="2"/>
        <v/>
      </c>
      <c r="L1608" s="2" t="str">
        <f t="shared" si="3"/>
        <v>No</v>
      </c>
      <c r="M1608" s="2" t="str">
        <f>IF(K1608="","",F1608*VLOOKUP(E1608,WEIGHTS!$A$2:$F$4,2,FALSE)+G1608*VLOOKUP(E1608,WEIGHTS!$A$2:$F$4,3,FALSE)+H1608*VLOOKUP(E1608,WEIGHTS!$A$2:$F$4,4,FALSE)+I1608*VLOOKUP(E1608,WEIGHTS!$A$2:$F$4,5,FALSE)+J1608*VLOOKUP(E1608,WEIGHTS!$A$2:$F$4,6,FALSE))</f>
        <v/>
      </c>
      <c r="N1608" s="2" t="str">
        <f t="shared" si="4"/>
        <v/>
      </c>
    </row>
    <row r="1609" ht="15.75" customHeight="1">
      <c r="A1609" s="3"/>
      <c r="B1609" s="2" t="str">
        <f t="shared" si="1"/>
        <v/>
      </c>
      <c r="E1609" s="2"/>
      <c r="F1609" s="2"/>
      <c r="G1609" s="2"/>
      <c r="H1609" s="2"/>
      <c r="I1609" s="2"/>
      <c r="J1609" s="2"/>
      <c r="K1609" s="2" t="str">
        <f t="shared" si="2"/>
        <v/>
      </c>
      <c r="L1609" s="2" t="str">
        <f t="shared" si="3"/>
        <v>No</v>
      </c>
      <c r="M1609" s="2" t="str">
        <f>IF(K1609="","",F1609*VLOOKUP(E1609,WEIGHTS!$A$2:$F$4,2,FALSE)+G1609*VLOOKUP(E1609,WEIGHTS!$A$2:$F$4,3,FALSE)+H1609*VLOOKUP(E1609,WEIGHTS!$A$2:$F$4,4,FALSE)+I1609*VLOOKUP(E1609,WEIGHTS!$A$2:$F$4,5,FALSE)+J1609*VLOOKUP(E1609,WEIGHTS!$A$2:$F$4,6,FALSE))</f>
        <v/>
      </c>
      <c r="N1609" s="2" t="str">
        <f t="shared" si="4"/>
        <v/>
      </c>
    </row>
    <row r="1610" ht="15.75" customHeight="1">
      <c r="A1610" s="3"/>
      <c r="B1610" s="2" t="str">
        <f t="shared" si="1"/>
        <v/>
      </c>
      <c r="E1610" s="2"/>
      <c r="F1610" s="2"/>
      <c r="G1610" s="2"/>
      <c r="H1610" s="2"/>
      <c r="I1610" s="2"/>
      <c r="J1610" s="2"/>
      <c r="K1610" s="2" t="str">
        <f t="shared" si="2"/>
        <v/>
      </c>
      <c r="L1610" s="2" t="str">
        <f t="shared" si="3"/>
        <v>No</v>
      </c>
      <c r="M1610" s="2" t="str">
        <f>IF(K1610="","",F1610*VLOOKUP(E1610,WEIGHTS!$A$2:$F$4,2,FALSE)+G1610*VLOOKUP(E1610,WEIGHTS!$A$2:$F$4,3,FALSE)+H1610*VLOOKUP(E1610,WEIGHTS!$A$2:$F$4,4,FALSE)+I1610*VLOOKUP(E1610,WEIGHTS!$A$2:$F$4,5,FALSE)+J1610*VLOOKUP(E1610,WEIGHTS!$A$2:$F$4,6,FALSE))</f>
        <v/>
      </c>
      <c r="N1610" s="2" t="str">
        <f t="shared" si="4"/>
        <v/>
      </c>
    </row>
    <row r="1611" ht="15.75" customHeight="1">
      <c r="A1611" s="3"/>
      <c r="B1611" s="2" t="str">
        <f t="shared" si="1"/>
        <v/>
      </c>
      <c r="E1611" s="2"/>
      <c r="F1611" s="2"/>
      <c r="G1611" s="2"/>
      <c r="H1611" s="2"/>
      <c r="I1611" s="2"/>
      <c r="J1611" s="2"/>
      <c r="K1611" s="2" t="str">
        <f t="shared" si="2"/>
        <v/>
      </c>
      <c r="L1611" s="2" t="str">
        <f t="shared" si="3"/>
        <v>No</v>
      </c>
      <c r="M1611" s="2" t="str">
        <f>IF(K1611="","",F1611*VLOOKUP(E1611,WEIGHTS!$A$2:$F$4,2,FALSE)+G1611*VLOOKUP(E1611,WEIGHTS!$A$2:$F$4,3,FALSE)+H1611*VLOOKUP(E1611,WEIGHTS!$A$2:$F$4,4,FALSE)+I1611*VLOOKUP(E1611,WEIGHTS!$A$2:$F$4,5,FALSE)+J1611*VLOOKUP(E1611,WEIGHTS!$A$2:$F$4,6,FALSE))</f>
        <v/>
      </c>
      <c r="N1611" s="2" t="str">
        <f t="shared" si="4"/>
        <v/>
      </c>
    </row>
    <row r="1612" ht="15.75" customHeight="1">
      <c r="A1612" s="3"/>
      <c r="B1612" s="2" t="str">
        <f t="shared" si="1"/>
        <v/>
      </c>
      <c r="E1612" s="2"/>
      <c r="F1612" s="2"/>
      <c r="G1612" s="2"/>
      <c r="H1612" s="2"/>
      <c r="I1612" s="2"/>
      <c r="J1612" s="2"/>
      <c r="K1612" s="2" t="str">
        <f t="shared" si="2"/>
        <v/>
      </c>
      <c r="L1612" s="2" t="str">
        <f t="shared" si="3"/>
        <v>No</v>
      </c>
      <c r="M1612" s="2" t="str">
        <f>IF(K1612="","",F1612*VLOOKUP(E1612,WEIGHTS!$A$2:$F$4,2,FALSE)+G1612*VLOOKUP(E1612,WEIGHTS!$A$2:$F$4,3,FALSE)+H1612*VLOOKUP(E1612,WEIGHTS!$A$2:$F$4,4,FALSE)+I1612*VLOOKUP(E1612,WEIGHTS!$A$2:$F$4,5,FALSE)+J1612*VLOOKUP(E1612,WEIGHTS!$A$2:$F$4,6,FALSE))</f>
        <v/>
      </c>
      <c r="N1612" s="2" t="str">
        <f t="shared" si="4"/>
        <v/>
      </c>
    </row>
    <row r="1613" ht="15.75" customHeight="1">
      <c r="A1613" s="3"/>
      <c r="B1613" s="2" t="str">
        <f t="shared" si="1"/>
        <v/>
      </c>
      <c r="E1613" s="2"/>
      <c r="F1613" s="2"/>
      <c r="G1613" s="2"/>
      <c r="H1613" s="2"/>
      <c r="I1613" s="2"/>
      <c r="J1613" s="2"/>
      <c r="K1613" s="2" t="str">
        <f t="shared" si="2"/>
        <v/>
      </c>
      <c r="L1613" s="2" t="str">
        <f t="shared" si="3"/>
        <v>No</v>
      </c>
      <c r="M1613" s="2" t="str">
        <f>IF(K1613="","",F1613*VLOOKUP(E1613,WEIGHTS!$A$2:$F$4,2,FALSE)+G1613*VLOOKUP(E1613,WEIGHTS!$A$2:$F$4,3,FALSE)+H1613*VLOOKUP(E1613,WEIGHTS!$A$2:$F$4,4,FALSE)+I1613*VLOOKUP(E1613,WEIGHTS!$A$2:$F$4,5,FALSE)+J1613*VLOOKUP(E1613,WEIGHTS!$A$2:$F$4,6,FALSE))</f>
        <v/>
      </c>
      <c r="N1613" s="2" t="str">
        <f t="shared" si="4"/>
        <v/>
      </c>
    </row>
    <row r="1614" ht="15.75" customHeight="1">
      <c r="A1614" s="3"/>
      <c r="B1614" s="2" t="str">
        <f t="shared" si="1"/>
        <v/>
      </c>
      <c r="E1614" s="2"/>
      <c r="F1614" s="2"/>
      <c r="G1614" s="2"/>
      <c r="H1614" s="2"/>
      <c r="I1614" s="2"/>
      <c r="J1614" s="2"/>
      <c r="K1614" s="2" t="str">
        <f t="shared" si="2"/>
        <v/>
      </c>
      <c r="L1614" s="2" t="str">
        <f t="shared" si="3"/>
        <v>No</v>
      </c>
      <c r="M1614" s="2" t="str">
        <f>IF(K1614="","",F1614*VLOOKUP(E1614,WEIGHTS!$A$2:$F$4,2,FALSE)+G1614*VLOOKUP(E1614,WEIGHTS!$A$2:$F$4,3,FALSE)+H1614*VLOOKUP(E1614,WEIGHTS!$A$2:$F$4,4,FALSE)+I1614*VLOOKUP(E1614,WEIGHTS!$A$2:$F$4,5,FALSE)+J1614*VLOOKUP(E1614,WEIGHTS!$A$2:$F$4,6,FALSE))</f>
        <v/>
      </c>
      <c r="N1614" s="2" t="str">
        <f t="shared" si="4"/>
        <v/>
      </c>
    </row>
    <row r="1615" ht="15.75" customHeight="1">
      <c r="A1615" s="3"/>
      <c r="B1615" s="2" t="str">
        <f t="shared" si="1"/>
        <v/>
      </c>
      <c r="E1615" s="2"/>
      <c r="F1615" s="2"/>
      <c r="G1615" s="2"/>
      <c r="H1615" s="2"/>
      <c r="I1615" s="2"/>
      <c r="J1615" s="2"/>
      <c r="K1615" s="2" t="str">
        <f t="shared" si="2"/>
        <v/>
      </c>
      <c r="L1615" s="2" t="str">
        <f t="shared" si="3"/>
        <v>No</v>
      </c>
      <c r="M1615" s="2" t="str">
        <f>IF(K1615="","",F1615*VLOOKUP(E1615,WEIGHTS!$A$2:$F$4,2,FALSE)+G1615*VLOOKUP(E1615,WEIGHTS!$A$2:$F$4,3,FALSE)+H1615*VLOOKUP(E1615,WEIGHTS!$A$2:$F$4,4,FALSE)+I1615*VLOOKUP(E1615,WEIGHTS!$A$2:$F$4,5,FALSE)+J1615*VLOOKUP(E1615,WEIGHTS!$A$2:$F$4,6,FALSE))</f>
        <v/>
      </c>
      <c r="N1615" s="2" t="str">
        <f t="shared" si="4"/>
        <v/>
      </c>
    </row>
    <row r="1616" ht="15.75" customHeight="1">
      <c r="A1616" s="3"/>
      <c r="B1616" s="2" t="str">
        <f t="shared" si="1"/>
        <v/>
      </c>
      <c r="E1616" s="2"/>
      <c r="F1616" s="2"/>
      <c r="G1616" s="2"/>
      <c r="H1616" s="2"/>
      <c r="I1616" s="2"/>
      <c r="J1616" s="2"/>
      <c r="K1616" s="2" t="str">
        <f t="shared" si="2"/>
        <v/>
      </c>
      <c r="L1616" s="2" t="str">
        <f t="shared" si="3"/>
        <v>No</v>
      </c>
      <c r="M1616" s="2" t="str">
        <f>IF(K1616="","",F1616*VLOOKUP(E1616,WEIGHTS!$A$2:$F$4,2,FALSE)+G1616*VLOOKUP(E1616,WEIGHTS!$A$2:$F$4,3,FALSE)+H1616*VLOOKUP(E1616,WEIGHTS!$A$2:$F$4,4,FALSE)+I1616*VLOOKUP(E1616,WEIGHTS!$A$2:$F$4,5,FALSE)+J1616*VLOOKUP(E1616,WEIGHTS!$A$2:$F$4,6,FALSE))</f>
        <v/>
      </c>
      <c r="N1616" s="2" t="str">
        <f t="shared" si="4"/>
        <v/>
      </c>
    </row>
    <row r="1617" ht="15.75" customHeight="1">
      <c r="A1617" s="3"/>
      <c r="B1617" s="2" t="str">
        <f t="shared" si="1"/>
        <v/>
      </c>
      <c r="E1617" s="2"/>
      <c r="F1617" s="2"/>
      <c r="G1617" s="2"/>
      <c r="H1617" s="2"/>
      <c r="I1617" s="2"/>
      <c r="J1617" s="2"/>
      <c r="K1617" s="2" t="str">
        <f t="shared" si="2"/>
        <v/>
      </c>
      <c r="L1617" s="2" t="str">
        <f t="shared" si="3"/>
        <v>No</v>
      </c>
      <c r="M1617" s="2" t="str">
        <f>IF(K1617="","",F1617*VLOOKUP(E1617,WEIGHTS!$A$2:$F$4,2,FALSE)+G1617*VLOOKUP(E1617,WEIGHTS!$A$2:$F$4,3,FALSE)+H1617*VLOOKUP(E1617,WEIGHTS!$A$2:$F$4,4,FALSE)+I1617*VLOOKUP(E1617,WEIGHTS!$A$2:$F$4,5,FALSE)+J1617*VLOOKUP(E1617,WEIGHTS!$A$2:$F$4,6,FALSE))</f>
        <v/>
      </c>
      <c r="N1617" s="2" t="str">
        <f t="shared" si="4"/>
        <v/>
      </c>
    </row>
    <row r="1618" ht="15.75" customHeight="1">
      <c r="A1618" s="3"/>
      <c r="B1618" s="2" t="str">
        <f t="shared" si="1"/>
        <v/>
      </c>
      <c r="E1618" s="2"/>
      <c r="F1618" s="2"/>
      <c r="G1618" s="2"/>
      <c r="H1618" s="2"/>
      <c r="I1618" s="2"/>
      <c r="J1618" s="2"/>
      <c r="K1618" s="2" t="str">
        <f t="shared" si="2"/>
        <v/>
      </c>
      <c r="L1618" s="2" t="str">
        <f t="shared" si="3"/>
        <v>No</v>
      </c>
      <c r="M1618" s="2" t="str">
        <f>IF(K1618="","",F1618*VLOOKUP(E1618,WEIGHTS!$A$2:$F$4,2,FALSE)+G1618*VLOOKUP(E1618,WEIGHTS!$A$2:$F$4,3,FALSE)+H1618*VLOOKUP(E1618,WEIGHTS!$A$2:$F$4,4,FALSE)+I1618*VLOOKUP(E1618,WEIGHTS!$A$2:$F$4,5,FALSE)+J1618*VLOOKUP(E1618,WEIGHTS!$A$2:$F$4,6,FALSE))</f>
        <v/>
      </c>
      <c r="N1618" s="2" t="str">
        <f t="shared" si="4"/>
        <v/>
      </c>
    </row>
    <row r="1619" ht="15.75" customHeight="1">
      <c r="A1619" s="3"/>
      <c r="B1619" s="2" t="str">
        <f t="shared" si="1"/>
        <v/>
      </c>
      <c r="E1619" s="2"/>
      <c r="F1619" s="2"/>
      <c r="G1619" s="2"/>
      <c r="H1619" s="2"/>
      <c r="I1619" s="2"/>
      <c r="J1619" s="2"/>
      <c r="K1619" s="2" t="str">
        <f t="shared" si="2"/>
        <v/>
      </c>
      <c r="L1619" s="2" t="str">
        <f t="shared" si="3"/>
        <v>No</v>
      </c>
      <c r="M1619" s="2" t="str">
        <f>IF(K1619="","",F1619*VLOOKUP(E1619,WEIGHTS!$A$2:$F$4,2,FALSE)+G1619*VLOOKUP(E1619,WEIGHTS!$A$2:$F$4,3,FALSE)+H1619*VLOOKUP(E1619,WEIGHTS!$A$2:$F$4,4,FALSE)+I1619*VLOOKUP(E1619,WEIGHTS!$A$2:$F$4,5,FALSE)+J1619*VLOOKUP(E1619,WEIGHTS!$A$2:$F$4,6,FALSE))</f>
        <v/>
      </c>
      <c r="N1619" s="2" t="str">
        <f t="shared" si="4"/>
        <v/>
      </c>
    </row>
    <row r="1620" ht="15.75" customHeight="1">
      <c r="A1620" s="3"/>
      <c r="B1620" s="2" t="str">
        <f t="shared" si="1"/>
        <v/>
      </c>
      <c r="E1620" s="2"/>
      <c r="F1620" s="2"/>
      <c r="G1620" s="2"/>
      <c r="H1620" s="2"/>
      <c r="I1620" s="2"/>
      <c r="J1620" s="2"/>
      <c r="K1620" s="2" t="str">
        <f t="shared" si="2"/>
        <v/>
      </c>
      <c r="L1620" s="2" t="str">
        <f t="shared" si="3"/>
        <v>No</v>
      </c>
      <c r="M1620" s="2" t="str">
        <f>IF(K1620="","",F1620*VLOOKUP(E1620,WEIGHTS!$A$2:$F$4,2,FALSE)+G1620*VLOOKUP(E1620,WEIGHTS!$A$2:$F$4,3,FALSE)+H1620*VLOOKUP(E1620,WEIGHTS!$A$2:$F$4,4,FALSE)+I1620*VLOOKUP(E1620,WEIGHTS!$A$2:$F$4,5,FALSE)+J1620*VLOOKUP(E1620,WEIGHTS!$A$2:$F$4,6,FALSE))</f>
        <v/>
      </c>
      <c r="N1620" s="2" t="str">
        <f t="shared" si="4"/>
        <v/>
      </c>
    </row>
    <row r="1621" ht="15.75" customHeight="1">
      <c r="A1621" s="3"/>
      <c r="B1621" s="2" t="str">
        <f t="shared" si="1"/>
        <v/>
      </c>
      <c r="E1621" s="2"/>
      <c r="F1621" s="2"/>
      <c r="G1621" s="2"/>
      <c r="H1621" s="2"/>
      <c r="I1621" s="2"/>
      <c r="J1621" s="2"/>
      <c r="K1621" s="2" t="str">
        <f t="shared" si="2"/>
        <v/>
      </c>
      <c r="L1621" s="2" t="str">
        <f t="shared" si="3"/>
        <v>No</v>
      </c>
      <c r="M1621" s="2" t="str">
        <f>IF(K1621="","",F1621*VLOOKUP(E1621,WEIGHTS!$A$2:$F$4,2,FALSE)+G1621*VLOOKUP(E1621,WEIGHTS!$A$2:$F$4,3,FALSE)+H1621*VLOOKUP(E1621,WEIGHTS!$A$2:$F$4,4,FALSE)+I1621*VLOOKUP(E1621,WEIGHTS!$A$2:$F$4,5,FALSE)+J1621*VLOOKUP(E1621,WEIGHTS!$A$2:$F$4,6,FALSE))</f>
        <v/>
      </c>
      <c r="N1621" s="2" t="str">
        <f t="shared" si="4"/>
        <v/>
      </c>
    </row>
    <row r="1622" ht="15.75" customHeight="1">
      <c r="A1622" s="3"/>
      <c r="B1622" s="2" t="str">
        <f t="shared" si="1"/>
        <v/>
      </c>
      <c r="E1622" s="2"/>
      <c r="F1622" s="2"/>
      <c r="G1622" s="2"/>
      <c r="H1622" s="2"/>
      <c r="I1622" s="2"/>
      <c r="J1622" s="2"/>
      <c r="K1622" s="2" t="str">
        <f t="shared" si="2"/>
        <v/>
      </c>
      <c r="L1622" s="2" t="str">
        <f t="shared" si="3"/>
        <v>No</v>
      </c>
      <c r="M1622" s="2" t="str">
        <f>IF(K1622="","",F1622*VLOOKUP(E1622,WEIGHTS!$A$2:$F$4,2,FALSE)+G1622*VLOOKUP(E1622,WEIGHTS!$A$2:$F$4,3,FALSE)+H1622*VLOOKUP(E1622,WEIGHTS!$A$2:$F$4,4,FALSE)+I1622*VLOOKUP(E1622,WEIGHTS!$A$2:$F$4,5,FALSE)+J1622*VLOOKUP(E1622,WEIGHTS!$A$2:$F$4,6,FALSE))</f>
        <v/>
      </c>
      <c r="N1622" s="2" t="str">
        <f t="shared" si="4"/>
        <v/>
      </c>
    </row>
    <row r="1623" ht="15.75" customHeight="1">
      <c r="A1623" s="3"/>
      <c r="B1623" s="2" t="str">
        <f t="shared" si="1"/>
        <v/>
      </c>
      <c r="E1623" s="2"/>
      <c r="F1623" s="2"/>
      <c r="G1623" s="2"/>
      <c r="H1623" s="2"/>
      <c r="I1623" s="2"/>
      <c r="J1623" s="2"/>
      <c r="K1623" s="2" t="str">
        <f t="shared" si="2"/>
        <v/>
      </c>
      <c r="L1623" s="2" t="str">
        <f t="shared" si="3"/>
        <v>No</v>
      </c>
      <c r="M1623" s="2" t="str">
        <f>IF(K1623="","",F1623*VLOOKUP(E1623,WEIGHTS!$A$2:$F$4,2,FALSE)+G1623*VLOOKUP(E1623,WEIGHTS!$A$2:$F$4,3,FALSE)+H1623*VLOOKUP(E1623,WEIGHTS!$A$2:$F$4,4,FALSE)+I1623*VLOOKUP(E1623,WEIGHTS!$A$2:$F$4,5,FALSE)+J1623*VLOOKUP(E1623,WEIGHTS!$A$2:$F$4,6,FALSE))</f>
        <v/>
      </c>
      <c r="N1623" s="2" t="str">
        <f t="shared" si="4"/>
        <v/>
      </c>
    </row>
    <row r="1624" ht="15.75" customHeight="1">
      <c r="A1624" s="3"/>
      <c r="B1624" s="2" t="str">
        <f t="shared" si="1"/>
        <v/>
      </c>
      <c r="E1624" s="2"/>
      <c r="F1624" s="2"/>
      <c r="G1624" s="2"/>
      <c r="H1624" s="2"/>
      <c r="I1624" s="2"/>
      <c r="J1624" s="2"/>
      <c r="K1624" s="2" t="str">
        <f t="shared" si="2"/>
        <v/>
      </c>
      <c r="L1624" s="2" t="str">
        <f t="shared" si="3"/>
        <v>No</v>
      </c>
      <c r="M1624" s="2" t="str">
        <f>IF(K1624="","",F1624*VLOOKUP(E1624,WEIGHTS!$A$2:$F$4,2,FALSE)+G1624*VLOOKUP(E1624,WEIGHTS!$A$2:$F$4,3,FALSE)+H1624*VLOOKUP(E1624,WEIGHTS!$A$2:$F$4,4,FALSE)+I1624*VLOOKUP(E1624,WEIGHTS!$A$2:$F$4,5,FALSE)+J1624*VLOOKUP(E1624,WEIGHTS!$A$2:$F$4,6,FALSE))</f>
        <v/>
      </c>
      <c r="N1624" s="2" t="str">
        <f t="shared" si="4"/>
        <v/>
      </c>
    </row>
    <row r="1625" ht="15.75" customHeight="1">
      <c r="A1625" s="3"/>
      <c r="B1625" s="2" t="str">
        <f t="shared" si="1"/>
        <v/>
      </c>
      <c r="E1625" s="2"/>
      <c r="F1625" s="2"/>
      <c r="G1625" s="2"/>
      <c r="H1625" s="2"/>
      <c r="I1625" s="2"/>
      <c r="J1625" s="2"/>
      <c r="K1625" s="2" t="str">
        <f t="shared" si="2"/>
        <v/>
      </c>
      <c r="L1625" s="2" t="str">
        <f t="shared" si="3"/>
        <v>No</v>
      </c>
      <c r="M1625" s="2" t="str">
        <f>IF(K1625="","",F1625*VLOOKUP(E1625,WEIGHTS!$A$2:$F$4,2,FALSE)+G1625*VLOOKUP(E1625,WEIGHTS!$A$2:$F$4,3,FALSE)+H1625*VLOOKUP(E1625,WEIGHTS!$A$2:$F$4,4,FALSE)+I1625*VLOOKUP(E1625,WEIGHTS!$A$2:$F$4,5,FALSE)+J1625*VLOOKUP(E1625,WEIGHTS!$A$2:$F$4,6,FALSE))</f>
        <v/>
      </c>
      <c r="N1625" s="2" t="str">
        <f t="shared" si="4"/>
        <v/>
      </c>
    </row>
    <row r="1626" ht="15.75" customHeight="1">
      <c r="A1626" s="3"/>
      <c r="B1626" s="2" t="str">
        <f t="shared" si="1"/>
        <v/>
      </c>
      <c r="E1626" s="2"/>
      <c r="F1626" s="2"/>
      <c r="G1626" s="2"/>
      <c r="H1626" s="2"/>
      <c r="I1626" s="2"/>
      <c r="J1626" s="2"/>
      <c r="K1626" s="2" t="str">
        <f t="shared" si="2"/>
        <v/>
      </c>
      <c r="L1626" s="2" t="str">
        <f t="shared" si="3"/>
        <v>No</v>
      </c>
      <c r="M1626" s="2" t="str">
        <f>IF(K1626="","",F1626*VLOOKUP(E1626,WEIGHTS!$A$2:$F$4,2,FALSE)+G1626*VLOOKUP(E1626,WEIGHTS!$A$2:$F$4,3,FALSE)+H1626*VLOOKUP(E1626,WEIGHTS!$A$2:$F$4,4,FALSE)+I1626*VLOOKUP(E1626,WEIGHTS!$A$2:$F$4,5,FALSE)+J1626*VLOOKUP(E1626,WEIGHTS!$A$2:$F$4,6,FALSE))</f>
        <v/>
      </c>
      <c r="N1626" s="2" t="str">
        <f t="shared" si="4"/>
        <v/>
      </c>
    </row>
    <row r="1627" ht="15.75" customHeight="1">
      <c r="A1627" s="3"/>
      <c r="B1627" s="2" t="str">
        <f t="shared" si="1"/>
        <v/>
      </c>
      <c r="E1627" s="2"/>
      <c r="F1627" s="2"/>
      <c r="G1627" s="2"/>
      <c r="H1627" s="2"/>
      <c r="I1627" s="2"/>
      <c r="J1627" s="2"/>
      <c r="K1627" s="2" t="str">
        <f t="shared" si="2"/>
        <v/>
      </c>
      <c r="L1627" s="2" t="str">
        <f t="shared" si="3"/>
        <v>No</v>
      </c>
      <c r="M1627" s="2" t="str">
        <f>IF(K1627="","",F1627*VLOOKUP(E1627,WEIGHTS!$A$2:$F$4,2,FALSE)+G1627*VLOOKUP(E1627,WEIGHTS!$A$2:$F$4,3,FALSE)+H1627*VLOOKUP(E1627,WEIGHTS!$A$2:$F$4,4,FALSE)+I1627*VLOOKUP(E1627,WEIGHTS!$A$2:$F$4,5,FALSE)+J1627*VLOOKUP(E1627,WEIGHTS!$A$2:$F$4,6,FALSE))</f>
        <v/>
      </c>
      <c r="N1627" s="2" t="str">
        <f t="shared" si="4"/>
        <v/>
      </c>
    </row>
    <row r="1628" ht="15.75" customHeight="1">
      <c r="A1628" s="3"/>
      <c r="B1628" s="2" t="str">
        <f t="shared" si="1"/>
        <v/>
      </c>
      <c r="E1628" s="2"/>
      <c r="F1628" s="2"/>
      <c r="G1628" s="2"/>
      <c r="H1628" s="2"/>
      <c r="I1628" s="2"/>
      <c r="J1628" s="2"/>
      <c r="K1628" s="2" t="str">
        <f t="shared" si="2"/>
        <v/>
      </c>
      <c r="L1628" s="2" t="str">
        <f t="shared" si="3"/>
        <v>No</v>
      </c>
      <c r="M1628" s="2" t="str">
        <f>IF(K1628="","",F1628*VLOOKUP(E1628,WEIGHTS!$A$2:$F$4,2,FALSE)+G1628*VLOOKUP(E1628,WEIGHTS!$A$2:$F$4,3,FALSE)+H1628*VLOOKUP(E1628,WEIGHTS!$A$2:$F$4,4,FALSE)+I1628*VLOOKUP(E1628,WEIGHTS!$A$2:$F$4,5,FALSE)+J1628*VLOOKUP(E1628,WEIGHTS!$A$2:$F$4,6,FALSE))</f>
        <v/>
      </c>
      <c r="N1628" s="2" t="str">
        <f t="shared" si="4"/>
        <v/>
      </c>
    </row>
    <row r="1629" ht="15.75" customHeight="1">
      <c r="A1629" s="3"/>
      <c r="B1629" s="2" t="str">
        <f t="shared" si="1"/>
        <v/>
      </c>
      <c r="E1629" s="2"/>
      <c r="F1629" s="2"/>
      <c r="G1629" s="2"/>
      <c r="H1629" s="2"/>
      <c r="I1629" s="2"/>
      <c r="J1629" s="2"/>
      <c r="K1629" s="2" t="str">
        <f t="shared" si="2"/>
        <v/>
      </c>
      <c r="L1629" s="2" t="str">
        <f t="shared" si="3"/>
        <v>No</v>
      </c>
      <c r="M1629" s="2" t="str">
        <f>IF(K1629="","",F1629*VLOOKUP(E1629,WEIGHTS!$A$2:$F$4,2,FALSE)+G1629*VLOOKUP(E1629,WEIGHTS!$A$2:$F$4,3,FALSE)+H1629*VLOOKUP(E1629,WEIGHTS!$A$2:$F$4,4,FALSE)+I1629*VLOOKUP(E1629,WEIGHTS!$A$2:$F$4,5,FALSE)+J1629*VLOOKUP(E1629,WEIGHTS!$A$2:$F$4,6,FALSE))</f>
        <v/>
      </c>
      <c r="N1629" s="2" t="str">
        <f t="shared" si="4"/>
        <v/>
      </c>
    </row>
    <row r="1630" ht="15.75" customHeight="1">
      <c r="A1630" s="3"/>
      <c r="B1630" s="2" t="str">
        <f t="shared" si="1"/>
        <v/>
      </c>
      <c r="E1630" s="2"/>
      <c r="F1630" s="2"/>
      <c r="G1630" s="2"/>
      <c r="H1630" s="2"/>
      <c r="I1630" s="2"/>
      <c r="J1630" s="2"/>
      <c r="K1630" s="2" t="str">
        <f t="shared" si="2"/>
        <v/>
      </c>
      <c r="L1630" s="2" t="str">
        <f t="shared" si="3"/>
        <v>No</v>
      </c>
      <c r="M1630" s="2" t="str">
        <f>IF(K1630="","",F1630*VLOOKUP(E1630,WEIGHTS!$A$2:$F$4,2,FALSE)+G1630*VLOOKUP(E1630,WEIGHTS!$A$2:$F$4,3,FALSE)+H1630*VLOOKUP(E1630,WEIGHTS!$A$2:$F$4,4,FALSE)+I1630*VLOOKUP(E1630,WEIGHTS!$A$2:$F$4,5,FALSE)+J1630*VLOOKUP(E1630,WEIGHTS!$A$2:$F$4,6,FALSE))</f>
        <v/>
      </c>
      <c r="N1630" s="2" t="str">
        <f t="shared" si="4"/>
        <v/>
      </c>
    </row>
    <row r="1631" ht="15.75" customHeight="1">
      <c r="A1631" s="3"/>
      <c r="B1631" s="2" t="str">
        <f t="shared" si="1"/>
        <v/>
      </c>
      <c r="E1631" s="2"/>
      <c r="F1631" s="2"/>
      <c r="G1631" s="2"/>
      <c r="H1631" s="2"/>
      <c r="I1631" s="2"/>
      <c r="J1631" s="2"/>
      <c r="K1631" s="2" t="str">
        <f t="shared" si="2"/>
        <v/>
      </c>
      <c r="L1631" s="2" t="str">
        <f t="shared" si="3"/>
        <v>No</v>
      </c>
      <c r="M1631" s="2" t="str">
        <f>IF(K1631="","",F1631*VLOOKUP(E1631,WEIGHTS!$A$2:$F$4,2,FALSE)+G1631*VLOOKUP(E1631,WEIGHTS!$A$2:$F$4,3,FALSE)+H1631*VLOOKUP(E1631,WEIGHTS!$A$2:$F$4,4,FALSE)+I1631*VLOOKUP(E1631,WEIGHTS!$A$2:$F$4,5,FALSE)+J1631*VLOOKUP(E1631,WEIGHTS!$A$2:$F$4,6,FALSE))</f>
        <v/>
      </c>
      <c r="N1631" s="2" t="str">
        <f t="shared" si="4"/>
        <v/>
      </c>
    </row>
    <row r="1632" ht="15.75" customHeight="1">
      <c r="A1632" s="3"/>
      <c r="B1632" s="2" t="str">
        <f t="shared" si="1"/>
        <v/>
      </c>
      <c r="E1632" s="2"/>
      <c r="F1632" s="2"/>
      <c r="G1632" s="2"/>
      <c r="H1632" s="2"/>
      <c r="I1632" s="2"/>
      <c r="J1632" s="2"/>
      <c r="K1632" s="2" t="str">
        <f t="shared" si="2"/>
        <v/>
      </c>
      <c r="L1632" s="2" t="str">
        <f t="shared" si="3"/>
        <v>No</v>
      </c>
      <c r="M1632" s="2" t="str">
        <f>IF(K1632="","",F1632*VLOOKUP(E1632,WEIGHTS!$A$2:$F$4,2,FALSE)+G1632*VLOOKUP(E1632,WEIGHTS!$A$2:$F$4,3,FALSE)+H1632*VLOOKUP(E1632,WEIGHTS!$A$2:$F$4,4,FALSE)+I1632*VLOOKUP(E1632,WEIGHTS!$A$2:$F$4,5,FALSE)+J1632*VLOOKUP(E1632,WEIGHTS!$A$2:$F$4,6,FALSE))</f>
        <v/>
      </c>
      <c r="N1632" s="2" t="str">
        <f t="shared" si="4"/>
        <v/>
      </c>
    </row>
    <row r="1633" ht="15.75" customHeight="1">
      <c r="A1633" s="3"/>
      <c r="B1633" s="2" t="str">
        <f t="shared" si="1"/>
        <v/>
      </c>
      <c r="E1633" s="2"/>
      <c r="F1633" s="2"/>
      <c r="G1633" s="2"/>
      <c r="H1633" s="2"/>
      <c r="I1633" s="2"/>
      <c r="J1633" s="2"/>
      <c r="K1633" s="2" t="str">
        <f t="shared" si="2"/>
        <v/>
      </c>
      <c r="L1633" s="2" t="str">
        <f t="shared" si="3"/>
        <v>No</v>
      </c>
      <c r="M1633" s="2" t="str">
        <f>IF(K1633="","",F1633*VLOOKUP(E1633,WEIGHTS!$A$2:$F$4,2,FALSE)+G1633*VLOOKUP(E1633,WEIGHTS!$A$2:$F$4,3,FALSE)+H1633*VLOOKUP(E1633,WEIGHTS!$A$2:$F$4,4,FALSE)+I1633*VLOOKUP(E1633,WEIGHTS!$A$2:$F$4,5,FALSE)+J1633*VLOOKUP(E1633,WEIGHTS!$A$2:$F$4,6,FALSE))</f>
        <v/>
      </c>
      <c r="N1633" s="2" t="str">
        <f t="shared" si="4"/>
        <v/>
      </c>
    </row>
    <row r="1634" ht="15.75" customHeight="1">
      <c r="A1634" s="3"/>
      <c r="B1634" s="2" t="str">
        <f t="shared" si="1"/>
        <v/>
      </c>
      <c r="E1634" s="2"/>
      <c r="F1634" s="2"/>
      <c r="G1634" s="2"/>
      <c r="H1634" s="2"/>
      <c r="I1634" s="2"/>
      <c r="J1634" s="2"/>
      <c r="K1634" s="2" t="str">
        <f t="shared" si="2"/>
        <v/>
      </c>
      <c r="L1634" s="2" t="str">
        <f t="shared" si="3"/>
        <v>No</v>
      </c>
      <c r="M1634" s="2" t="str">
        <f>IF(K1634="","",F1634*VLOOKUP(E1634,WEIGHTS!$A$2:$F$4,2,FALSE)+G1634*VLOOKUP(E1634,WEIGHTS!$A$2:$F$4,3,FALSE)+H1634*VLOOKUP(E1634,WEIGHTS!$A$2:$F$4,4,FALSE)+I1634*VLOOKUP(E1634,WEIGHTS!$A$2:$F$4,5,FALSE)+J1634*VLOOKUP(E1634,WEIGHTS!$A$2:$F$4,6,FALSE))</f>
        <v/>
      </c>
      <c r="N1634" s="2" t="str">
        <f t="shared" si="4"/>
        <v/>
      </c>
    </row>
    <row r="1635" ht="15.75" customHeight="1">
      <c r="A1635" s="3"/>
      <c r="B1635" s="2" t="str">
        <f t="shared" si="1"/>
        <v/>
      </c>
      <c r="E1635" s="2"/>
      <c r="F1635" s="2"/>
      <c r="G1635" s="2"/>
      <c r="H1635" s="2"/>
      <c r="I1635" s="2"/>
      <c r="J1635" s="2"/>
      <c r="K1635" s="2" t="str">
        <f t="shared" si="2"/>
        <v/>
      </c>
      <c r="L1635" s="2" t="str">
        <f t="shared" si="3"/>
        <v>No</v>
      </c>
      <c r="M1635" s="2" t="str">
        <f>IF(K1635="","",F1635*VLOOKUP(E1635,WEIGHTS!$A$2:$F$4,2,FALSE)+G1635*VLOOKUP(E1635,WEIGHTS!$A$2:$F$4,3,FALSE)+H1635*VLOOKUP(E1635,WEIGHTS!$A$2:$F$4,4,FALSE)+I1635*VLOOKUP(E1635,WEIGHTS!$A$2:$F$4,5,FALSE)+J1635*VLOOKUP(E1635,WEIGHTS!$A$2:$F$4,6,FALSE))</f>
        <v/>
      </c>
      <c r="N1635" s="2" t="str">
        <f t="shared" si="4"/>
        <v/>
      </c>
    </row>
    <row r="1636" ht="15.75" customHeight="1">
      <c r="A1636" s="3"/>
      <c r="B1636" s="2" t="str">
        <f t="shared" si="1"/>
        <v/>
      </c>
      <c r="E1636" s="2"/>
      <c r="F1636" s="2"/>
      <c r="G1636" s="2"/>
      <c r="H1636" s="2"/>
      <c r="I1636" s="2"/>
      <c r="J1636" s="2"/>
      <c r="K1636" s="2" t="str">
        <f t="shared" si="2"/>
        <v/>
      </c>
      <c r="L1636" s="2" t="str">
        <f t="shared" si="3"/>
        <v>No</v>
      </c>
      <c r="M1636" s="2" t="str">
        <f>IF(K1636="","",F1636*VLOOKUP(E1636,WEIGHTS!$A$2:$F$4,2,FALSE)+G1636*VLOOKUP(E1636,WEIGHTS!$A$2:$F$4,3,FALSE)+H1636*VLOOKUP(E1636,WEIGHTS!$A$2:$F$4,4,FALSE)+I1636*VLOOKUP(E1636,WEIGHTS!$A$2:$F$4,5,FALSE)+J1636*VLOOKUP(E1636,WEIGHTS!$A$2:$F$4,6,FALSE))</f>
        <v/>
      </c>
      <c r="N1636" s="2" t="str">
        <f t="shared" si="4"/>
        <v/>
      </c>
    </row>
    <row r="1637" ht="15.75" customHeight="1">
      <c r="A1637" s="3"/>
      <c r="B1637" s="2" t="str">
        <f t="shared" si="1"/>
        <v/>
      </c>
      <c r="E1637" s="2"/>
      <c r="F1637" s="2"/>
      <c r="G1637" s="2"/>
      <c r="H1637" s="2"/>
      <c r="I1637" s="2"/>
      <c r="J1637" s="2"/>
      <c r="K1637" s="2" t="str">
        <f t="shared" si="2"/>
        <v/>
      </c>
      <c r="L1637" s="2" t="str">
        <f t="shared" si="3"/>
        <v>No</v>
      </c>
      <c r="M1637" s="2" t="str">
        <f>IF(K1637="","",F1637*VLOOKUP(E1637,WEIGHTS!$A$2:$F$4,2,FALSE)+G1637*VLOOKUP(E1637,WEIGHTS!$A$2:$F$4,3,FALSE)+H1637*VLOOKUP(E1637,WEIGHTS!$A$2:$F$4,4,FALSE)+I1637*VLOOKUP(E1637,WEIGHTS!$A$2:$F$4,5,FALSE)+J1637*VLOOKUP(E1637,WEIGHTS!$A$2:$F$4,6,FALSE))</f>
        <v/>
      </c>
      <c r="N1637" s="2" t="str">
        <f t="shared" si="4"/>
        <v/>
      </c>
    </row>
    <row r="1638" ht="15.75" customHeight="1">
      <c r="A1638" s="3"/>
      <c r="B1638" s="2" t="str">
        <f t="shared" si="1"/>
        <v/>
      </c>
      <c r="E1638" s="2"/>
      <c r="F1638" s="2"/>
      <c r="G1638" s="2"/>
      <c r="H1638" s="2"/>
      <c r="I1638" s="2"/>
      <c r="J1638" s="2"/>
      <c r="K1638" s="2" t="str">
        <f t="shared" si="2"/>
        <v/>
      </c>
      <c r="L1638" s="2" t="str">
        <f t="shared" si="3"/>
        <v>No</v>
      </c>
      <c r="M1638" s="2" t="str">
        <f>IF(K1638="","",F1638*VLOOKUP(E1638,WEIGHTS!$A$2:$F$4,2,FALSE)+G1638*VLOOKUP(E1638,WEIGHTS!$A$2:$F$4,3,FALSE)+H1638*VLOOKUP(E1638,WEIGHTS!$A$2:$F$4,4,FALSE)+I1638*VLOOKUP(E1638,WEIGHTS!$A$2:$F$4,5,FALSE)+J1638*VLOOKUP(E1638,WEIGHTS!$A$2:$F$4,6,FALSE))</f>
        <v/>
      </c>
      <c r="N1638" s="2" t="str">
        <f t="shared" si="4"/>
        <v/>
      </c>
    </row>
    <row r="1639" ht="15.75" customHeight="1">
      <c r="A1639" s="3"/>
      <c r="B1639" s="2" t="str">
        <f t="shared" si="1"/>
        <v/>
      </c>
      <c r="E1639" s="2"/>
      <c r="F1639" s="2"/>
      <c r="G1639" s="2"/>
      <c r="H1639" s="2"/>
      <c r="I1639" s="2"/>
      <c r="J1639" s="2"/>
      <c r="K1639" s="2" t="str">
        <f t="shared" si="2"/>
        <v/>
      </c>
      <c r="L1639" s="2" t="str">
        <f t="shared" si="3"/>
        <v>No</v>
      </c>
      <c r="M1639" s="2" t="str">
        <f>IF(K1639="","",F1639*VLOOKUP(E1639,WEIGHTS!$A$2:$F$4,2,FALSE)+G1639*VLOOKUP(E1639,WEIGHTS!$A$2:$F$4,3,FALSE)+H1639*VLOOKUP(E1639,WEIGHTS!$A$2:$F$4,4,FALSE)+I1639*VLOOKUP(E1639,WEIGHTS!$A$2:$F$4,5,FALSE)+J1639*VLOOKUP(E1639,WEIGHTS!$A$2:$F$4,6,FALSE))</f>
        <v/>
      </c>
      <c r="N1639" s="2" t="str">
        <f t="shared" si="4"/>
        <v/>
      </c>
    </row>
    <row r="1640" ht="15.75" customHeight="1">
      <c r="A1640" s="3"/>
      <c r="B1640" s="2" t="str">
        <f t="shared" si="1"/>
        <v/>
      </c>
      <c r="E1640" s="2"/>
      <c r="F1640" s="2"/>
      <c r="G1640" s="2"/>
      <c r="H1640" s="2"/>
      <c r="I1640" s="2"/>
      <c r="J1640" s="2"/>
      <c r="K1640" s="2" t="str">
        <f t="shared" si="2"/>
        <v/>
      </c>
      <c r="L1640" s="2" t="str">
        <f t="shared" si="3"/>
        <v>No</v>
      </c>
      <c r="M1640" s="2" t="str">
        <f>IF(K1640="","",F1640*VLOOKUP(E1640,WEIGHTS!$A$2:$F$4,2,FALSE)+G1640*VLOOKUP(E1640,WEIGHTS!$A$2:$F$4,3,FALSE)+H1640*VLOOKUP(E1640,WEIGHTS!$A$2:$F$4,4,FALSE)+I1640*VLOOKUP(E1640,WEIGHTS!$A$2:$F$4,5,FALSE)+J1640*VLOOKUP(E1640,WEIGHTS!$A$2:$F$4,6,FALSE))</f>
        <v/>
      </c>
      <c r="N1640" s="2" t="str">
        <f t="shared" si="4"/>
        <v/>
      </c>
    </row>
    <row r="1641" ht="15.75" customHeight="1">
      <c r="A1641" s="3"/>
      <c r="B1641" s="2" t="str">
        <f t="shared" si="1"/>
        <v/>
      </c>
      <c r="E1641" s="2"/>
      <c r="F1641" s="2"/>
      <c r="G1641" s="2"/>
      <c r="H1641" s="2"/>
      <c r="I1641" s="2"/>
      <c r="J1641" s="2"/>
      <c r="K1641" s="2" t="str">
        <f t="shared" si="2"/>
        <v/>
      </c>
      <c r="L1641" s="2" t="str">
        <f t="shared" si="3"/>
        <v>No</v>
      </c>
      <c r="M1641" s="2" t="str">
        <f>IF(K1641="","",F1641*VLOOKUP(E1641,WEIGHTS!$A$2:$F$4,2,FALSE)+G1641*VLOOKUP(E1641,WEIGHTS!$A$2:$F$4,3,FALSE)+H1641*VLOOKUP(E1641,WEIGHTS!$A$2:$F$4,4,FALSE)+I1641*VLOOKUP(E1641,WEIGHTS!$A$2:$F$4,5,FALSE)+J1641*VLOOKUP(E1641,WEIGHTS!$A$2:$F$4,6,FALSE))</f>
        <v/>
      </c>
      <c r="N1641" s="2" t="str">
        <f t="shared" si="4"/>
        <v/>
      </c>
    </row>
    <row r="1642" ht="15.75" customHeight="1">
      <c r="A1642" s="3"/>
      <c r="B1642" s="2" t="str">
        <f t="shared" si="1"/>
        <v/>
      </c>
      <c r="E1642" s="2"/>
      <c r="F1642" s="2"/>
      <c r="G1642" s="2"/>
      <c r="H1642" s="2"/>
      <c r="I1642" s="2"/>
      <c r="J1642" s="2"/>
      <c r="K1642" s="2" t="str">
        <f t="shared" si="2"/>
        <v/>
      </c>
      <c r="L1642" s="2" t="str">
        <f t="shared" si="3"/>
        <v>No</v>
      </c>
      <c r="M1642" s="2" t="str">
        <f>IF(K1642="","",F1642*VLOOKUP(E1642,WEIGHTS!$A$2:$F$4,2,FALSE)+G1642*VLOOKUP(E1642,WEIGHTS!$A$2:$F$4,3,FALSE)+H1642*VLOOKUP(E1642,WEIGHTS!$A$2:$F$4,4,FALSE)+I1642*VLOOKUP(E1642,WEIGHTS!$A$2:$F$4,5,FALSE)+J1642*VLOOKUP(E1642,WEIGHTS!$A$2:$F$4,6,FALSE))</f>
        <v/>
      </c>
      <c r="N1642" s="2" t="str">
        <f t="shared" si="4"/>
        <v/>
      </c>
    </row>
    <row r="1643" ht="15.75" customHeight="1">
      <c r="A1643" s="3"/>
      <c r="B1643" s="2" t="str">
        <f t="shared" si="1"/>
        <v/>
      </c>
      <c r="E1643" s="2"/>
      <c r="F1643" s="2"/>
      <c r="G1643" s="2"/>
      <c r="H1643" s="2"/>
      <c r="I1643" s="2"/>
      <c r="J1643" s="2"/>
      <c r="K1643" s="2" t="str">
        <f t="shared" si="2"/>
        <v/>
      </c>
      <c r="L1643" s="2" t="str">
        <f t="shared" si="3"/>
        <v>No</v>
      </c>
      <c r="M1643" s="2" t="str">
        <f>IF(K1643="","",F1643*VLOOKUP(E1643,WEIGHTS!$A$2:$F$4,2,FALSE)+G1643*VLOOKUP(E1643,WEIGHTS!$A$2:$F$4,3,FALSE)+H1643*VLOOKUP(E1643,WEIGHTS!$A$2:$F$4,4,FALSE)+I1643*VLOOKUP(E1643,WEIGHTS!$A$2:$F$4,5,FALSE)+J1643*VLOOKUP(E1643,WEIGHTS!$A$2:$F$4,6,FALSE))</f>
        <v/>
      </c>
      <c r="N1643" s="2" t="str">
        <f t="shared" si="4"/>
        <v/>
      </c>
    </row>
    <row r="1644" ht="15.75" customHeight="1">
      <c r="A1644" s="3"/>
      <c r="B1644" s="2" t="str">
        <f t="shared" si="1"/>
        <v/>
      </c>
      <c r="E1644" s="2"/>
      <c r="F1644" s="2"/>
      <c r="G1644" s="2"/>
      <c r="H1644" s="2"/>
      <c r="I1644" s="2"/>
      <c r="J1644" s="2"/>
      <c r="K1644" s="2" t="str">
        <f t="shared" si="2"/>
        <v/>
      </c>
      <c r="L1644" s="2" t="str">
        <f t="shared" si="3"/>
        <v>No</v>
      </c>
      <c r="M1644" s="2" t="str">
        <f>IF(K1644="","",F1644*VLOOKUP(E1644,WEIGHTS!$A$2:$F$4,2,FALSE)+G1644*VLOOKUP(E1644,WEIGHTS!$A$2:$F$4,3,FALSE)+H1644*VLOOKUP(E1644,WEIGHTS!$A$2:$F$4,4,FALSE)+I1644*VLOOKUP(E1644,WEIGHTS!$A$2:$F$4,5,FALSE)+J1644*VLOOKUP(E1644,WEIGHTS!$A$2:$F$4,6,FALSE))</f>
        <v/>
      </c>
      <c r="N1644" s="2" t="str">
        <f t="shared" si="4"/>
        <v/>
      </c>
    </row>
    <row r="1645" ht="15.75" customHeight="1">
      <c r="A1645" s="3"/>
      <c r="B1645" s="2" t="str">
        <f t="shared" si="1"/>
        <v/>
      </c>
      <c r="E1645" s="2"/>
      <c r="F1645" s="2"/>
      <c r="G1645" s="2"/>
      <c r="H1645" s="2"/>
      <c r="I1645" s="2"/>
      <c r="J1645" s="2"/>
      <c r="K1645" s="2" t="str">
        <f t="shared" si="2"/>
        <v/>
      </c>
      <c r="L1645" s="2" t="str">
        <f t="shared" si="3"/>
        <v>No</v>
      </c>
      <c r="M1645" s="2" t="str">
        <f>IF(K1645="","",F1645*VLOOKUP(E1645,WEIGHTS!$A$2:$F$4,2,FALSE)+G1645*VLOOKUP(E1645,WEIGHTS!$A$2:$F$4,3,FALSE)+H1645*VLOOKUP(E1645,WEIGHTS!$A$2:$F$4,4,FALSE)+I1645*VLOOKUP(E1645,WEIGHTS!$A$2:$F$4,5,FALSE)+J1645*VLOOKUP(E1645,WEIGHTS!$A$2:$F$4,6,FALSE))</f>
        <v/>
      </c>
      <c r="N1645" s="2" t="str">
        <f t="shared" si="4"/>
        <v/>
      </c>
    </row>
    <row r="1646" ht="15.75" customHeight="1">
      <c r="A1646" s="3"/>
      <c r="B1646" s="2" t="str">
        <f t="shared" si="1"/>
        <v/>
      </c>
      <c r="E1646" s="2"/>
      <c r="F1646" s="2"/>
      <c r="G1646" s="2"/>
      <c r="H1646" s="2"/>
      <c r="I1646" s="2"/>
      <c r="J1646" s="2"/>
      <c r="K1646" s="2" t="str">
        <f t="shared" si="2"/>
        <v/>
      </c>
      <c r="L1646" s="2" t="str">
        <f t="shared" si="3"/>
        <v>No</v>
      </c>
      <c r="M1646" s="2" t="str">
        <f>IF(K1646="","",F1646*VLOOKUP(E1646,WEIGHTS!$A$2:$F$4,2,FALSE)+G1646*VLOOKUP(E1646,WEIGHTS!$A$2:$F$4,3,FALSE)+H1646*VLOOKUP(E1646,WEIGHTS!$A$2:$F$4,4,FALSE)+I1646*VLOOKUP(E1646,WEIGHTS!$A$2:$F$4,5,FALSE)+J1646*VLOOKUP(E1646,WEIGHTS!$A$2:$F$4,6,FALSE))</f>
        <v/>
      </c>
      <c r="N1646" s="2" t="str">
        <f t="shared" si="4"/>
        <v/>
      </c>
    </row>
    <row r="1647" ht="15.75" customHeight="1">
      <c r="A1647" s="3"/>
      <c r="B1647" s="2" t="str">
        <f t="shared" si="1"/>
        <v/>
      </c>
      <c r="E1647" s="2"/>
      <c r="F1647" s="2"/>
      <c r="G1647" s="2"/>
      <c r="H1647" s="2"/>
      <c r="I1647" s="2"/>
      <c r="J1647" s="2"/>
      <c r="K1647" s="2" t="str">
        <f t="shared" si="2"/>
        <v/>
      </c>
      <c r="L1647" s="2" t="str">
        <f t="shared" si="3"/>
        <v>No</v>
      </c>
      <c r="M1647" s="2" t="str">
        <f>IF(K1647="","",F1647*VLOOKUP(E1647,WEIGHTS!$A$2:$F$4,2,FALSE)+G1647*VLOOKUP(E1647,WEIGHTS!$A$2:$F$4,3,FALSE)+H1647*VLOOKUP(E1647,WEIGHTS!$A$2:$F$4,4,FALSE)+I1647*VLOOKUP(E1647,WEIGHTS!$A$2:$F$4,5,FALSE)+J1647*VLOOKUP(E1647,WEIGHTS!$A$2:$F$4,6,FALSE))</f>
        <v/>
      </c>
      <c r="N1647" s="2" t="str">
        <f t="shared" si="4"/>
        <v/>
      </c>
    </row>
    <row r="1648" ht="15.75" customHeight="1">
      <c r="A1648" s="3"/>
      <c r="B1648" s="2" t="str">
        <f t="shared" si="1"/>
        <v/>
      </c>
      <c r="E1648" s="2"/>
      <c r="F1648" s="2"/>
      <c r="G1648" s="2"/>
      <c r="H1648" s="2"/>
      <c r="I1648" s="2"/>
      <c r="J1648" s="2"/>
      <c r="K1648" s="2" t="str">
        <f t="shared" si="2"/>
        <v/>
      </c>
      <c r="L1648" s="2" t="str">
        <f t="shared" si="3"/>
        <v>No</v>
      </c>
      <c r="M1648" s="2" t="str">
        <f>IF(K1648="","",F1648*VLOOKUP(E1648,WEIGHTS!$A$2:$F$4,2,FALSE)+G1648*VLOOKUP(E1648,WEIGHTS!$A$2:$F$4,3,FALSE)+H1648*VLOOKUP(E1648,WEIGHTS!$A$2:$F$4,4,FALSE)+I1648*VLOOKUP(E1648,WEIGHTS!$A$2:$F$4,5,FALSE)+J1648*VLOOKUP(E1648,WEIGHTS!$A$2:$F$4,6,FALSE))</f>
        <v/>
      </c>
      <c r="N1648" s="2" t="str">
        <f t="shared" si="4"/>
        <v/>
      </c>
    </row>
    <row r="1649" ht="15.75" customHeight="1">
      <c r="A1649" s="3"/>
      <c r="B1649" s="2" t="str">
        <f t="shared" si="1"/>
        <v/>
      </c>
      <c r="E1649" s="2"/>
      <c r="F1649" s="2"/>
      <c r="G1649" s="2"/>
      <c r="H1649" s="2"/>
      <c r="I1649" s="2"/>
      <c r="J1649" s="2"/>
      <c r="K1649" s="2" t="str">
        <f t="shared" si="2"/>
        <v/>
      </c>
      <c r="L1649" s="2" t="str">
        <f t="shared" si="3"/>
        <v>No</v>
      </c>
      <c r="M1649" s="2" t="str">
        <f>IF(K1649="","",F1649*VLOOKUP(E1649,WEIGHTS!$A$2:$F$4,2,FALSE)+G1649*VLOOKUP(E1649,WEIGHTS!$A$2:$F$4,3,FALSE)+H1649*VLOOKUP(E1649,WEIGHTS!$A$2:$F$4,4,FALSE)+I1649*VLOOKUP(E1649,WEIGHTS!$A$2:$F$4,5,FALSE)+J1649*VLOOKUP(E1649,WEIGHTS!$A$2:$F$4,6,FALSE))</f>
        <v/>
      </c>
      <c r="N1649" s="2" t="str">
        <f t="shared" si="4"/>
        <v/>
      </c>
    </row>
    <row r="1650" ht="15.75" customHeight="1">
      <c r="A1650" s="3"/>
      <c r="B1650" s="2" t="str">
        <f t="shared" si="1"/>
        <v/>
      </c>
      <c r="E1650" s="2"/>
      <c r="F1650" s="2"/>
      <c r="G1650" s="2"/>
      <c r="H1650" s="2"/>
      <c r="I1650" s="2"/>
      <c r="J1650" s="2"/>
      <c r="K1650" s="2" t="str">
        <f t="shared" si="2"/>
        <v/>
      </c>
      <c r="L1650" s="2" t="str">
        <f t="shared" si="3"/>
        <v>No</v>
      </c>
      <c r="M1650" s="2" t="str">
        <f>IF(K1650="","",F1650*VLOOKUP(E1650,WEIGHTS!$A$2:$F$4,2,FALSE)+G1650*VLOOKUP(E1650,WEIGHTS!$A$2:$F$4,3,FALSE)+H1650*VLOOKUP(E1650,WEIGHTS!$A$2:$F$4,4,FALSE)+I1650*VLOOKUP(E1650,WEIGHTS!$A$2:$F$4,5,FALSE)+J1650*VLOOKUP(E1650,WEIGHTS!$A$2:$F$4,6,FALSE))</f>
        <v/>
      </c>
      <c r="N1650" s="2" t="str">
        <f t="shared" si="4"/>
        <v/>
      </c>
    </row>
    <row r="1651" ht="15.75" customHeight="1">
      <c r="A1651" s="3"/>
      <c r="B1651" s="2" t="str">
        <f t="shared" si="1"/>
        <v/>
      </c>
      <c r="E1651" s="2"/>
      <c r="F1651" s="2"/>
      <c r="G1651" s="2"/>
      <c r="H1651" s="2"/>
      <c r="I1651" s="2"/>
      <c r="J1651" s="2"/>
      <c r="K1651" s="2" t="str">
        <f t="shared" si="2"/>
        <v/>
      </c>
      <c r="L1651" s="2" t="str">
        <f t="shared" si="3"/>
        <v>No</v>
      </c>
      <c r="M1651" s="2" t="str">
        <f>IF(K1651="","",F1651*VLOOKUP(E1651,WEIGHTS!$A$2:$F$4,2,FALSE)+G1651*VLOOKUP(E1651,WEIGHTS!$A$2:$F$4,3,FALSE)+H1651*VLOOKUP(E1651,WEIGHTS!$A$2:$F$4,4,FALSE)+I1651*VLOOKUP(E1651,WEIGHTS!$A$2:$F$4,5,FALSE)+J1651*VLOOKUP(E1651,WEIGHTS!$A$2:$F$4,6,FALSE))</f>
        <v/>
      </c>
      <c r="N1651" s="2" t="str">
        <f t="shared" si="4"/>
        <v/>
      </c>
    </row>
    <row r="1652" ht="15.75" customHeight="1">
      <c r="A1652" s="3"/>
      <c r="B1652" s="2" t="str">
        <f t="shared" si="1"/>
        <v/>
      </c>
      <c r="E1652" s="2"/>
      <c r="F1652" s="2"/>
      <c r="G1652" s="2"/>
      <c r="H1652" s="2"/>
      <c r="I1652" s="2"/>
      <c r="J1652" s="2"/>
      <c r="K1652" s="2" t="str">
        <f t="shared" si="2"/>
        <v/>
      </c>
      <c r="L1652" s="2" t="str">
        <f t="shared" si="3"/>
        <v>No</v>
      </c>
      <c r="M1652" s="2" t="str">
        <f>IF(K1652="","",F1652*VLOOKUP(E1652,WEIGHTS!$A$2:$F$4,2,FALSE)+G1652*VLOOKUP(E1652,WEIGHTS!$A$2:$F$4,3,FALSE)+H1652*VLOOKUP(E1652,WEIGHTS!$A$2:$F$4,4,FALSE)+I1652*VLOOKUP(E1652,WEIGHTS!$A$2:$F$4,5,FALSE)+J1652*VLOOKUP(E1652,WEIGHTS!$A$2:$F$4,6,FALSE))</f>
        <v/>
      </c>
      <c r="N1652" s="2" t="str">
        <f t="shared" si="4"/>
        <v/>
      </c>
    </row>
    <row r="1653" ht="15.75" customHeight="1">
      <c r="A1653" s="3"/>
      <c r="B1653" s="2" t="str">
        <f t="shared" si="1"/>
        <v/>
      </c>
      <c r="E1653" s="2"/>
      <c r="F1653" s="2"/>
      <c r="G1653" s="2"/>
      <c r="H1653" s="2"/>
      <c r="I1653" s="2"/>
      <c r="J1653" s="2"/>
      <c r="K1653" s="2" t="str">
        <f t="shared" si="2"/>
        <v/>
      </c>
      <c r="L1653" s="2" t="str">
        <f t="shared" si="3"/>
        <v>No</v>
      </c>
      <c r="M1653" s="2" t="str">
        <f>IF(K1653="","",F1653*VLOOKUP(E1653,WEIGHTS!$A$2:$F$4,2,FALSE)+G1653*VLOOKUP(E1653,WEIGHTS!$A$2:$F$4,3,FALSE)+H1653*VLOOKUP(E1653,WEIGHTS!$A$2:$F$4,4,FALSE)+I1653*VLOOKUP(E1653,WEIGHTS!$A$2:$F$4,5,FALSE)+J1653*VLOOKUP(E1653,WEIGHTS!$A$2:$F$4,6,FALSE))</f>
        <v/>
      </c>
      <c r="N1653" s="2" t="str">
        <f t="shared" si="4"/>
        <v/>
      </c>
    </row>
    <row r="1654" ht="15.75" customHeight="1">
      <c r="A1654" s="3"/>
      <c r="B1654" s="2" t="str">
        <f t="shared" si="1"/>
        <v/>
      </c>
      <c r="E1654" s="2"/>
      <c r="F1654" s="2"/>
      <c r="G1654" s="2"/>
      <c r="H1654" s="2"/>
      <c r="I1654" s="2"/>
      <c r="J1654" s="2"/>
      <c r="K1654" s="2" t="str">
        <f t="shared" si="2"/>
        <v/>
      </c>
      <c r="L1654" s="2" t="str">
        <f t="shared" si="3"/>
        <v>No</v>
      </c>
      <c r="M1654" s="2" t="str">
        <f>IF(K1654="","",F1654*VLOOKUP(E1654,WEIGHTS!$A$2:$F$4,2,FALSE)+G1654*VLOOKUP(E1654,WEIGHTS!$A$2:$F$4,3,FALSE)+H1654*VLOOKUP(E1654,WEIGHTS!$A$2:$F$4,4,FALSE)+I1654*VLOOKUP(E1654,WEIGHTS!$A$2:$F$4,5,FALSE)+J1654*VLOOKUP(E1654,WEIGHTS!$A$2:$F$4,6,FALSE))</f>
        <v/>
      </c>
      <c r="N1654" s="2" t="str">
        <f t="shared" si="4"/>
        <v/>
      </c>
    </row>
    <row r="1655" ht="15.75" customHeight="1">
      <c r="A1655" s="3"/>
      <c r="B1655" s="2" t="str">
        <f t="shared" si="1"/>
        <v/>
      </c>
      <c r="E1655" s="2"/>
      <c r="F1655" s="2"/>
      <c r="G1655" s="2"/>
      <c r="H1655" s="2"/>
      <c r="I1655" s="2"/>
      <c r="J1655" s="2"/>
      <c r="K1655" s="2" t="str">
        <f t="shared" si="2"/>
        <v/>
      </c>
      <c r="L1655" s="2" t="str">
        <f t="shared" si="3"/>
        <v>No</v>
      </c>
      <c r="M1655" s="2" t="str">
        <f>IF(K1655="","",F1655*VLOOKUP(E1655,WEIGHTS!$A$2:$F$4,2,FALSE)+G1655*VLOOKUP(E1655,WEIGHTS!$A$2:$F$4,3,FALSE)+H1655*VLOOKUP(E1655,WEIGHTS!$A$2:$F$4,4,FALSE)+I1655*VLOOKUP(E1655,WEIGHTS!$A$2:$F$4,5,FALSE)+J1655*VLOOKUP(E1655,WEIGHTS!$A$2:$F$4,6,FALSE))</f>
        <v/>
      </c>
      <c r="N1655" s="2" t="str">
        <f t="shared" si="4"/>
        <v/>
      </c>
    </row>
    <row r="1656" ht="15.75" customHeight="1">
      <c r="A1656" s="3"/>
      <c r="B1656" s="2" t="str">
        <f t="shared" si="1"/>
        <v/>
      </c>
      <c r="E1656" s="2"/>
      <c r="F1656" s="2"/>
      <c r="G1656" s="2"/>
      <c r="H1656" s="2"/>
      <c r="I1656" s="2"/>
      <c r="J1656" s="2"/>
      <c r="K1656" s="2" t="str">
        <f t="shared" si="2"/>
        <v/>
      </c>
      <c r="L1656" s="2" t="str">
        <f t="shared" si="3"/>
        <v>No</v>
      </c>
      <c r="M1656" s="2" t="str">
        <f>IF(K1656="","",F1656*VLOOKUP(E1656,WEIGHTS!$A$2:$F$4,2,FALSE)+G1656*VLOOKUP(E1656,WEIGHTS!$A$2:$F$4,3,FALSE)+H1656*VLOOKUP(E1656,WEIGHTS!$A$2:$F$4,4,FALSE)+I1656*VLOOKUP(E1656,WEIGHTS!$A$2:$F$4,5,FALSE)+J1656*VLOOKUP(E1656,WEIGHTS!$A$2:$F$4,6,FALSE))</f>
        <v/>
      </c>
      <c r="N1656" s="2" t="str">
        <f t="shared" si="4"/>
        <v/>
      </c>
    </row>
    <row r="1657" ht="15.75" customHeight="1">
      <c r="A1657" s="3"/>
      <c r="B1657" s="2" t="str">
        <f t="shared" si="1"/>
        <v/>
      </c>
      <c r="E1657" s="2"/>
      <c r="F1657" s="2"/>
      <c r="G1657" s="2"/>
      <c r="H1657" s="2"/>
      <c r="I1657" s="2"/>
      <c r="J1657" s="2"/>
      <c r="K1657" s="2" t="str">
        <f t="shared" si="2"/>
        <v/>
      </c>
      <c r="L1657" s="2" t="str">
        <f t="shared" si="3"/>
        <v>No</v>
      </c>
      <c r="M1657" s="2" t="str">
        <f>IF(K1657="","",F1657*VLOOKUP(E1657,WEIGHTS!$A$2:$F$4,2,FALSE)+G1657*VLOOKUP(E1657,WEIGHTS!$A$2:$F$4,3,FALSE)+H1657*VLOOKUP(E1657,WEIGHTS!$A$2:$F$4,4,FALSE)+I1657*VLOOKUP(E1657,WEIGHTS!$A$2:$F$4,5,FALSE)+J1657*VLOOKUP(E1657,WEIGHTS!$A$2:$F$4,6,FALSE))</f>
        <v/>
      </c>
      <c r="N1657" s="2" t="str">
        <f t="shared" si="4"/>
        <v/>
      </c>
    </row>
    <row r="1658" ht="15.75" customHeight="1">
      <c r="A1658" s="3"/>
      <c r="B1658" s="2" t="str">
        <f t="shared" si="1"/>
        <v/>
      </c>
      <c r="E1658" s="2"/>
      <c r="F1658" s="2"/>
      <c r="G1658" s="2"/>
      <c r="H1658" s="2"/>
      <c r="I1658" s="2"/>
      <c r="J1658" s="2"/>
      <c r="K1658" s="2" t="str">
        <f t="shared" si="2"/>
        <v/>
      </c>
      <c r="L1658" s="2" t="str">
        <f t="shared" si="3"/>
        <v>No</v>
      </c>
      <c r="M1658" s="2" t="str">
        <f>IF(K1658="","",F1658*VLOOKUP(E1658,WEIGHTS!$A$2:$F$4,2,FALSE)+G1658*VLOOKUP(E1658,WEIGHTS!$A$2:$F$4,3,FALSE)+H1658*VLOOKUP(E1658,WEIGHTS!$A$2:$F$4,4,FALSE)+I1658*VLOOKUP(E1658,WEIGHTS!$A$2:$F$4,5,FALSE)+J1658*VLOOKUP(E1658,WEIGHTS!$A$2:$F$4,6,FALSE))</f>
        <v/>
      </c>
      <c r="N1658" s="2" t="str">
        <f t="shared" si="4"/>
        <v/>
      </c>
    </row>
    <row r="1659" ht="15.75" customHeight="1">
      <c r="A1659" s="3"/>
      <c r="B1659" s="2" t="str">
        <f t="shared" si="1"/>
        <v/>
      </c>
      <c r="E1659" s="2"/>
      <c r="F1659" s="2"/>
      <c r="G1659" s="2"/>
      <c r="H1659" s="2"/>
      <c r="I1659" s="2"/>
      <c r="J1659" s="2"/>
      <c r="K1659" s="2" t="str">
        <f t="shared" si="2"/>
        <v/>
      </c>
      <c r="L1659" s="2" t="str">
        <f t="shared" si="3"/>
        <v>No</v>
      </c>
      <c r="M1659" s="2" t="str">
        <f>IF(K1659="","",F1659*VLOOKUP(E1659,WEIGHTS!$A$2:$F$4,2,FALSE)+G1659*VLOOKUP(E1659,WEIGHTS!$A$2:$F$4,3,FALSE)+H1659*VLOOKUP(E1659,WEIGHTS!$A$2:$F$4,4,FALSE)+I1659*VLOOKUP(E1659,WEIGHTS!$A$2:$F$4,5,FALSE)+J1659*VLOOKUP(E1659,WEIGHTS!$A$2:$F$4,6,FALSE))</f>
        <v/>
      </c>
      <c r="N1659" s="2" t="str">
        <f t="shared" si="4"/>
        <v/>
      </c>
    </row>
    <row r="1660" ht="15.75" customHeight="1">
      <c r="A1660" s="3"/>
      <c r="B1660" s="2" t="str">
        <f t="shared" si="1"/>
        <v/>
      </c>
      <c r="E1660" s="2"/>
      <c r="F1660" s="2"/>
      <c r="G1660" s="2"/>
      <c r="H1660" s="2"/>
      <c r="I1660" s="2"/>
      <c r="J1660" s="2"/>
      <c r="K1660" s="2" t="str">
        <f t="shared" si="2"/>
        <v/>
      </c>
      <c r="L1660" s="2" t="str">
        <f t="shared" si="3"/>
        <v>No</v>
      </c>
      <c r="M1660" s="2" t="str">
        <f>IF(K1660="","",F1660*VLOOKUP(E1660,WEIGHTS!$A$2:$F$4,2,FALSE)+G1660*VLOOKUP(E1660,WEIGHTS!$A$2:$F$4,3,FALSE)+H1660*VLOOKUP(E1660,WEIGHTS!$A$2:$F$4,4,FALSE)+I1660*VLOOKUP(E1660,WEIGHTS!$A$2:$F$4,5,FALSE)+J1660*VLOOKUP(E1660,WEIGHTS!$A$2:$F$4,6,FALSE))</f>
        <v/>
      </c>
      <c r="N1660" s="2" t="str">
        <f t="shared" si="4"/>
        <v/>
      </c>
    </row>
    <row r="1661" ht="15.75" customHeight="1">
      <c r="A1661" s="3"/>
      <c r="B1661" s="2" t="str">
        <f t="shared" si="1"/>
        <v/>
      </c>
      <c r="E1661" s="2"/>
      <c r="F1661" s="2"/>
      <c r="G1661" s="2"/>
      <c r="H1661" s="2"/>
      <c r="I1661" s="2"/>
      <c r="J1661" s="2"/>
      <c r="K1661" s="2" t="str">
        <f t="shared" si="2"/>
        <v/>
      </c>
      <c r="L1661" s="2" t="str">
        <f t="shared" si="3"/>
        <v>No</v>
      </c>
      <c r="M1661" s="2" t="str">
        <f>IF(K1661="","",F1661*VLOOKUP(E1661,WEIGHTS!$A$2:$F$4,2,FALSE)+G1661*VLOOKUP(E1661,WEIGHTS!$A$2:$F$4,3,FALSE)+H1661*VLOOKUP(E1661,WEIGHTS!$A$2:$F$4,4,FALSE)+I1661*VLOOKUP(E1661,WEIGHTS!$A$2:$F$4,5,FALSE)+J1661*VLOOKUP(E1661,WEIGHTS!$A$2:$F$4,6,FALSE))</f>
        <v/>
      </c>
      <c r="N1661" s="2" t="str">
        <f t="shared" si="4"/>
        <v/>
      </c>
    </row>
    <row r="1662" ht="15.75" customHeight="1">
      <c r="A1662" s="3"/>
      <c r="B1662" s="2" t="str">
        <f t="shared" si="1"/>
        <v/>
      </c>
      <c r="E1662" s="2"/>
      <c r="F1662" s="2"/>
      <c r="G1662" s="2"/>
      <c r="H1662" s="2"/>
      <c r="I1662" s="2"/>
      <c r="J1662" s="2"/>
      <c r="K1662" s="2" t="str">
        <f t="shared" si="2"/>
        <v/>
      </c>
      <c r="L1662" s="2" t="str">
        <f t="shared" si="3"/>
        <v>No</v>
      </c>
      <c r="M1662" s="2" t="str">
        <f>IF(K1662="","",F1662*VLOOKUP(E1662,WEIGHTS!$A$2:$F$4,2,FALSE)+G1662*VLOOKUP(E1662,WEIGHTS!$A$2:$F$4,3,FALSE)+H1662*VLOOKUP(E1662,WEIGHTS!$A$2:$F$4,4,FALSE)+I1662*VLOOKUP(E1662,WEIGHTS!$A$2:$F$4,5,FALSE)+J1662*VLOOKUP(E1662,WEIGHTS!$A$2:$F$4,6,FALSE))</f>
        <v/>
      </c>
      <c r="N1662" s="2" t="str">
        <f t="shared" si="4"/>
        <v/>
      </c>
    </row>
    <row r="1663" ht="15.75" customHeight="1">
      <c r="A1663" s="3"/>
      <c r="B1663" s="2" t="str">
        <f t="shared" si="1"/>
        <v/>
      </c>
      <c r="E1663" s="2"/>
      <c r="F1663" s="2"/>
      <c r="G1663" s="2"/>
      <c r="H1663" s="2"/>
      <c r="I1663" s="2"/>
      <c r="J1663" s="2"/>
      <c r="K1663" s="2" t="str">
        <f t="shared" si="2"/>
        <v/>
      </c>
      <c r="L1663" s="2" t="str">
        <f t="shared" si="3"/>
        <v>No</v>
      </c>
      <c r="M1663" s="2" t="str">
        <f>IF(K1663="","",F1663*VLOOKUP(E1663,WEIGHTS!$A$2:$F$4,2,FALSE)+G1663*VLOOKUP(E1663,WEIGHTS!$A$2:$F$4,3,FALSE)+H1663*VLOOKUP(E1663,WEIGHTS!$A$2:$F$4,4,FALSE)+I1663*VLOOKUP(E1663,WEIGHTS!$A$2:$F$4,5,FALSE)+J1663*VLOOKUP(E1663,WEIGHTS!$A$2:$F$4,6,FALSE))</f>
        <v/>
      </c>
      <c r="N1663" s="2" t="str">
        <f t="shared" si="4"/>
        <v/>
      </c>
    </row>
    <row r="1664" ht="15.75" customHeight="1">
      <c r="A1664" s="3"/>
      <c r="B1664" s="2" t="str">
        <f t="shared" si="1"/>
        <v/>
      </c>
      <c r="E1664" s="2"/>
      <c r="F1664" s="2"/>
      <c r="G1664" s="2"/>
      <c r="H1664" s="2"/>
      <c r="I1664" s="2"/>
      <c r="J1664" s="2"/>
      <c r="K1664" s="2" t="str">
        <f t="shared" si="2"/>
        <v/>
      </c>
      <c r="L1664" s="2" t="str">
        <f t="shared" si="3"/>
        <v>No</v>
      </c>
      <c r="M1664" s="2" t="str">
        <f>IF(K1664="","",F1664*VLOOKUP(E1664,WEIGHTS!$A$2:$F$4,2,FALSE)+G1664*VLOOKUP(E1664,WEIGHTS!$A$2:$F$4,3,FALSE)+H1664*VLOOKUP(E1664,WEIGHTS!$A$2:$F$4,4,FALSE)+I1664*VLOOKUP(E1664,WEIGHTS!$A$2:$F$4,5,FALSE)+J1664*VLOOKUP(E1664,WEIGHTS!$A$2:$F$4,6,FALSE))</f>
        <v/>
      </c>
      <c r="N1664" s="2" t="str">
        <f t="shared" si="4"/>
        <v/>
      </c>
    </row>
    <row r="1665" ht="15.75" customHeight="1">
      <c r="A1665" s="3"/>
      <c r="B1665" s="2" t="str">
        <f t="shared" si="1"/>
        <v/>
      </c>
      <c r="E1665" s="2"/>
      <c r="F1665" s="2"/>
      <c r="G1665" s="2"/>
      <c r="H1665" s="2"/>
      <c r="I1665" s="2"/>
      <c r="J1665" s="2"/>
      <c r="K1665" s="2" t="str">
        <f t="shared" si="2"/>
        <v/>
      </c>
      <c r="L1665" s="2" t="str">
        <f t="shared" si="3"/>
        <v>No</v>
      </c>
      <c r="M1665" s="2" t="str">
        <f>IF(K1665="","",F1665*VLOOKUP(E1665,WEIGHTS!$A$2:$F$4,2,FALSE)+G1665*VLOOKUP(E1665,WEIGHTS!$A$2:$F$4,3,FALSE)+H1665*VLOOKUP(E1665,WEIGHTS!$A$2:$F$4,4,FALSE)+I1665*VLOOKUP(E1665,WEIGHTS!$A$2:$F$4,5,FALSE)+J1665*VLOOKUP(E1665,WEIGHTS!$A$2:$F$4,6,FALSE))</f>
        <v/>
      </c>
      <c r="N1665" s="2" t="str">
        <f t="shared" si="4"/>
        <v/>
      </c>
    </row>
    <row r="1666" ht="15.75" customHeight="1">
      <c r="A1666" s="3"/>
      <c r="B1666" s="2" t="str">
        <f t="shared" si="1"/>
        <v/>
      </c>
      <c r="E1666" s="2"/>
      <c r="F1666" s="2"/>
      <c r="G1666" s="2"/>
      <c r="H1666" s="2"/>
      <c r="I1666" s="2"/>
      <c r="J1666" s="2"/>
      <c r="K1666" s="2" t="str">
        <f t="shared" si="2"/>
        <v/>
      </c>
      <c r="L1666" s="2" t="str">
        <f t="shared" si="3"/>
        <v>No</v>
      </c>
      <c r="M1666" s="2" t="str">
        <f>IF(K1666="","",F1666*VLOOKUP(E1666,WEIGHTS!$A$2:$F$4,2,FALSE)+G1666*VLOOKUP(E1666,WEIGHTS!$A$2:$F$4,3,FALSE)+H1666*VLOOKUP(E1666,WEIGHTS!$A$2:$F$4,4,FALSE)+I1666*VLOOKUP(E1666,WEIGHTS!$A$2:$F$4,5,FALSE)+J1666*VLOOKUP(E1666,WEIGHTS!$A$2:$F$4,6,FALSE))</f>
        <v/>
      </c>
      <c r="N1666" s="2" t="str">
        <f t="shared" si="4"/>
        <v/>
      </c>
    </row>
    <row r="1667" ht="15.75" customHeight="1">
      <c r="A1667" s="3"/>
      <c r="B1667" s="2" t="str">
        <f t="shared" si="1"/>
        <v/>
      </c>
      <c r="E1667" s="2"/>
      <c r="F1667" s="2"/>
      <c r="G1667" s="2"/>
      <c r="H1667" s="2"/>
      <c r="I1667" s="2"/>
      <c r="J1667" s="2"/>
      <c r="K1667" s="2" t="str">
        <f t="shared" si="2"/>
        <v/>
      </c>
      <c r="L1667" s="2" t="str">
        <f t="shared" si="3"/>
        <v>No</v>
      </c>
      <c r="M1667" s="2" t="str">
        <f>IF(K1667="","",F1667*VLOOKUP(E1667,WEIGHTS!$A$2:$F$4,2,FALSE)+G1667*VLOOKUP(E1667,WEIGHTS!$A$2:$F$4,3,FALSE)+H1667*VLOOKUP(E1667,WEIGHTS!$A$2:$F$4,4,FALSE)+I1667*VLOOKUP(E1667,WEIGHTS!$A$2:$F$4,5,FALSE)+J1667*VLOOKUP(E1667,WEIGHTS!$A$2:$F$4,6,FALSE))</f>
        <v/>
      </c>
      <c r="N1667" s="2" t="str">
        <f t="shared" si="4"/>
        <v/>
      </c>
    </row>
    <row r="1668" ht="15.75" customHeight="1">
      <c r="A1668" s="3"/>
      <c r="B1668" s="2" t="str">
        <f t="shared" si="1"/>
        <v/>
      </c>
      <c r="E1668" s="2"/>
      <c r="F1668" s="2"/>
      <c r="G1668" s="2"/>
      <c r="H1668" s="2"/>
      <c r="I1668" s="2"/>
      <c r="J1668" s="2"/>
      <c r="K1668" s="2" t="str">
        <f t="shared" si="2"/>
        <v/>
      </c>
      <c r="L1668" s="2" t="str">
        <f t="shared" si="3"/>
        <v>No</v>
      </c>
      <c r="M1668" s="2" t="str">
        <f>IF(K1668="","",F1668*VLOOKUP(E1668,WEIGHTS!$A$2:$F$4,2,FALSE)+G1668*VLOOKUP(E1668,WEIGHTS!$A$2:$F$4,3,FALSE)+H1668*VLOOKUP(E1668,WEIGHTS!$A$2:$F$4,4,FALSE)+I1668*VLOOKUP(E1668,WEIGHTS!$A$2:$F$4,5,FALSE)+J1668*VLOOKUP(E1668,WEIGHTS!$A$2:$F$4,6,FALSE))</f>
        <v/>
      </c>
      <c r="N1668" s="2" t="str">
        <f t="shared" si="4"/>
        <v/>
      </c>
    </row>
    <row r="1669" ht="15.75" customHeight="1">
      <c r="A1669" s="3"/>
      <c r="B1669" s="2" t="str">
        <f t="shared" si="1"/>
        <v/>
      </c>
      <c r="E1669" s="2"/>
      <c r="F1669" s="2"/>
      <c r="G1669" s="2"/>
      <c r="H1669" s="2"/>
      <c r="I1669" s="2"/>
      <c r="J1669" s="2"/>
      <c r="K1669" s="2" t="str">
        <f t="shared" si="2"/>
        <v/>
      </c>
      <c r="L1669" s="2" t="str">
        <f t="shared" si="3"/>
        <v>No</v>
      </c>
      <c r="M1669" s="2" t="str">
        <f>IF(K1669="","",F1669*VLOOKUP(E1669,WEIGHTS!$A$2:$F$4,2,FALSE)+G1669*VLOOKUP(E1669,WEIGHTS!$A$2:$F$4,3,FALSE)+H1669*VLOOKUP(E1669,WEIGHTS!$A$2:$F$4,4,FALSE)+I1669*VLOOKUP(E1669,WEIGHTS!$A$2:$F$4,5,FALSE)+J1669*VLOOKUP(E1669,WEIGHTS!$A$2:$F$4,6,FALSE))</f>
        <v/>
      </c>
      <c r="N1669" s="2" t="str">
        <f t="shared" si="4"/>
        <v/>
      </c>
    </row>
    <row r="1670" ht="15.75" customHeight="1">
      <c r="A1670" s="3"/>
      <c r="B1670" s="2" t="str">
        <f t="shared" si="1"/>
        <v/>
      </c>
      <c r="E1670" s="2"/>
      <c r="F1670" s="2"/>
      <c r="G1670" s="2"/>
      <c r="H1670" s="2"/>
      <c r="I1670" s="2"/>
      <c r="J1670" s="2"/>
      <c r="K1670" s="2" t="str">
        <f t="shared" si="2"/>
        <v/>
      </c>
      <c r="L1670" s="2" t="str">
        <f t="shared" si="3"/>
        <v>No</v>
      </c>
      <c r="M1670" s="2" t="str">
        <f>IF(K1670="","",F1670*VLOOKUP(E1670,WEIGHTS!$A$2:$F$4,2,FALSE)+G1670*VLOOKUP(E1670,WEIGHTS!$A$2:$F$4,3,FALSE)+H1670*VLOOKUP(E1670,WEIGHTS!$A$2:$F$4,4,FALSE)+I1670*VLOOKUP(E1670,WEIGHTS!$A$2:$F$4,5,FALSE)+J1670*VLOOKUP(E1670,WEIGHTS!$A$2:$F$4,6,FALSE))</f>
        <v/>
      </c>
      <c r="N1670" s="2" t="str">
        <f t="shared" si="4"/>
        <v/>
      </c>
    </row>
    <row r="1671" ht="15.75" customHeight="1">
      <c r="A1671" s="3"/>
      <c r="B1671" s="2" t="str">
        <f t="shared" si="1"/>
        <v/>
      </c>
      <c r="E1671" s="2"/>
      <c r="F1671" s="2"/>
      <c r="G1671" s="2"/>
      <c r="H1671" s="2"/>
      <c r="I1671" s="2"/>
      <c r="J1671" s="2"/>
      <c r="K1671" s="2" t="str">
        <f t="shared" si="2"/>
        <v/>
      </c>
      <c r="L1671" s="2" t="str">
        <f t="shared" si="3"/>
        <v>No</v>
      </c>
      <c r="M1671" s="2" t="str">
        <f>IF(K1671="","",F1671*VLOOKUP(E1671,WEIGHTS!$A$2:$F$4,2,FALSE)+G1671*VLOOKUP(E1671,WEIGHTS!$A$2:$F$4,3,FALSE)+H1671*VLOOKUP(E1671,WEIGHTS!$A$2:$F$4,4,FALSE)+I1671*VLOOKUP(E1671,WEIGHTS!$A$2:$F$4,5,FALSE)+J1671*VLOOKUP(E1671,WEIGHTS!$A$2:$F$4,6,FALSE))</f>
        <v/>
      </c>
      <c r="N1671" s="2" t="str">
        <f t="shared" si="4"/>
        <v/>
      </c>
    </row>
    <row r="1672" ht="15.75" customHeight="1">
      <c r="A1672" s="3"/>
      <c r="B1672" s="2" t="str">
        <f t="shared" si="1"/>
        <v/>
      </c>
      <c r="E1672" s="2"/>
      <c r="F1672" s="2"/>
      <c r="G1672" s="2"/>
      <c r="H1672" s="2"/>
      <c r="I1672" s="2"/>
      <c r="J1672" s="2"/>
      <c r="K1672" s="2" t="str">
        <f t="shared" si="2"/>
        <v/>
      </c>
      <c r="L1672" s="2" t="str">
        <f t="shared" si="3"/>
        <v>No</v>
      </c>
      <c r="M1672" s="2" t="str">
        <f>IF(K1672="","",F1672*VLOOKUP(E1672,WEIGHTS!$A$2:$F$4,2,FALSE)+G1672*VLOOKUP(E1672,WEIGHTS!$A$2:$F$4,3,FALSE)+H1672*VLOOKUP(E1672,WEIGHTS!$A$2:$F$4,4,FALSE)+I1672*VLOOKUP(E1672,WEIGHTS!$A$2:$F$4,5,FALSE)+J1672*VLOOKUP(E1672,WEIGHTS!$A$2:$F$4,6,FALSE))</f>
        <v/>
      </c>
      <c r="N1672" s="2" t="str">
        <f t="shared" si="4"/>
        <v/>
      </c>
    </row>
    <row r="1673" ht="15.75" customHeight="1">
      <c r="A1673" s="3"/>
      <c r="B1673" s="2" t="str">
        <f t="shared" si="1"/>
        <v/>
      </c>
      <c r="E1673" s="2"/>
      <c r="F1673" s="2"/>
      <c r="G1673" s="2"/>
      <c r="H1673" s="2"/>
      <c r="I1673" s="2"/>
      <c r="J1673" s="2"/>
      <c r="K1673" s="2" t="str">
        <f t="shared" si="2"/>
        <v/>
      </c>
      <c r="L1673" s="2" t="str">
        <f t="shared" si="3"/>
        <v>No</v>
      </c>
      <c r="M1673" s="2" t="str">
        <f>IF(K1673="","",F1673*VLOOKUP(E1673,WEIGHTS!$A$2:$F$4,2,FALSE)+G1673*VLOOKUP(E1673,WEIGHTS!$A$2:$F$4,3,FALSE)+H1673*VLOOKUP(E1673,WEIGHTS!$A$2:$F$4,4,FALSE)+I1673*VLOOKUP(E1673,WEIGHTS!$A$2:$F$4,5,FALSE)+J1673*VLOOKUP(E1673,WEIGHTS!$A$2:$F$4,6,FALSE))</f>
        <v/>
      </c>
      <c r="N1673" s="2" t="str">
        <f t="shared" si="4"/>
        <v/>
      </c>
    </row>
    <row r="1674" ht="15.75" customHeight="1">
      <c r="A1674" s="3"/>
      <c r="B1674" s="2" t="str">
        <f t="shared" si="1"/>
        <v/>
      </c>
      <c r="E1674" s="2"/>
      <c r="F1674" s="2"/>
      <c r="G1674" s="2"/>
      <c r="H1674" s="2"/>
      <c r="I1674" s="2"/>
      <c r="J1674" s="2"/>
      <c r="K1674" s="2" t="str">
        <f t="shared" si="2"/>
        <v/>
      </c>
      <c r="L1674" s="2" t="str">
        <f t="shared" si="3"/>
        <v>No</v>
      </c>
      <c r="M1674" s="2" t="str">
        <f>IF(K1674="","",F1674*VLOOKUP(E1674,WEIGHTS!$A$2:$F$4,2,FALSE)+G1674*VLOOKUP(E1674,WEIGHTS!$A$2:$F$4,3,FALSE)+H1674*VLOOKUP(E1674,WEIGHTS!$A$2:$F$4,4,FALSE)+I1674*VLOOKUP(E1674,WEIGHTS!$A$2:$F$4,5,FALSE)+J1674*VLOOKUP(E1674,WEIGHTS!$A$2:$F$4,6,FALSE))</f>
        <v/>
      </c>
      <c r="N1674" s="2" t="str">
        <f t="shared" si="4"/>
        <v/>
      </c>
    </row>
    <row r="1675" ht="15.75" customHeight="1">
      <c r="A1675" s="3"/>
      <c r="B1675" s="2" t="str">
        <f t="shared" si="1"/>
        <v/>
      </c>
      <c r="E1675" s="2"/>
      <c r="F1675" s="2"/>
      <c r="G1675" s="2"/>
      <c r="H1675" s="2"/>
      <c r="I1675" s="2"/>
      <c r="J1675" s="2"/>
      <c r="K1675" s="2" t="str">
        <f t="shared" si="2"/>
        <v/>
      </c>
      <c r="L1675" s="2" t="str">
        <f t="shared" si="3"/>
        <v>No</v>
      </c>
      <c r="M1675" s="2" t="str">
        <f>IF(K1675="","",F1675*VLOOKUP(E1675,WEIGHTS!$A$2:$F$4,2,FALSE)+G1675*VLOOKUP(E1675,WEIGHTS!$A$2:$F$4,3,FALSE)+H1675*VLOOKUP(E1675,WEIGHTS!$A$2:$F$4,4,FALSE)+I1675*VLOOKUP(E1675,WEIGHTS!$A$2:$F$4,5,FALSE)+J1675*VLOOKUP(E1675,WEIGHTS!$A$2:$F$4,6,FALSE))</f>
        <v/>
      </c>
      <c r="N1675" s="2" t="str">
        <f t="shared" si="4"/>
        <v/>
      </c>
    </row>
    <row r="1676" ht="15.75" customHeight="1">
      <c r="A1676" s="3"/>
      <c r="B1676" s="2" t="str">
        <f t="shared" si="1"/>
        <v/>
      </c>
      <c r="E1676" s="2"/>
      <c r="F1676" s="2"/>
      <c r="G1676" s="2"/>
      <c r="H1676" s="2"/>
      <c r="I1676" s="2"/>
      <c r="J1676" s="2"/>
      <c r="K1676" s="2" t="str">
        <f t="shared" si="2"/>
        <v/>
      </c>
      <c r="L1676" s="2" t="str">
        <f t="shared" si="3"/>
        <v>No</v>
      </c>
      <c r="M1676" s="2" t="str">
        <f>IF(K1676="","",F1676*VLOOKUP(E1676,WEIGHTS!$A$2:$F$4,2,FALSE)+G1676*VLOOKUP(E1676,WEIGHTS!$A$2:$F$4,3,FALSE)+H1676*VLOOKUP(E1676,WEIGHTS!$A$2:$F$4,4,FALSE)+I1676*VLOOKUP(E1676,WEIGHTS!$A$2:$F$4,5,FALSE)+J1676*VLOOKUP(E1676,WEIGHTS!$A$2:$F$4,6,FALSE))</f>
        <v/>
      </c>
      <c r="N1676" s="2" t="str">
        <f t="shared" si="4"/>
        <v/>
      </c>
    </row>
    <row r="1677" ht="15.75" customHeight="1">
      <c r="A1677" s="3"/>
      <c r="B1677" s="2" t="str">
        <f t="shared" si="1"/>
        <v/>
      </c>
      <c r="E1677" s="2"/>
      <c r="F1677" s="2"/>
      <c r="G1677" s="2"/>
      <c r="H1677" s="2"/>
      <c r="I1677" s="2"/>
      <c r="J1677" s="2"/>
      <c r="K1677" s="2" t="str">
        <f t="shared" si="2"/>
        <v/>
      </c>
      <c r="L1677" s="2" t="str">
        <f t="shared" si="3"/>
        <v>No</v>
      </c>
      <c r="M1677" s="2" t="str">
        <f>IF(K1677="","",F1677*VLOOKUP(E1677,WEIGHTS!$A$2:$F$4,2,FALSE)+G1677*VLOOKUP(E1677,WEIGHTS!$A$2:$F$4,3,FALSE)+H1677*VLOOKUP(E1677,WEIGHTS!$A$2:$F$4,4,FALSE)+I1677*VLOOKUP(E1677,WEIGHTS!$A$2:$F$4,5,FALSE)+J1677*VLOOKUP(E1677,WEIGHTS!$A$2:$F$4,6,FALSE))</f>
        <v/>
      </c>
      <c r="N1677" s="2" t="str">
        <f t="shared" si="4"/>
        <v/>
      </c>
    </row>
    <row r="1678" ht="15.75" customHeight="1">
      <c r="A1678" s="3"/>
      <c r="B1678" s="2" t="str">
        <f t="shared" si="1"/>
        <v/>
      </c>
      <c r="E1678" s="2"/>
      <c r="F1678" s="2"/>
      <c r="G1678" s="2"/>
      <c r="H1678" s="2"/>
      <c r="I1678" s="2"/>
      <c r="J1678" s="2"/>
      <c r="K1678" s="2" t="str">
        <f t="shared" si="2"/>
        <v/>
      </c>
      <c r="L1678" s="2" t="str">
        <f t="shared" si="3"/>
        <v>No</v>
      </c>
      <c r="M1678" s="2" t="str">
        <f>IF(K1678="","",F1678*VLOOKUP(E1678,WEIGHTS!$A$2:$F$4,2,FALSE)+G1678*VLOOKUP(E1678,WEIGHTS!$A$2:$F$4,3,FALSE)+H1678*VLOOKUP(E1678,WEIGHTS!$A$2:$F$4,4,FALSE)+I1678*VLOOKUP(E1678,WEIGHTS!$A$2:$F$4,5,FALSE)+J1678*VLOOKUP(E1678,WEIGHTS!$A$2:$F$4,6,FALSE))</f>
        <v/>
      </c>
      <c r="N1678" s="2" t="str">
        <f t="shared" si="4"/>
        <v/>
      </c>
    </row>
    <row r="1679" ht="15.75" customHeight="1">
      <c r="A1679" s="3"/>
      <c r="B1679" s="2" t="str">
        <f t="shared" si="1"/>
        <v/>
      </c>
      <c r="E1679" s="2"/>
      <c r="F1679" s="2"/>
      <c r="G1679" s="2"/>
      <c r="H1679" s="2"/>
      <c r="I1679" s="2"/>
      <c r="J1679" s="2"/>
      <c r="K1679" s="2" t="str">
        <f t="shared" si="2"/>
        <v/>
      </c>
      <c r="L1679" s="2" t="str">
        <f t="shared" si="3"/>
        <v>No</v>
      </c>
      <c r="M1679" s="2" t="str">
        <f>IF(K1679="","",F1679*VLOOKUP(E1679,WEIGHTS!$A$2:$F$4,2,FALSE)+G1679*VLOOKUP(E1679,WEIGHTS!$A$2:$F$4,3,FALSE)+H1679*VLOOKUP(E1679,WEIGHTS!$A$2:$F$4,4,FALSE)+I1679*VLOOKUP(E1679,WEIGHTS!$A$2:$F$4,5,FALSE)+J1679*VLOOKUP(E1679,WEIGHTS!$A$2:$F$4,6,FALSE))</f>
        <v/>
      </c>
      <c r="N1679" s="2" t="str">
        <f t="shared" si="4"/>
        <v/>
      </c>
    </row>
    <row r="1680" ht="15.75" customHeight="1">
      <c r="A1680" s="3"/>
      <c r="B1680" s="2" t="str">
        <f t="shared" si="1"/>
        <v/>
      </c>
      <c r="E1680" s="2"/>
      <c r="F1680" s="2"/>
      <c r="G1680" s="2"/>
      <c r="H1680" s="2"/>
      <c r="I1680" s="2"/>
      <c r="J1680" s="2"/>
      <c r="K1680" s="2" t="str">
        <f t="shared" si="2"/>
        <v/>
      </c>
      <c r="L1680" s="2" t="str">
        <f t="shared" si="3"/>
        <v>No</v>
      </c>
      <c r="M1680" s="2" t="str">
        <f>IF(K1680="","",F1680*VLOOKUP(E1680,WEIGHTS!$A$2:$F$4,2,FALSE)+G1680*VLOOKUP(E1680,WEIGHTS!$A$2:$F$4,3,FALSE)+H1680*VLOOKUP(E1680,WEIGHTS!$A$2:$F$4,4,FALSE)+I1680*VLOOKUP(E1680,WEIGHTS!$A$2:$F$4,5,FALSE)+J1680*VLOOKUP(E1680,WEIGHTS!$A$2:$F$4,6,FALSE))</f>
        <v/>
      </c>
      <c r="N1680" s="2" t="str">
        <f t="shared" si="4"/>
        <v/>
      </c>
    </row>
    <row r="1681" ht="15.75" customHeight="1">
      <c r="A1681" s="3"/>
      <c r="B1681" s="2" t="str">
        <f t="shared" si="1"/>
        <v/>
      </c>
      <c r="E1681" s="2"/>
      <c r="F1681" s="2"/>
      <c r="G1681" s="2"/>
      <c r="H1681" s="2"/>
      <c r="I1681" s="2"/>
      <c r="J1681" s="2"/>
      <c r="K1681" s="2" t="str">
        <f t="shared" si="2"/>
        <v/>
      </c>
      <c r="L1681" s="2" t="str">
        <f t="shared" si="3"/>
        <v>No</v>
      </c>
      <c r="M1681" s="2" t="str">
        <f>IF(K1681="","",F1681*VLOOKUP(E1681,WEIGHTS!$A$2:$F$4,2,FALSE)+G1681*VLOOKUP(E1681,WEIGHTS!$A$2:$F$4,3,FALSE)+H1681*VLOOKUP(E1681,WEIGHTS!$A$2:$F$4,4,FALSE)+I1681*VLOOKUP(E1681,WEIGHTS!$A$2:$F$4,5,FALSE)+J1681*VLOOKUP(E1681,WEIGHTS!$A$2:$F$4,6,FALSE))</f>
        <v/>
      </c>
      <c r="N1681" s="2" t="str">
        <f t="shared" si="4"/>
        <v/>
      </c>
    </row>
    <row r="1682" ht="15.75" customHeight="1">
      <c r="A1682" s="3"/>
      <c r="B1682" s="2" t="str">
        <f t="shared" si="1"/>
        <v/>
      </c>
      <c r="E1682" s="2"/>
      <c r="F1682" s="2"/>
      <c r="G1682" s="2"/>
      <c r="H1682" s="2"/>
      <c r="I1682" s="2"/>
      <c r="J1682" s="2"/>
      <c r="K1682" s="2" t="str">
        <f t="shared" si="2"/>
        <v/>
      </c>
      <c r="L1682" s="2" t="str">
        <f t="shared" si="3"/>
        <v>No</v>
      </c>
      <c r="M1682" s="2" t="str">
        <f>IF(K1682="","",F1682*VLOOKUP(E1682,WEIGHTS!$A$2:$F$4,2,FALSE)+G1682*VLOOKUP(E1682,WEIGHTS!$A$2:$F$4,3,FALSE)+H1682*VLOOKUP(E1682,WEIGHTS!$A$2:$F$4,4,FALSE)+I1682*VLOOKUP(E1682,WEIGHTS!$A$2:$F$4,5,FALSE)+J1682*VLOOKUP(E1682,WEIGHTS!$A$2:$F$4,6,FALSE))</f>
        <v/>
      </c>
      <c r="N1682" s="2" t="str">
        <f t="shared" si="4"/>
        <v/>
      </c>
    </row>
    <row r="1683" ht="15.75" customHeight="1">
      <c r="A1683" s="3"/>
      <c r="B1683" s="2" t="str">
        <f t="shared" si="1"/>
        <v/>
      </c>
      <c r="E1683" s="2"/>
      <c r="F1683" s="2"/>
      <c r="G1683" s="2"/>
      <c r="H1683" s="2"/>
      <c r="I1683" s="2"/>
      <c r="J1683" s="2"/>
      <c r="K1683" s="2" t="str">
        <f t="shared" si="2"/>
        <v/>
      </c>
      <c r="L1683" s="2" t="str">
        <f t="shared" si="3"/>
        <v>No</v>
      </c>
      <c r="M1683" s="2" t="str">
        <f>IF(K1683="","",F1683*VLOOKUP(E1683,WEIGHTS!$A$2:$F$4,2,FALSE)+G1683*VLOOKUP(E1683,WEIGHTS!$A$2:$F$4,3,FALSE)+H1683*VLOOKUP(E1683,WEIGHTS!$A$2:$F$4,4,FALSE)+I1683*VLOOKUP(E1683,WEIGHTS!$A$2:$F$4,5,FALSE)+J1683*VLOOKUP(E1683,WEIGHTS!$A$2:$F$4,6,FALSE))</f>
        <v/>
      </c>
      <c r="N1683" s="2" t="str">
        <f t="shared" si="4"/>
        <v/>
      </c>
    </row>
    <row r="1684" ht="15.75" customHeight="1">
      <c r="A1684" s="3"/>
      <c r="B1684" s="2" t="str">
        <f t="shared" si="1"/>
        <v/>
      </c>
      <c r="E1684" s="2"/>
      <c r="F1684" s="2"/>
      <c r="G1684" s="2"/>
      <c r="H1684" s="2"/>
      <c r="I1684" s="2"/>
      <c r="J1684" s="2"/>
      <c r="K1684" s="2" t="str">
        <f t="shared" si="2"/>
        <v/>
      </c>
      <c r="L1684" s="2" t="str">
        <f t="shared" si="3"/>
        <v>No</v>
      </c>
      <c r="M1684" s="2" t="str">
        <f>IF(K1684="","",F1684*VLOOKUP(E1684,WEIGHTS!$A$2:$F$4,2,FALSE)+G1684*VLOOKUP(E1684,WEIGHTS!$A$2:$F$4,3,FALSE)+H1684*VLOOKUP(E1684,WEIGHTS!$A$2:$F$4,4,FALSE)+I1684*VLOOKUP(E1684,WEIGHTS!$A$2:$F$4,5,FALSE)+J1684*VLOOKUP(E1684,WEIGHTS!$A$2:$F$4,6,FALSE))</f>
        <v/>
      </c>
      <c r="N1684" s="2" t="str">
        <f t="shared" si="4"/>
        <v/>
      </c>
    </row>
    <row r="1685" ht="15.75" customHeight="1">
      <c r="A1685" s="3"/>
      <c r="B1685" s="2" t="str">
        <f t="shared" si="1"/>
        <v/>
      </c>
      <c r="E1685" s="2"/>
      <c r="F1685" s="2"/>
      <c r="G1685" s="2"/>
      <c r="H1685" s="2"/>
      <c r="I1685" s="2"/>
      <c r="J1685" s="2"/>
      <c r="K1685" s="2" t="str">
        <f t="shared" si="2"/>
        <v/>
      </c>
      <c r="L1685" s="2" t="str">
        <f t="shared" si="3"/>
        <v>No</v>
      </c>
      <c r="M1685" s="2" t="str">
        <f>IF(K1685="","",F1685*VLOOKUP(E1685,WEIGHTS!$A$2:$F$4,2,FALSE)+G1685*VLOOKUP(E1685,WEIGHTS!$A$2:$F$4,3,FALSE)+H1685*VLOOKUP(E1685,WEIGHTS!$A$2:$F$4,4,FALSE)+I1685*VLOOKUP(E1685,WEIGHTS!$A$2:$F$4,5,FALSE)+J1685*VLOOKUP(E1685,WEIGHTS!$A$2:$F$4,6,FALSE))</f>
        <v/>
      </c>
      <c r="N1685" s="2" t="str">
        <f t="shared" si="4"/>
        <v/>
      </c>
    </row>
    <row r="1686" ht="15.75" customHeight="1">
      <c r="A1686" s="3"/>
      <c r="B1686" s="2" t="str">
        <f t="shared" si="1"/>
        <v/>
      </c>
      <c r="E1686" s="2"/>
      <c r="F1686" s="2"/>
      <c r="G1686" s="2"/>
      <c r="H1686" s="2"/>
      <c r="I1686" s="2"/>
      <c r="J1686" s="2"/>
      <c r="K1686" s="2" t="str">
        <f t="shared" si="2"/>
        <v/>
      </c>
      <c r="L1686" s="2" t="str">
        <f t="shared" si="3"/>
        <v>No</v>
      </c>
      <c r="M1686" s="2" t="str">
        <f>IF(K1686="","",F1686*VLOOKUP(E1686,WEIGHTS!$A$2:$F$4,2,FALSE)+G1686*VLOOKUP(E1686,WEIGHTS!$A$2:$F$4,3,FALSE)+H1686*VLOOKUP(E1686,WEIGHTS!$A$2:$F$4,4,FALSE)+I1686*VLOOKUP(E1686,WEIGHTS!$A$2:$F$4,5,FALSE)+J1686*VLOOKUP(E1686,WEIGHTS!$A$2:$F$4,6,FALSE))</f>
        <v/>
      </c>
      <c r="N1686" s="2" t="str">
        <f t="shared" si="4"/>
        <v/>
      </c>
    </row>
    <row r="1687" ht="15.75" customHeight="1">
      <c r="A1687" s="3"/>
      <c r="B1687" s="2" t="str">
        <f t="shared" si="1"/>
        <v/>
      </c>
      <c r="E1687" s="2"/>
      <c r="F1687" s="2"/>
      <c r="G1687" s="2"/>
      <c r="H1687" s="2"/>
      <c r="I1687" s="2"/>
      <c r="J1687" s="2"/>
      <c r="K1687" s="2" t="str">
        <f t="shared" si="2"/>
        <v/>
      </c>
      <c r="L1687" s="2" t="str">
        <f t="shared" si="3"/>
        <v>No</v>
      </c>
      <c r="M1687" s="2" t="str">
        <f>IF(K1687="","",F1687*VLOOKUP(E1687,WEIGHTS!$A$2:$F$4,2,FALSE)+G1687*VLOOKUP(E1687,WEIGHTS!$A$2:$F$4,3,FALSE)+H1687*VLOOKUP(E1687,WEIGHTS!$A$2:$F$4,4,FALSE)+I1687*VLOOKUP(E1687,WEIGHTS!$A$2:$F$4,5,FALSE)+J1687*VLOOKUP(E1687,WEIGHTS!$A$2:$F$4,6,FALSE))</f>
        <v/>
      </c>
      <c r="N1687" s="2" t="str">
        <f t="shared" si="4"/>
        <v/>
      </c>
    </row>
    <row r="1688" ht="15.75" customHeight="1">
      <c r="A1688" s="3"/>
      <c r="B1688" s="2" t="str">
        <f t="shared" si="1"/>
        <v/>
      </c>
      <c r="E1688" s="2"/>
      <c r="F1688" s="2"/>
      <c r="G1688" s="2"/>
      <c r="H1688" s="2"/>
      <c r="I1688" s="2"/>
      <c r="J1688" s="2"/>
      <c r="K1688" s="2" t="str">
        <f t="shared" si="2"/>
        <v/>
      </c>
      <c r="L1688" s="2" t="str">
        <f t="shared" si="3"/>
        <v>No</v>
      </c>
      <c r="M1688" s="2" t="str">
        <f>IF(K1688="","",F1688*VLOOKUP(E1688,WEIGHTS!$A$2:$F$4,2,FALSE)+G1688*VLOOKUP(E1688,WEIGHTS!$A$2:$F$4,3,FALSE)+H1688*VLOOKUP(E1688,WEIGHTS!$A$2:$F$4,4,FALSE)+I1688*VLOOKUP(E1688,WEIGHTS!$A$2:$F$4,5,FALSE)+J1688*VLOOKUP(E1688,WEIGHTS!$A$2:$F$4,6,FALSE))</f>
        <v/>
      </c>
      <c r="N1688" s="2" t="str">
        <f t="shared" si="4"/>
        <v/>
      </c>
    </row>
    <row r="1689" ht="15.75" customHeight="1">
      <c r="A1689" s="3"/>
      <c r="B1689" s="2" t="str">
        <f t="shared" si="1"/>
        <v/>
      </c>
      <c r="E1689" s="2"/>
      <c r="F1689" s="2"/>
      <c r="G1689" s="2"/>
      <c r="H1689" s="2"/>
      <c r="I1689" s="2"/>
      <c r="J1689" s="2"/>
      <c r="K1689" s="2" t="str">
        <f t="shared" si="2"/>
        <v/>
      </c>
      <c r="L1689" s="2" t="str">
        <f t="shared" si="3"/>
        <v>No</v>
      </c>
      <c r="M1689" s="2" t="str">
        <f>IF(K1689="","",F1689*VLOOKUP(E1689,WEIGHTS!$A$2:$F$4,2,FALSE)+G1689*VLOOKUP(E1689,WEIGHTS!$A$2:$F$4,3,FALSE)+H1689*VLOOKUP(E1689,WEIGHTS!$A$2:$F$4,4,FALSE)+I1689*VLOOKUP(E1689,WEIGHTS!$A$2:$F$4,5,FALSE)+J1689*VLOOKUP(E1689,WEIGHTS!$A$2:$F$4,6,FALSE))</f>
        <v/>
      </c>
      <c r="N1689" s="2" t="str">
        <f t="shared" si="4"/>
        <v/>
      </c>
    </row>
    <row r="1690" ht="15.75" customHeight="1">
      <c r="A1690" s="3"/>
      <c r="B1690" s="2" t="str">
        <f t="shared" si="1"/>
        <v/>
      </c>
      <c r="E1690" s="2"/>
      <c r="F1690" s="2"/>
      <c r="G1690" s="2"/>
      <c r="H1690" s="2"/>
      <c r="I1690" s="2"/>
      <c r="J1690" s="2"/>
      <c r="K1690" s="2" t="str">
        <f t="shared" si="2"/>
        <v/>
      </c>
      <c r="L1690" s="2" t="str">
        <f t="shared" si="3"/>
        <v>No</v>
      </c>
      <c r="M1690" s="2" t="str">
        <f>IF(K1690="","",F1690*VLOOKUP(E1690,WEIGHTS!$A$2:$F$4,2,FALSE)+G1690*VLOOKUP(E1690,WEIGHTS!$A$2:$F$4,3,FALSE)+H1690*VLOOKUP(E1690,WEIGHTS!$A$2:$F$4,4,FALSE)+I1690*VLOOKUP(E1690,WEIGHTS!$A$2:$F$4,5,FALSE)+J1690*VLOOKUP(E1690,WEIGHTS!$A$2:$F$4,6,FALSE))</f>
        <v/>
      </c>
      <c r="N1690" s="2" t="str">
        <f t="shared" si="4"/>
        <v/>
      </c>
    </row>
    <row r="1691" ht="15.75" customHeight="1">
      <c r="A1691" s="3"/>
      <c r="B1691" s="2" t="str">
        <f t="shared" si="1"/>
        <v/>
      </c>
      <c r="E1691" s="2"/>
      <c r="F1691" s="2"/>
      <c r="G1691" s="2"/>
      <c r="H1691" s="2"/>
      <c r="I1691" s="2"/>
      <c r="J1691" s="2"/>
      <c r="K1691" s="2" t="str">
        <f t="shared" si="2"/>
        <v/>
      </c>
      <c r="L1691" s="2" t="str">
        <f t="shared" si="3"/>
        <v>No</v>
      </c>
      <c r="M1691" s="2" t="str">
        <f>IF(K1691="","",F1691*VLOOKUP(E1691,WEIGHTS!$A$2:$F$4,2,FALSE)+G1691*VLOOKUP(E1691,WEIGHTS!$A$2:$F$4,3,FALSE)+H1691*VLOOKUP(E1691,WEIGHTS!$A$2:$F$4,4,FALSE)+I1691*VLOOKUP(E1691,WEIGHTS!$A$2:$F$4,5,FALSE)+J1691*VLOOKUP(E1691,WEIGHTS!$A$2:$F$4,6,FALSE))</f>
        <v/>
      </c>
      <c r="N1691" s="2" t="str">
        <f t="shared" si="4"/>
        <v/>
      </c>
    </row>
    <row r="1692" ht="15.75" customHeight="1">
      <c r="A1692" s="3"/>
      <c r="B1692" s="2" t="str">
        <f t="shared" si="1"/>
        <v/>
      </c>
      <c r="E1692" s="2"/>
      <c r="F1692" s="2"/>
      <c r="G1692" s="2"/>
      <c r="H1692" s="2"/>
      <c r="I1692" s="2"/>
      <c r="J1692" s="2"/>
      <c r="K1692" s="2" t="str">
        <f t="shared" si="2"/>
        <v/>
      </c>
      <c r="L1692" s="2" t="str">
        <f t="shared" si="3"/>
        <v>No</v>
      </c>
      <c r="M1692" s="2" t="str">
        <f>IF(K1692="","",F1692*VLOOKUP(E1692,WEIGHTS!$A$2:$F$4,2,FALSE)+G1692*VLOOKUP(E1692,WEIGHTS!$A$2:$F$4,3,FALSE)+H1692*VLOOKUP(E1692,WEIGHTS!$A$2:$F$4,4,FALSE)+I1692*VLOOKUP(E1692,WEIGHTS!$A$2:$F$4,5,FALSE)+J1692*VLOOKUP(E1692,WEIGHTS!$A$2:$F$4,6,FALSE))</f>
        <v/>
      </c>
      <c r="N1692" s="2" t="str">
        <f t="shared" si="4"/>
        <v/>
      </c>
    </row>
    <row r="1693" ht="15.75" customHeight="1">
      <c r="A1693" s="3"/>
      <c r="B1693" s="2" t="str">
        <f t="shared" si="1"/>
        <v/>
      </c>
      <c r="E1693" s="2"/>
      <c r="F1693" s="2"/>
      <c r="G1693" s="2"/>
      <c r="H1693" s="2"/>
      <c r="I1693" s="2"/>
      <c r="J1693" s="2"/>
      <c r="K1693" s="2" t="str">
        <f t="shared" si="2"/>
        <v/>
      </c>
      <c r="L1693" s="2" t="str">
        <f t="shared" si="3"/>
        <v>No</v>
      </c>
      <c r="M1693" s="2" t="str">
        <f>IF(K1693="","",F1693*VLOOKUP(E1693,WEIGHTS!$A$2:$F$4,2,FALSE)+G1693*VLOOKUP(E1693,WEIGHTS!$A$2:$F$4,3,FALSE)+H1693*VLOOKUP(E1693,WEIGHTS!$A$2:$F$4,4,FALSE)+I1693*VLOOKUP(E1693,WEIGHTS!$A$2:$F$4,5,FALSE)+J1693*VLOOKUP(E1693,WEIGHTS!$A$2:$F$4,6,FALSE))</f>
        <v/>
      </c>
      <c r="N1693" s="2" t="str">
        <f t="shared" si="4"/>
        <v/>
      </c>
    </row>
    <row r="1694" ht="15.75" customHeight="1">
      <c r="A1694" s="3"/>
      <c r="B1694" s="2" t="str">
        <f t="shared" si="1"/>
        <v/>
      </c>
      <c r="E1694" s="2"/>
      <c r="F1694" s="2"/>
      <c r="G1694" s="2"/>
      <c r="H1694" s="2"/>
      <c r="I1694" s="2"/>
      <c r="J1694" s="2"/>
      <c r="K1694" s="2" t="str">
        <f t="shared" si="2"/>
        <v/>
      </c>
      <c r="L1694" s="2" t="str">
        <f t="shared" si="3"/>
        <v>No</v>
      </c>
      <c r="M1694" s="2" t="str">
        <f>IF(K1694="","",F1694*VLOOKUP(E1694,WEIGHTS!$A$2:$F$4,2,FALSE)+G1694*VLOOKUP(E1694,WEIGHTS!$A$2:$F$4,3,FALSE)+H1694*VLOOKUP(E1694,WEIGHTS!$A$2:$F$4,4,FALSE)+I1694*VLOOKUP(E1694,WEIGHTS!$A$2:$F$4,5,FALSE)+J1694*VLOOKUP(E1694,WEIGHTS!$A$2:$F$4,6,FALSE))</f>
        <v/>
      </c>
      <c r="N1694" s="2" t="str">
        <f t="shared" si="4"/>
        <v/>
      </c>
    </row>
    <row r="1695" ht="15.75" customHeight="1">
      <c r="A1695" s="3"/>
      <c r="B1695" s="2" t="str">
        <f t="shared" si="1"/>
        <v/>
      </c>
      <c r="E1695" s="2"/>
      <c r="F1695" s="2"/>
      <c r="G1695" s="2"/>
      <c r="H1695" s="2"/>
      <c r="I1695" s="2"/>
      <c r="J1695" s="2"/>
      <c r="K1695" s="2" t="str">
        <f t="shared" si="2"/>
        <v/>
      </c>
      <c r="L1695" s="2" t="str">
        <f t="shared" si="3"/>
        <v>No</v>
      </c>
      <c r="M1695" s="2" t="str">
        <f>IF(K1695="","",F1695*VLOOKUP(E1695,WEIGHTS!$A$2:$F$4,2,FALSE)+G1695*VLOOKUP(E1695,WEIGHTS!$A$2:$F$4,3,FALSE)+H1695*VLOOKUP(E1695,WEIGHTS!$A$2:$F$4,4,FALSE)+I1695*VLOOKUP(E1695,WEIGHTS!$A$2:$F$4,5,FALSE)+J1695*VLOOKUP(E1695,WEIGHTS!$A$2:$F$4,6,FALSE))</f>
        <v/>
      </c>
      <c r="N1695" s="2" t="str">
        <f t="shared" si="4"/>
        <v/>
      </c>
    </row>
    <row r="1696" ht="15.75" customHeight="1">
      <c r="A1696" s="3"/>
      <c r="B1696" s="2" t="str">
        <f t="shared" si="1"/>
        <v/>
      </c>
      <c r="E1696" s="2"/>
      <c r="F1696" s="2"/>
      <c r="G1696" s="2"/>
      <c r="H1696" s="2"/>
      <c r="I1696" s="2"/>
      <c r="J1696" s="2"/>
      <c r="K1696" s="2" t="str">
        <f t="shared" si="2"/>
        <v/>
      </c>
      <c r="L1696" s="2" t="str">
        <f t="shared" si="3"/>
        <v>No</v>
      </c>
      <c r="M1696" s="2" t="str">
        <f>IF(K1696="","",F1696*VLOOKUP(E1696,WEIGHTS!$A$2:$F$4,2,FALSE)+G1696*VLOOKUP(E1696,WEIGHTS!$A$2:$F$4,3,FALSE)+H1696*VLOOKUP(E1696,WEIGHTS!$A$2:$F$4,4,FALSE)+I1696*VLOOKUP(E1696,WEIGHTS!$A$2:$F$4,5,FALSE)+J1696*VLOOKUP(E1696,WEIGHTS!$A$2:$F$4,6,FALSE))</f>
        <v/>
      </c>
      <c r="N1696" s="2" t="str">
        <f t="shared" si="4"/>
        <v/>
      </c>
    </row>
    <row r="1697" ht="15.75" customHeight="1">
      <c r="A1697" s="3"/>
      <c r="B1697" s="2" t="str">
        <f t="shared" si="1"/>
        <v/>
      </c>
      <c r="E1697" s="2"/>
      <c r="F1697" s="2"/>
      <c r="G1697" s="2"/>
      <c r="H1697" s="2"/>
      <c r="I1697" s="2"/>
      <c r="J1697" s="2"/>
      <c r="K1697" s="2" t="str">
        <f t="shared" si="2"/>
        <v/>
      </c>
      <c r="L1697" s="2" t="str">
        <f t="shared" si="3"/>
        <v>No</v>
      </c>
      <c r="M1697" s="2" t="str">
        <f>IF(K1697="","",F1697*VLOOKUP(E1697,WEIGHTS!$A$2:$F$4,2,FALSE)+G1697*VLOOKUP(E1697,WEIGHTS!$A$2:$F$4,3,FALSE)+H1697*VLOOKUP(E1697,WEIGHTS!$A$2:$F$4,4,FALSE)+I1697*VLOOKUP(E1697,WEIGHTS!$A$2:$F$4,5,FALSE)+J1697*VLOOKUP(E1697,WEIGHTS!$A$2:$F$4,6,FALSE))</f>
        <v/>
      </c>
      <c r="N1697" s="2" t="str">
        <f t="shared" si="4"/>
        <v/>
      </c>
    </row>
    <row r="1698" ht="15.75" customHeight="1">
      <c r="A1698" s="3"/>
      <c r="B1698" s="2" t="str">
        <f t="shared" si="1"/>
        <v/>
      </c>
      <c r="E1698" s="2"/>
      <c r="F1698" s="2"/>
      <c r="G1698" s="2"/>
      <c r="H1698" s="2"/>
      <c r="I1698" s="2"/>
      <c r="J1698" s="2"/>
      <c r="K1698" s="2" t="str">
        <f t="shared" si="2"/>
        <v/>
      </c>
      <c r="L1698" s="2" t="str">
        <f t="shared" si="3"/>
        <v>No</v>
      </c>
      <c r="M1698" s="2" t="str">
        <f>IF(K1698="","",F1698*VLOOKUP(E1698,WEIGHTS!$A$2:$F$4,2,FALSE)+G1698*VLOOKUP(E1698,WEIGHTS!$A$2:$F$4,3,FALSE)+H1698*VLOOKUP(E1698,WEIGHTS!$A$2:$F$4,4,FALSE)+I1698*VLOOKUP(E1698,WEIGHTS!$A$2:$F$4,5,FALSE)+J1698*VLOOKUP(E1698,WEIGHTS!$A$2:$F$4,6,FALSE))</f>
        <v/>
      </c>
      <c r="N1698" s="2" t="str">
        <f t="shared" si="4"/>
        <v/>
      </c>
    </row>
    <row r="1699" ht="15.75" customHeight="1">
      <c r="A1699" s="3"/>
      <c r="B1699" s="2" t="str">
        <f t="shared" si="1"/>
        <v/>
      </c>
      <c r="E1699" s="2"/>
      <c r="F1699" s="2"/>
      <c r="G1699" s="2"/>
      <c r="H1699" s="2"/>
      <c r="I1699" s="2"/>
      <c r="J1699" s="2"/>
      <c r="K1699" s="2" t="str">
        <f t="shared" si="2"/>
        <v/>
      </c>
      <c r="L1699" s="2" t="str">
        <f t="shared" si="3"/>
        <v>No</v>
      </c>
      <c r="M1699" s="2" t="str">
        <f>IF(K1699="","",F1699*VLOOKUP(E1699,WEIGHTS!$A$2:$F$4,2,FALSE)+G1699*VLOOKUP(E1699,WEIGHTS!$A$2:$F$4,3,FALSE)+H1699*VLOOKUP(E1699,WEIGHTS!$A$2:$F$4,4,FALSE)+I1699*VLOOKUP(E1699,WEIGHTS!$A$2:$F$4,5,FALSE)+J1699*VLOOKUP(E1699,WEIGHTS!$A$2:$F$4,6,FALSE))</f>
        <v/>
      </c>
      <c r="N1699" s="2" t="str">
        <f t="shared" si="4"/>
        <v/>
      </c>
    </row>
    <row r="1700" ht="15.75" customHeight="1">
      <c r="A1700" s="3"/>
      <c r="B1700" s="2" t="str">
        <f t="shared" si="1"/>
        <v/>
      </c>
      <c r="E1700" s="2"/>
      <c r="F1700" s="2"/>
      <c r="G1700" s="2"/>
      <c r="H1700" s="2"/>
      <c r="I1700" s="2"/>
      <c r="J1700" s="2"/>
      <c r="K1700" s="2" t="str">
        <f t="shared" si="2"/>
        <v/>
      </c>
      <c r="L1700" s="2" t="str">
        <f t="shared" si="3"/>
        <v>No</v>
      </c>
      <c r="M1700" s="2" t="str">
        <f>IF(K1700="","",F1700*VLOOKUP(E1700,WEIGHTS!$A$2:$F$4,2,FALSE)+G1700*VLOOKUP(E1700,WEIGHTS!$A$2:$F$4,3,FALSE)+H1700*VLOOKUP(E1700,WEIGHTS!$A$2:$F$4,4,FALSE)+I1700*VLOOKUP(E1700,WEIGHTS!$A$2:$F$4,5,FALSE)+J1700*VLOOKUP(E1700,WEIGHTS!$A$2:$F$4,6,FALSE))</f>
        <v/>
      </c>
      <c r="N1700" s="2" t="str">
        <f t="shared" si="4"/>
        <v/>
      </c>
    </row>
    <row r="1701" ht="15.75" customHeight="1">
      <c r="A1701" s="3"/>
      <c r="B1701" s="2" t="str">
        <f t="shared" si="1"/>
        <v/>
      </c>
      <c r="E1701" s="2"/>
      <c r="F1701" s="2"/>
      <c r="G1701" s="2"/>
      <c r="H1701" s="2"/>
      <c r="I1701" s="2"/>
      <c r="J1701" s="2"/>
      <c r="K1701" s="2" t="str">
        <f t="shared" si="2"/>
        <v/>
      </c>
      <c r="L1701" s="2" t="str">
        <f t="shared" si="3"/>
        <v>No</v>
      </c>
      <c r="M1701" s="2" t="str">
        <f>IF(K1701="","",F1701*VLOOKUP(E1701,WEIGHTS!$A$2:$F$4,2,FALSE)+G1701*VLOOKUP(E1701,WEIGHTS!$A$2:$F$4,3,FALSE)+H1701*VLOOKUP(E1701,WEIGHTS!$A$2:$F$4,4,FALSE)+I1701*VLOOKUP(E1701,WEIGHTS!$A$2:$F$4,5,FALSE)+J1701*VLOOKUP(E1701,WEIGHTS!$A$2:$F$4,6,FALSE))</f>
        <v/>
      </c>
      <c r="N1701" s="2" t="str">
        <f t="shared" si="4"/>
        <v/>
      </c>
    </row>
    <row r="1702" ht="15.75" customHeight="1">
      <c r="A1702" s="3"/>
      <c r="B1702" s="2" t="str">
        <f t="shared" si="1"/>
        <v/>
      </c>
      <c r="E1702" s="2"/>
      <c r="F1702" s="2"/>
      <c r="G1702" s="2"/>
      <c r="H1702" s="2"/>
      <c r="I1702" s="2"/>
      <c r="J1702" s="2"/>
      <c r="K1702" s="2" t="str">
        <f t="shared" si="2"/>
        <v/>
      </c>
      <c r="L1702" s="2" t="str">
        <f t="shared" si="3"/>
        <v>No</v>
      </c>
      <c r="M1702" s="2" t="str">
        <f>IF(K1702="","",F1702*VLOOKUP(E1702,WEIGHTS!$A$2:$F$4,2,FALSE)+G1702*VLOOKUP(E1702,WEIGHTS!$A$2:$F$4,3,FALSE)+H1702*VLOOKUP(E1702,WEIGHTS!$A$2:$F$4,4,FALSE)+I1702*VLOOKUP(E1702,WEIGHTS!$A$2:$F$4,5,FALSE)+J1702*VLOOKUP(E1702,WEIGHTS!$A$2:$F$4,6,FALSE))</f>
        <v/>
      </c>
      <c r="N1702" s="2" t="str">
        <f t="shared" si="4"/>
        <v/>
      </c>
    </row>
    <row r="1703" ht="15.75" customHeight="1">
      <c r="A1703" s="3"/>
      <c r="B1703" s="2" t="str">
        <f t="shared" si="1"/>
        <v/>
      </c>
      <c r="E1703" s="2"/>
      <c r="F1703" s="2"/>
      <c r="G1703" s="2"/>
      <c r="H1703" s="2"/>
      <c r="I1703" s="2"/>
      <c r="J1703" s="2"/>
      <c r="K1703" s="2" t="str">
        <f t="shared" si="2"/>
        <v/>
      </c>
      <c r="L1703" s="2" t="str">
        <f t="shared" si="3"/>
        <v>No</v>
      </c>
      <c r="M1703" s="2" t="str">
        <f>IF(K1703="","",F1703*VLOOKUP(E1703,WEIGHTS!$A$2:$F$4,2,FALSE)+G1703*VLOOKUP(E1703,WEIGHTS!$A$2:$F$4,3,FALSE)+H1703*VLOOKUP(E1703,WEIGHTS!$A$2:$F$4,4,FALSE)+I1703*VLOOKUP(E1703,WEIGHTS!$A$2:$F$4,5,FALSE)+J1703*VLOOKUP(E1703,WEIGHTS!$A$2:$F$4,6,FALSE))</f>
        <v/>
      </c>
      <c r="N1703" s="2" t="str">
        <f t="shared" si="4"/>
        <v/>
      </c>
    </row>
    <row r="1704" ht="15.75" customHeight="1">
      <c r="A1704" s="3"/>
      <c r="B1704" s="2" t="str">
        <f t="shared" si="1"/>
        <v/>
      </c>
      <c r="E1704" s="2"/>
      <c r="F1704" s="2"/>
      <c r="G1704" s="2"/>
      <c r="H1704" s="2"/>
      <c r="I1704" s="2"/>
      <c r="J1704" s="2"/>
      <c r="K1704" s="2" t="str">
        <f t="shared" si="2"/>
        <v/>
      </c>
      <c r="L1704" s="2" t="str">
        <f t="shared" si="3"/>
        <v>No</v>
      </c>
      <c r="M1704" s="2" t="str">
        <f>IF(K1704="","",F1704*VLOOKUP(E1704,WEIGHTS!$A$2:$F$4,2,FALSE)+G1704*VLOOKUP(E1704,WEIGHTS!$A$2:$F$4,3,FALSE)+H1704*VLOOKUP(E1704,WEIGHTS!$A$2:$F$4,4,FALSE)+I1704*VLOOKUP(E1704,WEIGHTS!$A$2:$F$4,5,FALSE)+J1704*VLOOKUP(E1704,WEIGHTS!$A$2:$F$4,6,FALSE))</f>
        <v/>
      </c>
      <c r="N1704" s="2" t="str">
        <f t="shared" si="4"/>
        <v/>
      </c>
    </row>
    <row r="1705" ht="15.75" customHeight="1">
      <c r="A1705" s="3"/>
      <c r="B1705" s="2" t="str">
        <f t="shared" si="1"/>
        <v/>
      </c>
      <c r="E1705" s="2"/>
      <c r="F1705" s="2"/>
      <c r="G1705" s="2"/>
      <c r="H1705" s="2"/>
      <c r="I1705" s="2"/>
      <c r="J1705" s="2"/>
      <c r="K1705" s="2" t="str">
        <f t="shared" si="2"/>
        <v/>
      </c>
      <c r="L1705" s="2" t="str">
        <f t="shared" si="3"/>
        <v>No</v>
      </c>
      <c r="M1705" s="2" t="str">
        <f>IF(K1705="","",F1705*VLOOKUP(E1705,WEIGHTS!$A$2:$F$4,2,FALSE)+G1705*VLOOKUP(E1705,WEIGHTS!$A$2:$F$4,3,FALSE)+H1705*VLOOKUP(E1705,WEIGHTS!$A$2:$F$4,4,FALSE)+I1705*VLOOKUP(E1705,WEIGHTS!$A$2:$F$4,5,FALSE)+J1705*VLOOKUP(E1705,WEIGHTS!$A$2:$F$4,6,FALSE))</f>
        <v/>
      </c>
      <c r="N1705" s="2" t="str">
        <f t="shared" si="4"/>
        <v/>
      </c>
    </row>
    <row r="1706" ht="15.75" customHeight="1">
      <c r="A1706" s="3"/>
      <c r="B1706" s="2" t="str">
        <f t="shared" si="1"/>
        <v/>
      </c>
      <c r="E1706" s="2"/>
      <c r="F1706" s="2"/>
      <c r="G1706" s="2"/>
      <c r="H1706" s="2"/>
      <c r="I1706" s="2"/>
      <c r="J1706" s="2"/>
      <c r="K1706" s="2" t="str">
        <f t="shared" si="2"/>
        <v/>
      </c>
      <c r="L1706" s="2" t="str">
        <f t="shared" si="3"/>
        <v>No</v>
      </c>
      <c r="M1706" s="2" t="str">
        <f>IF(K1706="","",F1706*VLOOKUP(E1706,WEIGHTS!$A$2:$F$4,2,FALSE)+G1706*VLOOKUP(E1706,WEIGHTS!$A$2:$F$4,3,FALSE)+H1706*VLOOKUP(E1706,WEIGHTS!$A$2:$F$4,4,FALSE)+I1706*VLOOKUP(E1706,WEIGHTS!$A$2:$F$4,5,FALSE)+J1706*VLOOKUP(E1706,WEIGHTS!$A$2:$F$4,6,FALSE))</f>
        <v/>
      </c>
      <c r="N1706" s="2" t="str">
        <f t="shared" si="4"/>
        <v/>
      </c>
    </row>
    <row r="1707" ht="15.75" customHeight="1">
      <c r="A1707" s="3"/>
      <c r="B1707" s="2" t="str">
        <f t="shared" si="1"/>
        <v/>
      </c>
      <c r="E1707" s="2"/>
      <c r="F1707" s="2"/>
      <c r="G1707" s="2"/>
      <c r="H1707" s="2"/>
      <c r="I1707" s="2"/>
      <c r="J1707" s="2"/>
      <c r="K1707" s="2" t="str">
        <f t="shared" si="2"/>
        <v/>
      </c>
      <c r="L1707" s="2" t="str">
        <f t="shared" si="3"/>
        <v>No</v>
      </c>
      <c r="M1707" s="2" t="str">
        <f>IF(K1707="","",F1707*VLOOKUP(E1707,WEIGHTS!$A$2:$F$4,2,FALSE)+G1707*VLOOKUP(E1707,WEIGHTS!$A$2:$F$4,3,FALSE)+H1707*VLOOKUP(E1707,WEIGHTS!$A$2:$F$4,4,FALSE)+I1707*VLOOKUP(E1707,WEIGHTS!$A$2:$F$4,5,FALSE)+J1707*VLOOKUP(E1707,WEIGHTS!$A$2:$F$4,6,FALSE))</f>
        <v/>
      </c>
      <c r="N1707" s="2" t="str">
        <f t="shared" si="4"/>
        <v/>
      </c>
    </row>
    <row r="1708" ht="15.75" customHeight="1">
      <c r="A1708" s="3"/>
      <c r="B1708" s="2" t="str">
        <f t="shared" si="1"/>
        <v/>
      </c>
      <c r="E1708" s="2"/>
      <c r="F1708" s="2"/>
      <c r="G1708" s="2"/>
      <c r="H1708" s="2"/>
      <c r="I1708" s="2"/>
      <c r="J1708" s="2"/>
      <c r="K1708" s="2" t="str">
        <f t="shared" si="2"/>
        <v/>
      </c>
      <c r="L1708" s="2" t="str">
        <f t="shared" si="3"/>
        <v>No</v>
      </c>
      <c r="M1708" s="2" t="str">
        <f>IF(K1708="","",F1708*VLOOKUP(E1708,WEIGHTS!$A$2:$F$4,2,FALSE)+G1708*VLOOKUP(E1708,WEIGHTS!$A$2:$F$4,3,FALSE)+H1708*VLOOKUP(E1708,WEIGHTS!$A$2:$F$4,4,FALSE)+I1708*VLOOKUP(E1708,WEIGHTS!$A$2:$F$4,5,FALSE)+J1708*VLOOKUP(E1708,WEIGHTS!$A$2:$F$4,6,FALSE))</f>
        <v/>
      </c>
      <c r="N1708" s="2" t="str">
        <f t="shared" si="4"/>
        <v/>
      </c>
    </row>
    <row r="1709" ht="15.75" customHeight="1">
      <c r="A1709" s="3"/>
      <c r="B1709" s="2" t="str">
        <f t="shared" si="1"/>
        <v/>
      </c>
      <c r="E1709" s="2"/>
      <c r="F1709" s="2"/>
      <c r="G1709" s="2"/>
      <c r="H1709" s="2"/>
      <c r="I1709" s="2"/>
      <c r="J1709" s="2"/>
      <c r="K1709" s="2" t="str">
        <f t="shared" si="2"/>
        <v/>
      </c>
      <c r="L1709" s="2" t="str">
        <f t="shared" si="3"/>
        <v>No</v>
      </c>
      <c r="M1709" s="2" t="str">
        <f>IF(K1709="","",F1709*VLOOKUP(E1709,WEIGHTS!$A$2:$F$4,2,FALSE)+G1709*VLOOKUP(E1709,WEIGHTS!$A$2:$F$4,3,FALSE)+H1709*VLOOKUP(E1709,WEIGHTS!$A$2:$F$4,4,FALSE)+I1709*VLOOKUP(E1709,WEIGHTS!$A$2:$F$4,5,FALSE)+J1709*VLOOKUP(E1709,WEIGHTS!$A$2:$F$4,6,FALSE))</f>
        <v/>
      </c>
      <c r="N1709" s="2" t="str">
        <f t="shared" si="4"/>
        <v/>
      </c>
    </row>
    <row r="1710" ht="15.75" customHeight="1">
      <c r="A1710" s="3"/>
      <c r="B1710" s="2" t="str">
        <f t="shared" si="1"/>
        <v/>
      </c>
      <c r="E1710" s="2"/>
      <c r="F1710" s="2"/>
      <c r="G1710" s="2"/>
      <c r="H1710" s="2"/>
      <c r="I1710" s="2"/>
      <c r="J1710" s="2"/>
      <c r="K1710" s="2" t="str">
        <f t="shared" si="2"/>
        <v/>
      </c>
      <c r="L1710" s="2" t="str">
        <f t="shared" si="3"/>
        <v>No</v>
      </c>
      <c r="M1710" s="2" t="str">
        <f>IF(K1710="","",F1710*VLOOKUP(E1710,WEIGHTS!$A$2:$F$4,2,FALSE)+G1710*VLOOKUP(E1710,WEIGHTS!$A$2:$F$4,3,FALSE)+H1710*VLOOKUP(E1710,WEIGHTS!$A$2:$F$4,4,FALSE)+I1710*VLOOKUP(E1710,WEIGHTS!$A$2:$F$4,5,FALSE)+J1710*VLOOKUP(E1710,WEIGHTS!$A$2:$F$4,6,FALSE))</f>
        <v/>
      </c>
      <c r="N1710" s="2" t="str">
        <f t="shared" si="4"/>
        <v/>
      </c>
    </row>
    <row r="1711" ht="15.75" customHeight="1">
      <c r="A1711" s="3"/>
      <c r="B1711" s="2" t="str">
        <f t="shared" si="1"/>
        <v/>
      </c>
      <c r="E1711" s="2"/>
      <c r="F1711" s="2"/>
      <c r="G1711" s="2"/>
      <c r="H1711" s="2"/>
      <c r="I1711" s="2"/>
      <c r="J1711" s="2"/>
      <c r="K1711" s="2" t="str">
        <f t="shared" si="2"/>
        <v/>
      </c>
      <c r="L1711" s="2" t="str">
        <f t="shared" si="3"/>
        <v>No</v>
      </c>
      <c r="M1711" s="2" t="str">
        <f>IF(K1711="","",F1711*VLOOKUP(E1711,WEIGHTS!$A$2:$F$4,2,FALSE)+G1711*VLOOKUP(E1711,WEIGHTS!$A$2:$F$4,3,FALSE)+H1711*VLOOKUP(E1711,WEIGHTS!$A$2:$F$4,4,FALSE)+I1711*VLOOKUP(E1711,WEIGHTS!$A$2:$F$4,5,FALSE)+J1711*VLOOKUP(E1711,WEIGHTS!$A$2:$F$4,6,FALSE))</f>
        <v/>
      </c>
      <c r="N1711" s="2" t="str">
        <f t="shared" si="4"/>
        <v/>
      </c>
    </row>
    <row r="1712" ht="15.75" customHeight="1">
      <c r="A1712" s="3"/>
      <c r="B1712" s="2" t="str">
        <f t="shared" si="1"/>
        <v/>
      </c>
      <c r="E1712" s="2"/>
      <c r="F1712" s="2"/>
      <c r="G1712" s="2"/>
      <c r="H1712" s="2"/>
      <c r="I1712" s="2"/>
      <c r="J1712" s="2"/>
      <c r="K1712" s="2" t="str">
        <f t="shared" si="2"/>
        <v/>
      </c>
      <c r="L1712" s="2" t="str">
        <f t="shared" si="3"/>
        <v>No</v>
      </c>
      <c r="M1712" s="2" t="str">
        <f>IF(K1712="","",F1712*VLOOKUP(E1712,WEIGHTS!$A$2:$F$4,2,FALSE)+G1712*VLOOKUP(E1712,WEIGHTS!$A$2:$F$4,3,FALSE)+H1712*VLOOKUP(E1712,WEIGHTS!$A$2:$F$4,4,FALSE)+I1712*VLOOKUP(E1712,WEIGHTS!$A$2:$F$4,5,FALSE)+J1712*VLOOKUP(E1712,WEIGHTS!$A$2:$F$4,6,FALSE))</f>
        <v/>
      </c>
      <c r="N1712" s="2" t="str">
        <f t="shared" si="4"/>
        <v/>
      </c>
    </row>
    <row r="1713" ht="15.75" customHeight="1">
      <c r="A1713" s="3"/>
      <c r="B1713" s="2" t="str">
        <f t="shared" si="1"/>
        <v/>
      </c>
      <c r="E1713" s="2"/>
      <c r="F1713" s="2"/>
      <c r="G1713" s="2"/>
      <c r="H1713" s="2"/>
      <c r="I1713" s="2"/>
      <c r="J1713" s="2"/>
      <c r="K1713" s="2" t="str">
        <f t="shared" si="2"/>
        <v/>
      </c>
      <c r="L1713" s="2" t="str">
        <f t="shared" si="3"/>
        <v>No</v>
      </c>
      <c r="M1713" s="2" t="str">
        <f>IF(K1713="","",F1713*VLOOKUP(E1713,WEIGHTS!$A$2:$F$4,2,FALSE)+G1713*VLOOKUP(E1713,WEIGHTS!$A$2:$F$4,3,FALSE)+H1713*VLOOKUP(E1713,WEIGHTS!$A$2:$F$4,4,FALSE)+I1713*VLOOKUP(E1713,WEIGHTS!$A$2:$F$4,5,FALSE)+J1713*VLOOKUP(E1713,WEIGHTS!$A$2:$F$4,6,FALSE))</f>
        <v/>
      </c>
      <c r="N1713" s="2" t="str">
        <f t="shared" si="4"/>
        <v/>
      </c>
    </row>
    <row r="1714" ht="15.75" customHeight="1">
      <c r="A1714" s="3"/>
      <c r="B1714" s="2" t="str">
        <f t="shared" si="1"/>
        <v/>
      </c>
      <c r="E1714" s="2"/>
      <c r="F1714" s="2"/>
      <c r="G1714" s="2"/>
      <c r="H1714" s="2"/>
      <c r="I1714" s="2"/>
      <c r="J1714" s="2"/>
      <c r="K1714" s="2" t="str">
        <f t="shared" si="2"/>
        <v/>
      </c>
      <c r="L1714" s="2" t="str">
        <f t="shared" si="3"/>
        <v>No</v>
      </c>
      <c r="M1714" s="2" t="str">
        <f>IF(K1714="","",F1714*VLOOKUP(E1714,WEIGHTS!$A$2:$F$4,2,FALSE)+G1714*VLOOKUP(E1714,WEIGHTS!$A$2:$F$4,3,FALSE)+H1714*VLOOKUP(E1714,WEIGHTS!$A$2:$F$4,4,FALSE)+I1714*VLOOKUP(E1714,WEIGHTS!$A$2:$F$4,5,FALSE)+J1714*VLOOKUP(E1714,WEIGHTS!$A$2:$F$4,6,FALSE))</f>
        <v/>
      </c>
      <c r="N1714" s="2" t="str">
        <f t="shared" si="4"/>
        <v/>
      </c>
    </row>
    <row r="1715" ht="15.75" customHeight="1">
      <c r="A1715" s="3"/>
      <c r="B1715" s="2" t="str">
        <f t="shared" si="1"/>
        <v/>
      </c>
      <c r="E1715" s="2"/>
      <c r="F1715" s="2"/>
      <c r="G1715" s="2"/>
      <c r="H1715" s="2"/>
      <c r="I1715" s="2"/>
      <c r="J1715" s="2"/>
      <c r="K1715" s="2" t="str">
        <f t="shared" si="2"/>
        <v/>
      </c>
      <c r="L1715" s="2" t="str">
        <f t="shared" si="3"/>
        <v>No</v>
      </c>
      <c r="M1715" s="2" t="str">
        <f>IF(K1715="","",F1715*VLOOKUP(E1715,WEIGHTS!$A$2:$F$4,2,FALSE)+G1715*VLOOKUP(E1715,WEIGHTS!$A$2:$F$4,3,FALSE)+H1715*VLOOKUP(E1715,WEIGHTS!$A$2:$F$4,4,FALSE)+I1715*VLOOKUP(E1715,WEIGHTS!$A$2:$F$4,5,FALSE)+J1715*VLOOKUP(E1715,WEIGHTS!$A$2:$F$4,6,FALSE))</f>
        <v/>
      </c>
      <c r="N1715" s="2" t="str">
        <f t="shared" si="4"/>
        <v/>
      </c>
    </row>
    <row r="1716" ht="15.75" customHeight="1">
      <c r="A1716" s="3"/>
      <c r="B1716" s="2" t="str">
        <f t="shared" si="1"/>
        <v/>
      </c>
      <c r="E1716" s="2"/>
      <c r="F1716" s="2"/>
      <c r="G1716" s="2"/>
      <c r="H1716" s="2"/>
      <c r="I1716" s="2"/>
      <c r="J1716" s="2"/>
      <c r="K1716" s="2" t="str">
        <f t="shared" si="2"/>
        <v/>
      </c>
      <c r="L1716" s="2" t="str">
        <f t="shared" si="3"/>
        <v>No</v>
      </c>
      <c r="M1716" s="2" t="str">
        <f>IF(K1716="","",F1716*VLOOKUP(E1716,WEIGHTS!$A$2:$F$4,2,FALSE)+G1716*VLOOKUP(E1716,WEIGHTS!$A$2:$F$4,3,FALSE)+H1716*VLOOKUP(E1716,WEIGHTS!$A$2:$F$4,4,FALSE)+I1716*VLOOKUP(E1716,WEIGHTS!$A$2:$F$4,5,FALSE)+J1716*VLOOKUP(E1716,WEIGHTS!$A$2:$F$4,6,FALSE))</f>
        <v/>
      </c>
      <c r="N1716" s="2" t="str">
        <f t="shared" si="4"/>
        <v/>
      </c>
    </row>
    <row r="1717" ht="15.75" customHeight="1">
      <c r="A1717" s="3"/>
      <c r="B1717" s="2" t="str">
        <f t="shared" si="1"/>
        <v/>
      </c>
      <c r="E1717" s="2"/>
      <c r="F1717" s="2"/>
      <c r="G1717" s="2"/>
      <c r="H1717" s="2"/>
      <c r="I1717" s="2"/>
      <c r="J1717" s="2"/>
      <c r="K1717" s="2" t="str">
        <f t="shared" si="2"/>
        <v/>
      </c>
      <c r="L1717" s="2" t="str">
        <f t="shared" si="3"/>
        <v>No</v>
      </c>
      <c r="M1717" s="2" t="str">
        <f>IF(K1717="","",F1717*VLOOKUP(E1717,WEIGHTS!$A$2:$F$4,2,FALSE)+G1717*VLOOKUP(E1717,WEIGHTS!$A$2:$F$4,3,FALSE)+H1717*VLOOKUP(E1717,WEIGHTS!$A$2:$F$4,4,FALSE)+I1717*VLOOKUP(E1717,WEIGHTS!$A$2:$F$4,5,FALSE)+J1717*VLOOKUP(E1717,WEIGHTS!$A$2:$F$4,6,FALSE))</f>
        <v/>
      </c>
      <c r="N1717" s="2" t="str">
        <f t="shared" si="4"/>
        <v/>
      </c>
    </row>
    <row r="1718" ht="15.75" customHeight="1">
      <c r="A1718" s="3"/>
      <c r="B1718" s="2" t="str">
        <f t="shared" si="1"/>
        <v/>
      </c>
      <c r="E1718" s="2"/>
      <c r="F1718" s="2"/>
      <c r="G1718" s="2"/>
      <c r="H1718" s="2"/>
      <c r="I1718" s="2"/>
      <c r="J1718" s="2"/>
      <c r="K1718" s="2" t="str">
        <f t="shared" si="2"/>
        <v/>
      </c>
      <c r="L1718" s="2" t="str">
        <f t="shared" si="3"/>
        <v>No</v>
      </c>
      <c r="M1718" s="2" t="str">
        <f>IF(K1718="","",F1718*VLOOKUP(E1718,WEIGHTS!$A$2:$F$4,2,FALSE)+G1718*VLOOKUP(E1718,WEIGHTS!$A$2:$F$4,3,FALSE)+H1718*VLOOKUP(E1718,WEIGHTS!$A$2:$F$4,4,FALSE)+I1718*VLOOKUP(E1718,WEIGHTS!$A$2:$F$4,5,FALSE)+J1718*VLOOKUP(E1718,WEIGHTS!$A$2:$F$4,6,FALSE))</f>
        <v/>
      </c>
      <c r="N1718" s="2" t="str">
        <f t="shared" si="4"/>
        <v/>
      </c>
    </row>
    <row r="1719" ht="15.75" customHeight="1">
      <c r="A1719" s="3"/>
      <c r="B1719" s="2" t="str">
        <f t="shared" si="1"/>
        <v/>
      </c>
      <c r="E1719" s="2"/>
      <c r="F1719" s="2"/>
      <c r="G1719" s="2"/>
      <c r="H1719" s="2"/>
      <c r="I1719" s="2"/>
      <c r="J1719" s="2"/>
      <c r="K1719" s="2" t="str">
        <f t="shared" si="2"/>
        <v/>
      </c>
      <c r="L1719" s="2" t="str">
        <f t="shared" si="3"/>
        <v>No</v>
      </c>
      <c r="M1719" s="2" t="str">
        <f>IF(K1719="","",F1719*VLOOKUP(E1719,WEIGHTS!$A$2:$F$4,2,FALSE)+G1719*VLOOKUP(E1719,WEIGHTS!$A$2:$F$4,3,FALSE)+H1719*VLOOKUP(E1719,WEIGHTS!$A$2:$F$4,4,FALSE)+I1719*VLOOKUP(E1719,WEIGHTS!$A$2:$F$4,5,FALSE)+J1719*VLOOKUP(E1719,WEIGHTS!$A$2:$F$4,6,FALSE))</f>
        <v/>
      </c>
      <c r="N1719" s="2" t="str">
        <f t="shared" si="4"/>
        <v/>
      </c>
    </row>
    <row r="1720" ht="15.75" customHeight="1">
      <c r="A1720" s="3"/>
      <c r="B1720" s="2" t="str">
        <f t="shared" si="1"/>
        <v/>
      </c>
      <c r="E1720" s="2"/>
      <c r="F1720" s="2"/>
      <c r="G1720" s="2"/>
      <c r="H1720" s="2"/>
      <c r="I1720" s="2"/>
      <c r="J1720" s="2"/>
      <c r="K1720" s="2" t="str">
        <f t="shared" si="2"/>
        <v/>
      </c>
      <c r="L1720" s="2" t="str">
        <f t="shared" si="3"/>
        <v>No</v>
      </c>
      <c r="M1720" s="2" t="str">
        <f>IF(K1720="","",F1720*VLOOKUP(E1720,WEIGHTS!$A$2:$F$4,2,FALSE)+G1720*VLOOKUP(E1720,WEIGHTS!$A$2:$F$4,3,FALSE)+H1720*VLOOKUP(E1720,WEIGHTS!$A$2:$F$4,4,FALSE)+I1720*VLOOKUP(E1720,WEIGHTS!$A$2:$F$4,5,FALSE)+J1720*VLOOKUP(E1720,WEIGHTS!$A$2:$F$4,6,FALSE))</f>
        <v/>
      </c>
      <c r="N1720" s="2" t="str">
        <f t="shared" si="4"/>
        <v/>
      </c>
    </row>
    <row r="1721" ht="15.75" customHeight="1">
      <c r="A1721" s="3"/>
      <c r="B1721" s="2" t="str">
        <f t="shared" si="1"/>
        <v/>
      </c>
      <c r="E1721" s="2"/>
      <c r="F1721" s="2"/>
      <c r="G1721" s="2"/>
      <c r="H1721" s="2"/>
      <c r="I1721" s="2"/>
      <c r="J1721" s="2"/>
      <c r="K1721" s="2" t="str">
        <f t="shared" si="2"/>
        <v/>
      </c>
      <c r="L1721" s="2" t="str">
        <f t="shared" si="3"/>
        <v>No</v>
      </c>
      <c r="M1721" s="2" t="str">
        <f>IF(K1721="","",F1721*VLOOKUP(E1721,WEIGHTS!$A$2:$F$4,2,FALSE)+G1721*VLOOKUP(E1721,WEIGHTS!$A$2:$F$4,3,FALSE)+H1721*VLOOKUP(E1721,WEIGHTS!$A$2:$F$4,4,FALSE)+I1721*VLOOKUP(E1721,WEIGHTS!$A$2:$F$4,5,FALSE)+J1721*VLOOKUP(E1721,WEIGHTS!$A$2:$F$4,6,FALSE))</f>
        <v/>
      </c>
      <c r="N1721" s="2" t="str">
        <f t="shared" si="4"/>
        <v/>
      </c>
    </row>
    <row r="1722" ht="15.75" customHeight="1">
      <c r="A1722" s="3"/>
      <c r="B1722" s="2" t="str">
        <f t="shared" si="1"/>
        <v/>
      </c>
      <c r="E1722" s="2"/>
      <c r="F1722" s="2"/>
      <c r="G1722" s="2"/>
      <c r="H1722" s="2"/>
      <c r="I1722" s="2"/>
      <c r="J1722" s="2"/>
      <c r="K1722" s="2" t="str">
        <f t="shared" si="2"/>
        <v/>
      </c>
      <c r="L1722" s="2" t="str">
        <f t="shared" si="3"/>
        <v>No</v>
      </c>
      <c r="M1722" s="2" t="str">
        <f>IF(K1722="","",F1722*VLOOKUP(E1722,WEIGHTS!$A$2:$F$4,2,FALSE)+G1722*VLOOKUP(E1722,WEIGHTS!$A$2:$F$4,3,FALSE)+H1722*VLOOKUP(E1722,WEIGHTS!$A$2:$F$4,4,FALSE)+I1722*VLOOKUP(E1722,WEIGHTS!$A$2:$F$4,5,FALSE)+J1722*VLOOKUP(E1722,WEIGHTS!$A$2:$F$4,6,FALSE))</f>
        <v/>
      </c>
      <c r="N1722" s="2" t="str">
        <f t="shared" si="4"/>
        <v/>
      </c>
    </row>
    <row r="1723" ht="15.75" customHeight="1">
      <c r="A1723" s="3"/>
      <c r="B1723" s="2" t="str">
        <f t="shared" si="1"/>
        <v/>
      </c>
      <c r="E1723" s="2"/>
      <c r="F1723" s="2"/>
      <c r="G1723" s="2"/>
      <c r="H1723" s="2"/>
      <c r="I1723" s="2"/>
      <c r="J1723" s="2"/>
      <c r="K1723" s="2" t="str">
        <f t="shared" si="2"/>
        <v/>
      </c>
      <c r="L1723" s="2" t="str">
        <f t="shared" si="3"/>
        <v>No</v>
      </c>
      <c r="M1723" s="2" t="str">
        <f>IF(K1723="","",F1723*VLOOKUP(E1723,WEIGHTS!$A$2:$F$4,2,FALSE)+G1723*VLOOKUP(E1723,WEIGHTS!$A$2:$F$4,3,FALSE)+H1723*VLOOKUP(E1723,WEIGHTS!$A$2:$F$4,4,FALSE)+I1723*VLOOKUP(E1723,WEIGHTS!$A$2:$F$4,5,FALSE)+J1723*VLOOKUP(E1723,WEIGHTS!$A$2:$F$4,6,FALSE))</f>
        <v/>
      </c>
      <c r="N1723" s="2" t="str">
        <f t="shared" si="4"/>
        <v/>
      </c>
    </row>
    <row r="1724" ht="15.75" customHeight="1">
      <c r="A1724" s="3"/>
      <c r="B1724" s="2" t="str">
        <f t="shared" si="1"/>
        <v/>
      </c>
      <c r="E1724" s="2"/>
      <c r="F1724" s="2"/>
      <c r="G1724" s="2"/>
      <c r="H1724" s="2"/>
      <c r="I1724" s="2"/>
      <c r="J1724" s="2"/>
      <c r="K1724" s="2" t="str">
        <f t="shared" si="2"/>
        <v/>
      </c>
      <c r="L1724" s="2" t="str">
        <f t="shared" si="3"/>
        <v>No</v>
      </c>
      <c r="M1724" s="2" t="str">
        <f>IF(K1724="","",F1724*VLOOKUP(E1724,WEIGHTS!$A$2:$F$4,2,FALSE)+G1724*VLOOKUP(E1724,WEIGHTS!$A$2:$F$4,3,FALSE)+H1724*VLOOKUP(E1724,WEIGHTS!$A$2:$F$4,4,FALSE)+I1724*VLOOKUP(E1724,WEIGHTS!$A$2:$F$4,5,FALSE)+J1724*VLOOKUP(E1724,WEIGHTS!$A$2:$F$4,6,FALSE))</f>
        <v/>
      </c>
      <c r="N1724" s="2" t="str">
        <f t="shared" si="4"/>
        <v/>
      </c>
    </row>
    <row r="1725" ht="15.75" customHeight="1">
      <c r="A1725" s="3"/>
      <c r="B1725" s="2" t="str">
        <f t="shared" si="1"/>
        <v/>
      </c>
      <c r="E1725" s="2"/>
      <c r="F1725" s="2"/>
      <c r="G1725" s="2"/>
      <c r="H1725" s="2"/>
      <c r="I1725" s="2"/>
      <c r="J1725" s="2"/>
      <c r="K1725" s="2" t="str">
        <f t="shared" si="2"/>
        <v/>
      </c>
      <c r="L1725" s="2" t="str">
        <f t="shared" si="3"/>
        <v>No</v>
      </c>
      <c r="M1725" s="2" t="str">
        <f>IF(K1725="","",F1725*VLOOKUP(E1725,WEIGHTS!$A$2:$F$4,2,FALSE)+G1725*VLOOKUP(E1725,WEIGHTS!$A$2:$F$4,3,FALSE)+H1725*VLOOKUP(E1725,WEIGHTS!$A$2:$F$4,4,FALSE)+I1725*VLOOKUP(E1725,WEIGHTS!$A$2:$F$4,5,FALSE)+J1725*VLOOKUP(E1725,WEIGHTS!$A$2:$F$4,6,FALSE))</f>
        <v/>
      </c>
      <c r="N1725" s="2" t="str">
        <f t="shared" si="4"/>
        <v/>
      </c>
    </row>
    <row r="1726" ht="15.75" customHeight="1">
      <c r="A1726" s="3"/>
      <c r="B1726" s="2" t="str">
        <f t="shared" si="1"/>
        <v/>
      </c>
      <c r="E1726" s="2"/>
      <c r="F1726" s="2"/>
      <c r="G1726" s="2"/>
      <c r="H1726" s="2"/>
      <c r="I1726" s="2"/>
      <c r="J1726" s="2"/>
      <c r="K1726" s="2" t="str">
        <f t="shared" si="2"/>
        <v/>
      </c>
      <c r="L1726" s="2" t="str">
        <f t="shared" si="3"/>
        <v>No</v>
      </c>
      <c r="M1726" s="2" t="str">
        <f>IF(K1726="","",F1726*VLOOKUP(E1726,WEIGHTS!$A$2:$F$4,2,FALSE)+G1726*VLOOKUP(E1726,WEIGHTS!$A$2:$F$4,3,FALSE)+H1726*VLOOKUP(E1726,WEIGHTS!$A$2:$F$4,4,FALSE)+I1726*VLOOKUP(E1726,WEIGHTS!$A$2:$F$4,5,FALSE)+J1726*VLOOKUP(E1726,WEIGHTS!$A$2:$F$4,6,FALSE))</f>
        <v/>
      </c>
      <c r="N1726" s="2" t="str">
        <f t="shared" si="4"/>
        <v/>
      </c>
    </row>
    <row r="1727" ht="15.75" customHeight="1">
      <c r="A1727" s="3"/>
      <c r="B1727" s="2" t="str">
        <f t="shared" si="1"/>
        <v/>
      </c>
      <c r="E1727" s="2"/>
      <c r="F1727" s="2"/>
      <c r="G1727" s="2"/>
      <c r="H1727" s="2"/>
      <c r="I1727" s="2"/>
      <c r="J1727" s="2"/>
      <c r="K1727" s="2" t="str">
        <f t="shared" si="2"/>
        <v/>
      </c>
      <c r="L1727" s="2" t="str">
        <f t="shared" si="3"/>
        <v>No</v>
      </c>
      <c r="M1727" s="2" t="str">
        <f>IF(K1727="","",F1727*VLOOKUP(E1727,WEIGHTS!$A$2:$F$4,2,FALSE)+G1727*VLOOKUP(E1727,WEIGHTS!$A$2:$F$4,3,FALSE)+H1727*VLOOKUP(E1727,WEIGHTS!$A$2:$F$4,4,FALSE)+I1727*VLOOKUP(E1727,WEIGHTS!$A$2:$F$4,5,FALSE)+J1727*VLOOKUP(E1727,WEIGHTS!$A$2:$F$4,6,FALSE))</f>
        <v/>
      </c>
      <c r="N1727" s="2" t="str">
        <f t="shared" si="4"/>
        <v/>
      </c>
    </row>
    <row r="1728" ht="15.75" customHeight="1">
      <c r="A1728" s="3"/>
      <c r="B1728" s="2" t="str">
        <f t="shared" si="1"/>
        <v/>
      </c>
      <c r="E1728" s="2"/>
      <c r="F1728" s="2"/>
      <c r="G1728" s="2"/>
      <c r="H1728" s="2"/>
      <c r="I1728" s="2"/>
      <c r="J1728" s="2"/>
      <c r="K1728" s="2" t="str">
        <f t="shared" si="2"/>
        <v/>
      </c>
      <c r="L1728" s="2" t="str">
        <f t="shared" si="3"/>
        <v>No</v>
      </c>
      <c r="M1728" s="2" t="str">
        <f>IF(K1728="","",F1728*VLOOKUP(E1728,WEIGHTS!$A$2:$F$4,2,FALSE)+G1728*VLOOKUP(E1728,WEIGHTS!$A$2:$F$4,3,FALSE)+H1728*VLOOKUP(E1728,WEIGHTS!$A$2:$F$4,4,FALSE)+I1728*VLOOKUP(E1728,WEIGHTS!$A$2:$F$4,5,FALSE)+J1728*VLOOKUP(E1728,WEIGHTS!$A$2:$F$4,6,FALSE))</f>
        <v/>
      </c>
      <c r="N1728" s="2" t="str">
        <f t="shared" si="4"/>
        <v/>
      </c>
    </row>
    <row r="1729" ht="15.75" customHeight="1">
      <c r="A1729" s="3"/>
      <c r="B1729" s="2" t="str">
        <f t="shared" si="1"/>
        <v/>
      </c>
      <c r="E1729" s="2"/>
      <c r="F1729" s="2"/>
      <c r="G1729" s="2"/>
      <c r="H1729" s="2"/>
      <c r="I1729" s="2"/>
      <c r="J1729" s="2"/>
      <c r="K1729" s="2" t="str">
        <f t="shared" si="2"/>
        <v/>
      </c>
      <c r="L1729" s="2" t="str">
        <f t="shared" si="3"/>
        <v>No</v>
      </c>
      <c r="M1729" s="2" t="str">
        <f>IF(K1729="","",F1729*VLOOKUP(E1729,WEIGHTS!$A$2:$F$4,2,FALSE)+G1729*VLOOKUP(E1729,WEIGHTS!$A$2:$F$4,3,FALSE)+H1729*VLOOKUP(E1729,WEIGHTS!$A$2:$F$4,4,FALSE)+I1729*VLOOKUP(E1729,WEIGHTS!$A$2:$F$4,5,FALSE)+J1729*VLOOKUP(E1729,WEIGHTS!$A$2:$F$4,6,FALSE))</f>
        <v/>
      </c>
      <c r="N1729" s="2" t="str">
        <f t="shared" si="4"/>
        <v/>
      </c>
    </row>
    <row r="1730" ht="15.75" customHeight="1">
      <c r="A1730" s="3"/>
      <c r="B1730" s="2" t="str">
        <f t="shared" si="1"/>
        <v/>
      </c>
      <c r="E1730" s="2"/>
      <c r="F1730" s="2"/>
      <c r="G1730" s="2"/>
      <c r="H1730" s="2"/>
      <c r="I1730" s="2"/>
      <c r="J1730" s="2"/>
      <c r="K1730" s="2" t="str">
        <f t="shared" si="2"/>
        <v/>
      </c>
      <c r="L1730" s="2" t="str">
        <f t="shared" si="3"/>
        <v>No</v>
      </c>
      <c r="M1730" s="2" t="str">
        <f>IF(K1730="","",F1730*VLOOKUP(E1730,WEIGHTS!$A$2:$F$4,2,FALSE)+G1730*VLOOKUP(E1730,WEIGHTS!$A$2:$F$4,3,FALSE)+H1730*VLOOKUP(E1730,WEIGHTS!$A$2:$F$4,4,FALSE)+I1730*VLOOKUP(E1730,WEIGHTS!$A$2:$F$4,5,FALSE)+J1730*VLOOKUP(E1730,WEIGHTS!$A$2:$F$4,6,FALSE))</f>
        <v/>
      </c>
      <c r="N1730" s="2" t="str">
        <f t="shared" si="4"/>
        <v/>
      </c>
    </row>
    <row r="1731" ht="15.75" customHeight="1">
      <c r="A1731" s="3"/>
      <c r="B1731" s="2" t="str">
        <f t="shared" si="1"/>
        <v/>
      </c>
      <c r="E1731" s="2"/>
      <c r="F1731" s="2"/>
      <c r="G1731" s="2"/>
      <c r="H1731" s="2"/>
      <c r="I1731" s="2"/>
      <c r="J1731" s="2"/>
      <c r="K1731" s="2" t="str">
        <f t="shared" si="2"/>
        <v/>
      </c>
      <c r="L1731" s="2" t="str">
        <f t="shared" si="3"/>
        <v>No</v>
      </c>
      <c r="M1731" s="2" t="str">
        <f>IF(K1731="","",F1731*VLOOKUP(E1731,WEIGHTS!$A$2:$F$4,2,FALSE)+G1731*VLOOKUP(E1731,WEIGHTS!$A$2:$F$4,3,FALSE)+H1731*VLOOKUP(E1731,WEIGHTS!$A$2:$F$4,4,FALSE)+I1731*VLOOKUP(E1731,WEIGHTS!$A$2:$F$4,5,FALSE)+J1731*VLOOKUP(E1731,WEIGHTS!$A$2:$F$4,6,FALSE))</f>
        <v/>
      </c>
      <c r="N1731" s="2" t="str">
        <f t="shared" si="4"/>
        <v/>
      </c>
    </row>
    <row r="1732" ht="15.75" customHeight="1">
      <c r="A1732" s="3"/>
      <c r="B1732" s="2" t="str">
        <f t="shared" si="1"/>
        <v/>
      </c>
      <c r="E1732" s="2"/>
      <c r="F1732" s="2"/>
      <c r="G1732" s="2"/>
      <c r="H1732" s="2"/>
      <c r="I1732" s="2"/>
      <c r="J1732" s="2"/>
      <c r="K1732" s="2" t="str">
        <f t="shared" si="2"/>
        <v/>
      </c>
      <c r="L1732" s="2" t="str">
        <f t="shared" si="3"/>
        <v>No</v>
      </c>
      <c r="M1732" s="2" t="str">
        <f>IF(K1732="","",F1732*VLOOKUP(E1732,WEIGHTS!$A$2:$F$4,2,FALSE)+G1732*VLOOKUP(E1732,WEIGHTS!$A$2:$F$4,3,FALSE)+H1732*VLOOKUP(E1732,WEIGHTS!$A$2:$F$4,4,FALSE)+I1732*VLOOKUP(E1732,WEIGHTS!$A$2:$F$4,5,FALSE)+J1732*VLOOKUP(E1732,WEIGHTS!$A$2:$F$4,6,FALSE))</f>
        <v/>
      </c>
      <c r="N1732" s="2" t="str">
        <f t="shared" si="4"/>
        <v/>
      </c>
    </row>
    <row r="1733" ht="15.75" customHeight="1">
      <c r="A1733" s="3"/>
      <c r="B1733" s="2" t="str">
        <f t="shared" si="1"/>
        <v/>
      </c>
      <c r="E1733" s="2"/>
      <c r="F1733" s="2"/>
      <c r="G1733" s="2"/>
      <c r="H1733" s="2"/>
      <c r="I1733" s="2"/>
      <c r="J1733" s="2"/>
      <c r="K1733" s="2" t="str">
        <f t="shared" si="2"/>
        <v/>
      </c>
      <c r="L1733" s="2" t="str">
        <f t="shared" si="3"/>
        <v>No</v>
      </c>
      <c r="M1733" s="2" t="str">
        <f>IF(K1733="","",F1733*VLOOKUP(E1733,WEIGHTS!$A$2:$F$4,2,FALSE)+G1733*VLOOKUP(E1733,WEIGHTS!$A$2:$F$4,3,FALSE)+H1733*VLOOKUP(E1733,WEIGHTS!$A$2:$F$4,4,FALSE)+I1733*VLOOKUP(E1733,WEIGHTS!$A$2:$F$4,5,FALSE)+J1733*VLOOKUP(E1733,WEIGHTS!$A$2:$F$4,6,FALSE))</f>
        <v/>
      </c>
      <c r="N1733" s="2" t="str">
        <f t="shared" si="4"/>
        <v/>
      </c>
    </row>
    <row r="1734" ht="15.75" customHeight="1">
      <c r="A1734" s="3"/>
      <c r="B1734" s="2" t="str">
        <f t="shared" si="1"/>
        <v/>
      </c>
      <c r="E1734" s="2"/>
      <c r="F1734" s="2"/>
      <c r="G1734" s="2"/>
      <c r="H1734" s="2"/>
      <c r="I1734" s="2"/>
      <c r="J1734" s="2"/>
      <c r="K1734" s="2" t="str">
        <f t="shared" si="2"/>
        <v/>
      </c>
      <c r="L1734" s="2" t="str">
        <f t="shared" si="3"/>
        <v>No</v>
      </c>
      <c r="M1734" s="2" t="str">
        <f>IF(K1734="","",F1734*VLOOKUP(E1734,WEIGHTS!$A$2:$F$4,2,FALSE)+G1734*VLOOKUP(E1734,WEIGHTS!$A$2:$F$4,3,FALSE)+H1734*VLOOKUP(E1734,WEIGHTS!$A$2:$F$4,4,FALSE)+I1734*VLOOKUP(E1734,WEIGHTS!$A$2:$F$4,5,FALSE)+J1734*VLOOKUP(E1734,WEIGHTS!$A$2:$F$4,6,FALSE))</f>
        <v/>
      </c>
      <c r="N1734" s="2" t="str">
        <f t="shared" si="4"/>
        <v/>
      </c>
    </row>
    <row r="1735" ht="15.75" customHeight="1">
      <c r="A1735" s="3"/>
      <c r="B1735" s="2" t="str">
        <f t="shared" si="1"/>
        <v/>
      </c>
      <c r="E1735" s="2"/>
      <c r="F1735" s="2"/>
      <c r="G1735" s="2"/>
      <c r="H1735" s="2"/>
      <c r="I1735" s="2"/>
      <c r="J1735" s="2"/>
      <c r="K1735" s="2" t="str">
        <f t="shared" si="2"/>
        <v/>
      </c>
      <c r="L1735" s="2" t="str">
        <f t="shared" si="3"/>
        <v>No</v>
      </c>
      <c r="M1735" s="2" t="str">
        <f>IF(K1735="","",F1735*VLOOKUP(E1735,WEIGHTS!$A$2:$F$4,2,FALSE)+G1735*VLOOKUP(E1735,WEIGHTS!$A$2:$F$4,3,FALSE)+H1735*VLOOKUP(E1735,WEIGHTS!$A$2:$F$4,4,FALSE)+I1735*VLOOKUP(E1735,WEIGHTS!$A$2:$F$4,5,FALSE)+J1735*VLOOKUP(E1735,WEIGHTS!$A$2:$F$4,6,FALSE))</f>
        <v/>
      </c>
      <c r="N1735" s="2" t="str">
        <f t="shared" si="4"/>
        <v/>
      </c>
    </row>
    <row r="1736" ht="15.75" customHeight="1">
      <c r="A1736" s="3"/>
      <c r="B1736" s="2" t="str">
        <f t="shared" si="1"/>
        <v/>
      </c>
      <c r="E1736" s="2"/>
      <c r="F1736" s="2"/>
      <c r="G1736" s="2"/>
      <c r="H1736" s="2"/>
      <c r="I1736" s="2"/>
      <c r="J1736" s="2"/>
      <c r="K1736" s="2" t="str">
        <f t="shared" si="2"/>
        <v/>
      </c>
      <c r="L1736" s="2" t="str">
        <f t="shared" si="3"/>
        <v>No</v>
      </c>
      <c r="M1736" s="2" t="str">
        <f>IF(K1736="","",F1736*VLOOKUP(E1736,WEIGHTS!$A$2:$F$4,2,FALSE)+G1736*VLOOKUP(E1736,WEIGHTS!$A$2:$F$4,3,FALSE)+H1736*VLOOKUP(E1736,WEIGHTS!$A$2:$F$4,4,FALSE)+I1736*VLOOKUP(E1736,WEIGHTS!$A$2:$F$4,5,FALSE)+J1736*VLOOKUP(E1736,WEIGHTS!$A$2:$F$4,6,FALSE))</f>
        <v/>
      </c>
      <c r="N1736" s="2" t="str">
        <f t="shared" si="4"/>
        <v/>
      </c>
    </row>
    <row r="1737" ht="15.75" customHeight="1">
      <c r="A1737" s="3"/>
      <c r="B1737" s="2" t="str">
        <f t="shared" si="1"/>
        <v/>
      </c>
      <c r="E1737" s="2"/>
      <c r="F1737" s="2"/>
      <c r="G1737" s="2"/>
      <c r="H1737" s="2"/>
      <c r="I1737" s="2"/>
      <c r="J1737" s="2"/>
      <c r="K1737" s="2" t="str">
        <f t="shared" si="2"/>
        <v/>
      </c>
      <c r="L1737" s="2" t="str">
        <f t="shared" si="3"/>
        <v>No</v>
      </c>
      <c r="M1737" s="2" t="str">
        <f>IF(K1737="","",F1737*VLOOKUP(E1737,WEIGHTS!$A$2:$F$4,2,FALSE)+G1737*VLOOKUP(E1737,WEIGHTS!$A$2:$F$4,3,FALSE)+H1737*VLOOKUP(E1737,WEIGHTS!$A$2:$F$4,4,FALSE)+I1737*VLOOKUP(E1737,WEIGHTS!$A$2:$F$4,5,FALSE)+J1737*VLOOKUP(E1737,WEIGHTS!$A$2:$F$4,6,FALSE))</f>
        <v/>
      </c>
      <c r="N1737" s="2" t="str">
        <f t="shared" si="4"/>
        <v/>
      </c>
    </row>
    <row r="1738" ht="15.75" customHeight="1">
      <c r="A1738" s="3"/>
      <c r="B1738" s="2" t="str">
        <f t="shared" si="1"/>
        <v/>
      </c>
      <c r="E1738" s="2"/>
      <c r="F1738" s="2"/>
      <c r="G1738" s="2"/>
      <c r="H1738" s="2"/>
      <c r="I1738" s="2"/>
      <c r="J1738" s="2"/>
      <c r="K1738" s="2" t="str">
        <f t="shared" si="2"/>
        <v/>
      </c>
      <c r="L1738" s="2" t="str">
        <f t="shared" si="3"/>
        <v>No</v>
      </c>
      <c r="M1738" s="2" t="str">
        <f>IF(K1738="","",F1738*VLOOKUP(E1738,WEIGHTS!$A$2:$F$4,2,FALSE)+G1738*VLOOKUP(E1738,WEIGHTS!$A$2:$F$4,3,FALSE)+H1738*VLOOKUP(E1738,WEIGHTS!$A$2:$F$4,4,FALSE)+I1738*VLOOKUP(E1738,WEIGHTS!$A$2:$F$4,5,FALSE)+J1738*VLOOKUP(E1738,WEIGHTS!$A$2:$F$4,6,FALSE))</f>
        <v/>
      </c>
      <c r="N1738" s="2" t="str">
        <f t="shared" si="4"/>
        <v/>
      </c>
    </row>
    <row r="1739" ht="15.75" customHeight="1">
      <c r="A1739" s="3"/>
      <c r="B1739" s="2" t="str">
        <f t="shared" si="1"/>
        <v/>
      </c>
      <c r="E1739" s="2"/>
      <c r="F1739" s="2"/>
      <c r="G1739" s="2"/>
      <c r="H1739" s="2"/>
      <c r="I1739" s="2"/>
      <c r="J1739" s="2"/>
      <c r="K1739" s="2" t="str">
        <f t="shared" si="2"/>
        <v/>
      </c>
      <c r="L1739" s="2" t="str">
        <f t="shared" si="3"/>
        <v>No</v>
      </c>
      <c r="M1739" s="2" t="str">
        <f>IF(K1739="","",F1739*VLOOKUP(E1739,WEIGHTS!$A$2:$F$4,2,FALSE)+G1739*VLOOKUP(E1739,WEIGHTS!$A$2:$F$4,3,FALSE)+H1739*VLOOKUP(E1739,WEIGHTS!$A$2:$F$4,4,FALSE)+I1739*VLOOKUP(E1739,WEIGHTS!$A$2:$F$4,5,FALSE)+J1739*VLOOKUP(E1739,WEIGHTS!$A$2:$F$4,6,FALSE))</f>
        <v/>
      </c>
      <c r="N1739" s="2" t="str">
        <f t="shared" si="4"/>
        <v/>
      </c>
    </row>
    <row r="1740" ht="15.75" customHeight="1">
      <c r="A1740" s="3"/>
      <c r="B1740" s="2" t="str">
        <f t="shared" si="1"/>
        <v/>
      </c>
      <c r="E1740" s="2"/>
      <c r="F1740" s="2"/>
      <c r="G1740" s="2"/>
      <c r="H1740" s="2"/>
      <c r="I1740" s="2"/>
      <c r="J1740" s="2"/>
      <c r="K1740" s="2" t="str">
        <f t="shared" si="2"/>
        <v/>
      </c>
      <c r="L1740" s="2" t="str">
        <f t="shared" si="3"/>
        <v>No</v>
      </c>
      <c r="M1740" s="2" t="str">
        <f>IF(K1740="","",F1740*VLOOKUP(E1740,WEIGHTS!$A$2:$F$4,2,FALSE)+G1740*VLOOKUP(E1740,WEIGHTS!$A$2:$F$4,3,FALSE)+H1740*VLOOKUP(E1740,WEIGHTS!$A$2:$F$4,4,FALSE)+I1740*VLOOKUP(E1740,WEIGHTS!$A$2:$F$4,5,FALSE)+J1740*VLOOKUP(E1740,WEIGHTS!$A$2:$F$4,6,FALSE))</f>
        <v/>
      </c>
      <c r="N1740" s="2" t="str">
        <f t="shared" si="4"/>
        <v/>
      </c>
    </row>
    <row r="1741" ht="15.75" customHeight="1">
      <c r="A1741" s="3"/>
      <c r="B1741" s="2" t="str">
        <f t="shared" si="1"/>
        <v/>
      </c>
      <c r="E1741" s="2"/>
      <c r="F1741" s="2"/>
      <c r="G1741" s="2"/>
      <c r="H1741" s="2"/>
      <c r="I1741" s="2"/>
      <c r="J1741" s="2"/>
      <c r="K1741" s="2" t="str">
        <f t="shared" si="2"/>
        <v/>
      </c>
      <c r="L1741" s="2" t="str">
        <f t="shared" si="3"/>
        <v>No</v>
      </c>
      <c r="M1741" s="2" t="str">
        <f>IF(K1741="","",F1741*VLOOKUP(E1741,WEIGHTS!$A$2:$F$4,2,FALSE)+G1741*VLOOKUP(E1741,WEIGHTS!$A$2:$F$4,3,FALSE)+H1741*VLOOKUP(E1741,WEIGHTS!$A$2:$F$4,4,FALSE)+I1741*VLOOKUP(E1741,WEIGHTS!$A$2:$F$4,5,FALSE)+J1741*VLOOKUP(E1741,WEIGHTS!$A$2:$F$4,6,FALSE))</f>
        <v/>
      </c>
      <c r="N1741" s="2" t="str">
        <f t="shared" si="4"/>
        <v/>
      </c>
    </row>
    <row r="1742" ht="15.75" customHeight="1">
      <c r="A1742" s="3"/>
      <c r="B1742" s="2" t="str">
        <f t="shared" si="1"/>
        <v/>
      </c>
      <c r="E1742" s="2"/>
      <c r="F1742" s="2"/>
      <c r="G1742" s="2"/>
      <c r="H1742" s="2"/>
      <c r="I1742" s="2"/>
      <c r="J1742" s="2"/>
      <c r="K1742" s="2" t="str">
        <f t="shared" si="2"/>
        <v/>
      </c>
      <c r="L1742" s="2" t="str">
        <f t="shared" si="3"/>
        <v>No</v>
      </c>
      <c r="M1742" s="2" t="str">
        <f>IF(K1742="","",F1742*VLOOKUP(E1742,WEIGHTS!$A$2:$F$4,2,FALSE)+G1742*VLOOKUP(E1742,WEIGHTS!$A$2:$F$4,3,FALSE)+H1742*VLOOKUP(E1742,WEIGHTS!$A$2:$F$4,4,FALSE)+I1742*VLOOKUP(E1742,WEIGHTS!$A$2:$F$4,5,FALSE)+J1742*VLOOKUP(E1742,WEIGHTS!$A$2:$F$4,6,FALSE))</f>
        <v/>
      </c>
      <c r="N1742" s="2" t="str">
        <f t="shared" si="4"/>
        <v/>
      </c>
    </row>
    <row r="1743" ht="15.75" customHeight="1">
      <c r="A1743" s="3"/>
      <c r="B1743" s="2" t="str">
        <f t="shared" si="1"/>
        <v/>
      </c>
      <c r="E1743" s="2"/>
      <c r="F1743" s="2"/>
      <c r="G1743" s="2"/>
      <c r="H1743" s="2"/>
      <c r="I1743" s="2"/>
      <c r="J1743" s="2"/>
      <c r="K1743" s="2" t="str">
        <f t="shared" si="2"/>
        <v/>
      </c>
      <c r="L1743" s="2" t="str">
        <f t="shared" si="3"/>
        <v>No</v>
      </c>
      <c r="M1743" s="2" t="str">
        <f>IF(K1743="","",F1743*VLOOKUP(E1743,WEIGHTS!$A$2:$F$4,2,FALSE)+G1743*VLOOKUP(E1743,WEIGHTS!$A$2:$F$4,3,FALSE)+H1743*VLOOKUP(E1743,WEIGHTS!$A$2:$F$4,4,FALSE)+I1743*VLOOKUP(E1743,WEIGHTS!$A$2:$F$4,5,FALSE)+J1743*VLOOKUP(E1743,WEIGHTS!$A$2:$F$4,6,FALSE))</f>
        <v/>
      </c>
      <c r="N1743" s="2" t="str">
        <f t="shared" si="4"/>
        <v/>
      </c>
    </row>
    <row r="1744" ht="15.75" customHeight="1">
      <c r="A1744" s="3"/>
      <c r="B1744" s="2" t="str">
        <f t="shared" si="1"/>
        <v/>
      </c>
      <c r="E1744" s="2"/>
      <c r="F1744" s="2"/>
      <c r="G1744" s="2"/>
      <c r="H1744" s="2"/>
      <c r="I1744" s="2"/>
      <c r="J1744" s="2"/>
      <c r="K1744" s="2" t="str">
        <f t="shared" si="2"/>
        <v/>
      </c>
      <c r="L1744" s="2" t="str">
        <f t="shared" si="3"/>
        <v>No</v>
      </c>
      <c r="M1744" s="2" t="str">
        <f>IF(K1744="","",F1744*VLOOKUP(E1744,WEIGHTS!$A$2:$F$4,2,FALSE)+G1744*VLOOKUP(E1744,WEIGHTS!$A$2:$F$4,3,FALSE)+H1744*VLOOKUP(E1744,WEIGHTS!$A$2:$F$4,4,FALSE)+I1744*VLOOKUP(E1744,WEIGHTS!$A$2:$F$4,5,FALSE)+J1744*VLOOKUP(E1744,WEIGHTS!$A$2:$F$4,6,FALSE))</f>
        <v/>
      </c>
      <c r="N1744" s="2" t="str">
        <f t="shared" si="4"/>
        <v/>
      </c>
    </row>
    <row r="1745" ht="15.75" customHeight="1">
      <c r="A1745" s="3"/>
      <c r="B1745" s="2" t="str">
        <f t="shared" si="1"/>
        <v/>
      </c>
      <c r="E1745" s="2"/>
      <c r="F1745" s="2"/>
      <c r="G1745" s="2"/>
      <c r="H1745" s="2"/>
      <c r="I1745" s="2"/>
      <c r="J1745" s="2"/>
      <c r="K1745" s="2" t="str">
        <f t="shared" si="2"/>
        <v/>
      </c>
      <c r="L1745" s="2" t="str">
        <f t="shared" si="3"/>
        <v>No</v>
      </c>
      <c r="M1745" s="2" t="str">
        <f>IF(K1745="","",F1745*VLOOKUP(E1745,WEIGHTS!$A$2:$F$4,2,FALSE)+G1745*VLOOKUP(E1745,WEIGHTS!$A$2:$F$4,3,FALSE)+H1745*VLOOKUP(E1745,WEIGHTS!$A$2:$F$4,4,FALSE)+I1745*VLOOKUP(E1745,WEIGHTS!$A$2:$F$4,5,FALSE)+J1745*VLOOKUP(E1745,WEIGHTS!$A$2:$F$4,6,FALSE))</f>
        <v/>
      </c>
      <c r="N1745" s="2" t="str">
        <f t="shared" si="4"/>
        <v/>
      </c>
    </row>
    <row r="1746" ht="15.75" customHeight="1">
      <c r="A1746" s="3"/>
      <c r="B1746" s="2" t="str">
        <f t="shared" si="1"/>
        <v/>
      </c>
      <c r="E1746" s="2"/>
      <c r="F1746" s="2"/>
      <c r="G1746" s="2"/>
      <c r="H1746" s="2"/>
      <c r="I1746" s="2"/>
      <c r="J1746" s="2"/>
      <c r="K1746" s="2" t="str">
        <f t="shared" si="2"/>
        <v/>
      </c>
      <c r="L1746" s="2" t="str">
        <f t="shared" si="3"/>
        <v>No</v>
      </c>
      <c r="M1746" s="2" t="str">
        <f>IF(K1746="","",F1746*VLOOKUP(E1746,WEIGHTS!$A$2:$F$4,2,FALSE)+G1746*VLOOKUP(E1746,WEIGHTS!$A$2:$F$4,3,FALSE)+H1746*VLOOKUP(E1746,WEIGHTS!$A$2:$F$4,4,FALSE)+I1746*VLOOKUP(E1746,WEIGHTS!$A$2:$F$4,5,FALSE)+J1746*VLOOKUP(E1746,WEIGHTS!$A$2:$F$4,6,FALSE))</f>
        <v/>
      </c>
      <c r="N1746" s="2" t="str">
        <f t="shared" si="4"/>
        <v/>
      </c>
    </row>
    <row r="1747" ht="15.75" customHeight="1">
      <c r="A1747" s="3"/>
      <c r="B1747" s="2" t="str">
        <f t="shared" si="1"/>
        <v/>
      </c>
      <c r="E1747" s="2"/>
      <c r="F1747" s="2"/>
      <c r="G1747" s="2"/>
      <c r="H1747" s="2"/>
      <c r="I1747" s="2"/>
      <c r="J1747" s="2"/>
      <c r="K1747" s="2" t="str">
        <f t="shared" si="2"/>
        <v/>
      </c>
      <c r="L1747" s="2" t="str">
        <f t="shared" si="3"/>
        <v>No</v>
      </c>
      <c r="M1747" s="2" t="str">
        <f>IF(K1747="","",F1747*VLOOKUP(E1747,WEIGHTS!$A$2:$F$4,2,FALSE)+G1747*VLOOKUP(E1747,WEIGHTS!$A$2:$F$4,3,FALSE)+H1747*VLOOKUP(E1747,WEIGHTS!$A$2:$F$4,4,FALSE)+I1747*VLOOKUP(E1747,WEIGHTS!$A$2:$F$4,5,FALSE)+J1747*VLOOKUP(E1747,WEIGHTS!$A$2:$F$4,6,FALSE))</f>
        <v/>
      </c>
      <c r="N1747" s="2" t="str">
        <f t="shared" si="4"/>
        <v/>
      </c>
    </row>
    <row r="1748" ht="15.75" customHeight="1">
      <c r="A1748" s="3"/>
      <c r="B1748" s="2" t="str">
        <f t="shared" si="1"/>
        <v/>
      </c>
      <c r="E1748" s="2"/>
      <c r="F1748" s="2"/>
      <c r="G1748" s="2"/>
      <c r="H1748" s="2"/>
      <c r="I1748" s="2"/>
      <c r="J1748" s="2"/>
      <c r="K1748" s="2" t="str">
        <f t="shared" si="2"/>
        <v/>
      </c>
      <c r="L1748" s="2" t="str">
        <f t="shared" si="3"/>
        <v>No</v>
      </c>
      <c r="M1748" s="2" t="str">
        <f>IF(K1748="","",F1748*VLOOKUP(E1748,WEIGHTS!$A$2:$F$4,2,FALSE)+G1748*VLOOKUP(E1748,WEIGHTS!$A$2:$F$4,3,FALSE)+H1748*VLOOKUP(E1748,WEIGHTS!$A$2:$F$4,4,FALSE)+I1748*VLOOKUP(E1748,WEIGHTS!$A$2:$F$4,5,FALSE)+J1748*VLOOKUP(E1748,WEIGHTS!$A$2:$F$4,6,FALSE))</f>
        <v/>
      </c>
      <c r="N1748" s="2" t="str">
        <f t="shared" si="4"/>
        <v/>
      </c>
    </row>
    <row r="1749" ht="15.75" customHeight="1">
      <c r="A1749" s="3"/>
      <c r="B1749" s="2" t="str">
        <f t="shared" si="1"/>
        <v/>
      </c>
      <c r="E1749" s="2"/>
      <c r="F1749" s="2"/>
      <c r="G1749" s="2"/>
      <c r="H1749" s="2"/>
      <c r="I1749" s="2"/>
      <c r="J1749" s="2"/>
      <c r="K1749" s="2" t="str">
        <f t="shared" si="2"/>
        <v/>
      </c>
      <c r="L1749" s="2" t="str">
        <f t="shared" si="3"/>
        <v>No</v>
      </c>
      <c r="M1749" s="2" t="str">
        <f>IF(K1749="","",F1749*VLOOKUP(E1749,WEIGHTS!$A$2:$F$4,2,FALSE)+G1749*VLOOKUP(E1749,WEIGHTS!$A$2:$F$4,3,FALSE)+H1749*VLOOKUP(E1749,WEIGHTS!$A$2:$F$4,4,FALSE)+I1749*VLOOKUP(E1749,WEIGHTS!$A$2:$F$4,5,FALSE)+J1749*VLOOKUP(E1749,WEIGHTS!$A$2:$F$4,6,FALSE))</f>
        <v/>
      </c>
      <c r="N1749" s="2" t="str">
        <f t="shared" si="4"/>
        <v/>
      </c>
    </row>
    <row r="1750" ht="15.75" customHeight="1">
      <c r="A1750" s="3"/>
      <c r="B1750" s="2" t="str">
        <f t="shared" si="1"/>
        <v/>
      </c>
      <c r="E1750" s="2"/>
      <c r="F1750" s="2"/>
      <c r="G1750" s="2"/>
      <c r="H1750" s="2"/>
      <c r="I1750" s="2"/>
      <c r="J1750" s="2"/>
      <c r="K1750" s="2" t="str">
        <f t="shared" si="2"/>
        <v/>
      </c>
      <c r="L1750" s="2" t="str">
        <f t="shared" si="3"/>
        <v>No</v>
      </c>
      <c r="M1750" s="2" t="str">
        <f>IF(K1750="","",F1750*VLOOKUP(E1750,WEIGHTS!$A$2:$F$4,2,FALSE)+G1750*VLOOKUP(E1750,WEIGHTS!$A$2:$F$4,3,FALSE)+H1750*VLOOKUP(E1750,WEIGHTS!$A$2:$F$4,4,FALSE)+I1750*VLOOKUP(E1750,WEIGHTS!$A$2:$F$4,5,FALSE)+J1750*VLOOKUP(E1750,WEIGHTS!$A$2:$F$4,6,FALSE))</f>
        <v/>
      </c>
      <c r="N1750" s="2" t="str">
        <f t="shared" si="4"/>
        <v/>
      </c>
    </row>
    <row r="1751" ht="15.75" customHeight="1">
      <c r="A1751" s="3"/>
      <c r="B1751" s="2" t="str">
        <f t="shared" si="1"/>
        <v/>
      </c>
      <c r="E1751" s="2"/>
      <c r="F1751" s="2"/>
      <c r="G1751" s="2"/>
      <c r="H1751" s="2"/>
      <c r="I1751" s="2"/>
      <c r="J1751" s="2"/>
      <c r="K1751" s="2" t="str">
        <f t="shared" si="2"/>
        <v/>
      </c>
      <c r="L1751" s="2" t="str">
        <f t="shared" si="3"/>
        <v>No</v>
      </c>
      <c r="M1751" s="2" t="str">
        <f>IF(K1751="","",F1751*VLOOKUP(E1751,WEIGHTS!$A$2:$F$4,2,FALSE)+G1751*VLOOKUP(E1751,WEIGHTS!$A$2:$F$4,3,FALSE)+H1751*VLOOKUP(E1751,WEIGHTS!$A$2:$F$4,4,FALSE)+I1751*VLOOKUP(E1751,WEIGHTS!$A$2:$F$4,5,FALSE)+J1751*VLOOKUP(E1751,WEIGHTS!$A$2:$F$4,6,FALSE))</f>
        <v/>
      </c>
      <c r="N1751" s="2" t="str">
        <f t="shared" si="4"/>
        <v/>
      </c>
    </row>
    <row r="1752" ht="15.75" customHeight="1">
      <c r="A1752" s="3"/>
      <c r="B1752" s="2" t="str">
        <f t="shared" si="1"/>
        <v/>
      </c>
      <c r="E1752" s="2"/>
      <c r="F1752" s="2"/>
      <c r="G1752" s="2"/>
      <c r="H1752" s="2"/>
      <c r="I1752" s="2"/>
      <c r="J1752" s="2"/>
      <c r="K1752" s="2" t="str">
        <f t="shared" si="2"/>
        <v/>
      </c>
      <c r="L1752" s="2" t="str">
        <f t="shared" si="3"/>
        <v>No</v>
      </c>
      <c r="M1752" s="2" t="str">
        <f>IF(K1752="","",F1752*VLOOKUP(E1752,WEIGHTS!$A$2:$F$4,2,FALSE)+G1752*VLOOKUP(E1752,WEIGHTS!$A$2:$F$4,3,FALSE)+H1752*VLOOKUP(E1752,WEIGHTS!$A$2:$F$4,4,FALSE)+I1752*VLOOKUP(E1752,WEIGHTS!$A$2:$F$4,5,FALSE)+J1752*VLOOKUP(E1752,WEIGHTS!$A$2:$F$4,6,FALSE))</f>
        <v/>
      </c>
      <c r="N1752" s="2" t="str">
        <f t="shared" si="4"/>
        <v/>
      </c>
    </row>
    <row r="1753" ht="15.75" customHeight="1">
      <c r="A1753" s="3"/>
      <c r="B1753" s="2" t="str">
        <f t="shared" si="1"/>
        <v/>
      </c>
      <c r="E1753" s="2"/>
      <c r="F1753" s="2"/>
      <c r="G1753" s="2"/>
      <c r="H1753" s="2"/>
      <c r="I1753" s="2"/>
      <c r="J1753" s="2"/>
      <c r="K1753" s="2" t="str">
        <f t="shared" si="2"/>
        <v/>
      </c>
      <c r="L1753" s="2" t="str">
        <f t="shared" si="3"/>
        <v>No</v>
      </c>
      <c r="M1753" s="2" t="str">
        <f>IF(K1753="","",F1753*VLOOKUP(E1753,WEIGHTS!$A$2:$F$4,2,FALSE)+G1753*VLOOKUP(E1753,WEIGHTS!$A$2:$F$4,3,FALSE)+H1753*VLOOKUP(E1753,WEIGHTS!$A$2:$F$4,4,FALSE)+I1753*VLOOKUP(E1753,WEIGHTS!$A$2:$F$4,5,FALSE)+J1753*VLOOKUP(E1753,WEIGHTS!$A$2:$F$4,6,FALSE))</f>
        <v/>
      </c>
      <c r="N1753" s="2" t="str">
        <f t="shared" si="4"/>
        <v/>
      </c>
    </row>
    <row r="1754" ht="15.75" customHeight="1">
      <c r="A1754" s="3"/>
      <c r="B1754" s="2" t="str">
        <f t="shared" si="1"/>
        <v/>
      </c>
      <c r="E1754" s="2"/>
      <c r="F1754" s="2"/>
      <c r="G1754" s="2"/>
      <c r="H1754" s="2"/>
      <c r="I1754" s="2"/>
      <c r="J1754" s="2"/>
      <c r="K1754" s="2" t="str">
        <f t="shared" si="2"/>
        <v/>
      </c>
      <c r="L1754" s="2" t="str">
        <f t="shared" si="3"/>
        <v>No</v>
      </c>
      <c r="M1754" s="2" t="str">
        <f>IF(K1754="","",F1754*VLOOKUP(E1754,WEIGHTS!$A$2:$F$4,2,FALSE)+G1754*VLOOKUP(E1754,WEIGHTS!$A$2:$F$4,3,FALSE)+H1754*VLOOKUP(E1754,WEIGHTS!$A$2:$F$4,4,FALSE)+I1754*VLOOKUP(E1754,WEIGHTS!$A$2:$F$4,5,FALSE)+J1754*VLOOKUP(E1754,WEIGHTS!$A$2:$F$4,6,FALSE))</f>
        <v/>
      </c>
      <c r="N1754" s="2" t="str">
        <f t="shared" si="4"/>
        <v/>
      </c>
    </row>
    <row r="1755" ht="15.75" customHeight="1">
      <c r="A1755" s="3"/>
      <c r="B1755" s="2" t="str">
        <f t="shared" si="1"/>
        <v/>
      </c>
      <c r="E1755" s="2"/>
      <c r="F1755" s="2"/>
      <c r="G1755" s="2"/>
      <c r="H1755" s="2"/>
      <c r="I1755" s="2"/>
      <c r="J1755" s="2"/>
      <c r="K1755" s="2" t="str">
        <f t="shared" si="2"/>
        <v/>
      </c>
      <c r="L1755" s="2" t="str">
        <f t="shared" si="3"/>
        <v>No</v>
      </c>
      <c r="M1755" s="2" t="str">
        <f>IF(K1755="","",F1755*VLOOKUP(E1755,WEIGHTS!$A$2:$F$4,2,FALSE)+G1755*VLOOKUP(E1755,WEIGHTS!$A$2:$F$4,3,FALSE)+H1755*VLOOKUP(E1755,WEIGHTS!$A$2:$F$4,4,FALSE)+I1755*VLOOKUP(E1755,WEIGHTS!$A$2:$F$4,5,FALSE)+J1755*VLOOKUP(E1755,WEIGHTS!$A$2:$F$4,6,FALSE))</f>
        <v/>
      </c>
      <c r="N1755" s="2" t="str">
        <f t="shared" si="4"/>
        <v/>
      </c>
    </row>
    <row r="1756" ht="15.75" customHeight="1">
      <c r="A1756" s="3"/>
      <c r="B1756" s="2" t="str">
        <f t="shared" si="1"/>
        <v/>
      </c>
      <c r="E1756" s="2"/>
      <c r="F1756" s="2"/>
      <c r="G1756" s="2"/>
      <c r="H1756" s="2"/>
      <c r="I1756" s="2"/>
      <c r="J1756" s="2"/>
      <c r="K1756" s="2" t="str">
        <f t="shared" si="2"/>
        <v/>
      </c>
      <c r="L1756" s="2" t="str">
        <f t="shared" si="3"/>
        <v>No</v>
      </c>
      <c r="M1756" s="2" t="str">
        <f>IF(K1756="","",F1756*VLOOKUP(E1756,WEIGHTS!$A$2:$F$4,2,FALSE)+G1756*VLOOKUP(E1756,WEIGHTS!$A$2:$F$4,3,FALSE)+H1756*VLOOKUP(E1756,WEIGHTS!$A$2:$F$4,4,FALSE)+I1756*VLOOKUP(E1756,WEIGHTS!$A$2:$F$4,5,FALSE)+J1756*VLOOKUP(E1756,WEIGHTS!$A$2:$F$4,6,FALSE))</f>
        <v/>
      </c>
      <c r="N1756" s="2" t="str">
        <f t="shared" si="4"/>
        <v/>
      </c>
    </row>
    <row r="1757" ht="15.75" customHeight="1">
      <c r="A1757" s="3"/>
      <c r="B1757" s="2" t="str">
        <f t="shared" si="1"/>
        <v/>
      </c>
      <c r="E1757" s="2"/>
      <c r="F1757" s="2"/>
      <c r="G1757" s="2"/>
      <c r="H1757" s="2"/>
      <c r="I1757" s="2"/>
      <c r="J1757" s="2"/>
      <c r="K1757" s="2" t="str">
        <f t="shared" si="2"/>
        <v/>
      </c>
      <c r="L1757" s="2" t="str">
        <f t="shared" si="3"/>
        <v>No</v>
      </c>
      <c r="M1757" s="2" t="str">
        <f>IF(K1757="","",F1757*VLOOKUP(E1757,WEIGHTS!$A$2:$F$4,2,FALSE)+G1757*VLOOKUP(E1757,WEIGHTS!$A$2:$F$4,3,FALSE)+H1757*VLOOKUP(E1757,WEIGHTS!$A$2:$F$4,4,FALSE)+I1757*VLOOKUP(E1757,WEIGHTS!$A$2:$F$4,5,FALSE)+J1757*VLOOKUP(E1757,WEIGHTS!$A$2:$F$4,6,FALSE))</f>
        <v/>
      </c>
      <c r="N1757" s="2" t="str">
        <f t="shared" si="4"/>
        <v/>
      </c>
    </row>
    <row r="1758" ht="15.75" customHeight="1">
      <c r="A1758" s="3"/>
      <c r="B1758" s="2" t="str">
        <f t="shared" si="1"/>
        <v/>
      </c>
      <c r="E1758" s="2"/>
      <c r="F1758" s="2"/>
      <c r="G1758" s="2"/>
      <c r="H1758" s="2"/>
      <c r="I1758" s="2"/>
      <c r="J1758" s="2"/>
      <c r="K1758" s="2" t="str">
        <f t="shared" si="2"/>
        <v/>
      </c>
      <c r="L1758" s="2" t="str">
        <f t="shared" si="3"/>
        <v>No</v>
      </c>
      <c r="M1758" s="2" t="str">
        <f>IF(K1758="","",F1758*VLOOKUP(E1758,WEIGHTS!$A$2:$F$4,2,FALSE)+G1758*VLOOKUP(E1758,WEIGHTS!$A$2:$F$4,3,FALSE)+H1758*VLOOKUP(E1758,WEIGHTS!$A$2:$F$4,4,FALSE)+I1758*VLOOKUP(E1758,WEIGHTS!$A$2:$F$4,5,FALSE)+J1758*VLOOKUP(E1758,WEIGHTS!$A$2:$F$4,6,FALSE))</f>
        <v/>
      </c>
      <c r="N1758" s="2" t="str">
        <f t="shared" si="4"/>
        <v/>
      </c>
    </row>
    <row r="1759" ht="15.75" customHeight="1">
      <c r="A1759" s="3"/>
      <c r="B1759" s="2" t="str">
        <f t="shared" si="1"/>
        <v/>
      </c>
      <c r="E1759" s="2"/>
      <c r="F1759" s="2"/>
      <c r="G1759" s="2"/>
      <c r="H1759" s="2"/>
      <c r="I1759" s="2"/>
      <c r="J1759" s="2"/>
      <c r="K1759" s="2" t="str">
        <f t="shared" si="2"/>
        <v/>
      </c>
      <c r="L1759" s="2" t="str">
        <f t="shared" si="3"/>
        <v>No</v>
      </c>
      <c r="M1759" s="2" t="str">
        <f>IF(K1759="","",F1759*VLOOKUP(E1759,WEIGHTS!$A$2:$F$4,2,FALSE)+G1759*VLOOKUP(E1759,WEIGHTS!$A$2:$F$4,3,FALSE)+H1759*VLOOKUP(E1759,WEIGHTS!$A$2:$F$4,4,FALSE)+I1759*VLOOKUP(E1759,WEIGHTS!$A$2:$F$4,5,FALSE)+J1759*VLOOKUP(E1759,WEIGHTS!$A$2:$F$4,6,FALSE))</f>
        <v/>
      </c>
      <c r="N1759" s="2" t="str">
        <f t="shared" si="4"/>
        <v/>
      </c>
    </row>
    <row r="1760" ht="15.75" customHeight="1">
      <c r="A1760" s="3"/>
      <c r="B1760" s="2" t="str">
        <f t="shared" si="1"/>
        <v/>
      </c>
      <c r="E1760" s="2"/>
      <c r="F1760" s="2"/>
      <c r="G1760" s="2"/>
      <c r="H1760" s="2"/>
      <c r="I1760" s="2"/>
      <c r="J1760" s="2"/>
      <c r="K1760" s="2" t="str">
        <f t="shared" si="2"/>
        <v/>
      </c>
      <c r="L1760" s="2" t="str">
        <f t="shared" si="3"/>
        <v>No</v>
      </c>
      <c r="M1760" s="2" t="str">
        <f>IF(K1760="","",F1760*VLOOKUP(E1760,WEIGHTS!$A$2:$F$4,2,FALSE)+G1760*VLOOKUP(E1760,WEIGHTS!$A$2:$F$4,3,FALSE)+H1760*VLOOKUP(E1760,WEIGHTS!$A$2:$F$4,4,FALSE)+I1760*VLOOKUP(E1760,WEIGHTS!$A$2:$F$4,5,FALSE)+J1760*VLOOKUP(E1760,WEIGHTS!$A$2:$F$4,6,FALSE))</f>
        <v/>
      </c>
      <c r="N1760" s="2" t="str">
        <f t="shared" si="4"/>
        <v/>
      </c>
    </row>
    <row r="1761" ht="15.75" customHeight="1">
      <c r="A1761" s="3"/>
      <c r="B1761" s="2" t="str">
        <f t="shared" si="1"/>
        <v/>
      </c>
      <c r="E1761" s="2"/>
      <c r="F1761" s="2"/>
      <c r="G1761" s="2"/>
      <c r="H1761" s="2"/>
      <c r="I1761" s="2"/>
      <c r="J1761" s="2"/>
      <c r="K1761" s="2" t="str">
        <f t="shared" si="2"/>
        <v/>
      </c>
      <c r="L1761" s="2" t="str">
        <f t="shared" si="3"/>
        <v>No</v>
      </c>
      <c r="M1761" s="2" t="str">
        <f>IF(K1761="","",F1761*VLOOKUP(E1761,WEIGHTS!$A$2:$F$4,2,FALSE)+G1761*VLOOKUP(E1761,WEIGHTS!$A$2:$F$4,3,FALSE)+H1761*VLOOKUP(E1761,WEIGHTS!$A$2:$F$4,4,FALSE)+I1761*VLOOKUP(E1761,WEIGHTS!$A$2:$F$4,5,FALSE)+J1761*VLOOKUP(E1761,WEIGHTS!$A$2:$F$4,6,FALSE))</f>
        <v/>
      </c>
      <c r="N1761" s="2" t="str">
        <f t="shared" si="4"/>
        <v/>
      </c>
    </row>
    <row r="1762" ht="15.75" customHeight="1">
      <c r="A1762" s="3"/>
      <c r="B1762" s="2" t="str">
        <f t="shared" si="1"/>
        <v/>
      </c>
      <c r="E1762" s="2"/>
      <c r="F1762" s="2"/>
      <c r="G1762" s="2"/>
      <c r="H1762" s="2"/>
      <c r="I1762" s="2"/>
      <c r="J1762" s="2"/>
      <c r="K1762" s="2" t="str">
        <f t="shared" si="2"/>
        <v/>
      </c>
      <c r="L1762" s="2" t="str">
        <f t="shared" si="3"/>
        <v>No</v>
      </c>
      <c r="M1762" s="2" t="str">
        <f>IF(K1762="","",F1762*VLOOKUP(E1762,WEIGHTS!$A$2:$F$4,2,FALSE)+G1762*VLOOKUP(E1762,WEIGHTS!$A$2:$F$4,3,FALSE)+H1762*VLOOKUP(E1762,WEIGHTS!$A$2:$F$4,4,FALSE)+I1762*VLOOKUP(E1762,WEIGHTS!$A$2:$F$4,5,FALSE)+J1762*VLOOKUP(E1762,WEIGHTS!$A$2:$F$4,6,FALSE))</f>
        <v/>
      </c>
      <c r="N1762" s="2" t="str">
        <f t="shared" si="4"/>
        <v/>
      </c>
    </row>
    <row r="1763" ht="15.75" customHeight="1">
      <c r="A1763" s="3"/>
      <c r="B1763" s="2" t="str">
        <f t="shared" si="1"/>
        <v/>
      </c>
      <c r="E1763" s="2"/>
      <c r="F1763" s="2"/>
      <c r="G1763" s="2"/>
      <c r="H1763" s="2"/>
      <c r="I1763" s="2"/>
      <c r="J1763" s="2"/>
      <c r="K1763" s="2" t="str">
        <f t="shared" si="2"/>
        <v/>
      </c>
      <c r="L1763" s="2" t="str">
        <f t="shared" si="3"/>
        <v>No</v>
      </c>
      <c r="M1763" s="2" t="str">
        <f>IF(K1763="","",F1763*VLOOKUP(E1763,WEIGHTS!$A$2:$F$4,2,FALSE)+G1763*VLOOKUP(E1763,WEIGHTS!$A$2:$F$4,3,FALSE)+H1763*VLOOKUP(E1763,WEIGHTS!$A$2:$F$4,4,FALSE)+I1763*VLOOKUP(E1763,WEIGHTS!$A$2:$F$4,5,FALSE)+J1763*VLOOKUP(E1763,WEIGHTS!$A$2:$F$4,6,FALSE))</f>
        <v/>
      </c>
      <c r="N1763" s="2" t="str">
        <f t="shared" si="4"/>
        <v/>
      </c>
    </row>
    <row r="1764" ht="15.75" customHeight="1">
      <c r="A1764" s="3"/>
      <c r="B1764" s="2" t="str">
        <f t="shared" si="1"/>
        <v/>
      </c>
      <c r="E1764" s="2"/>
      <c r="F1764" s="2"/>
      <c r="G1764" s="2"/>
      <c r="H1764" s="2"/>
      <c r="I1764" s="2"/>
      <c r="J1764" s="2"/>
      <c r="K1764" s="2" t="str">
        <f t="shared" si="2"/>
        <v/>
      </c>
      <c r="L1764" s="2" t="str">
        <f t="shared" si="3"/>
        <v>No</v>
      </c>
      <c r="M1764" s="2" t="str">
        <f>IF(K1764="","",F1764*VLOOKUP(E1764,WEIGHTS!$A$2:$F$4,2,FALSE)+G1764*VLOOKUP(E1764,WEIGHTS!$A$2:$F$4,3,FALSE)+H1764*VLOOKUP(E1764,WEIGHTS!$A$2:$F$4,4,FALSE)+I1764*VLOOKUP(E1764,WEIGHTS!$A$2:$F$4,5,FALSE)+J1764*VLOOKUP(E1764,WEIGHTS!$A$2:$F$4,6,FALSE))</f>
        <v/>
      </c>
      <c r="N1764" s="2" t="str">
        <f t="shared" si="4"/>
        <v/>
      </c>
    </row>
    <row r="1765" ht="15.75" customHeight="1">
      <c r="A1765" s="3"/>
      <c r="B1765" s="2" t="str">
        <f t="shared" si="1"/>
        <v/>
      </c>
      <c r="E1765" s="2"/>
      <c r="F1765" s="2"/>
      <c r="G1765" s="2"/>
      <c r="H1765" s="2"/>
      <c r="I1765" s="2"/>
      <c r="J1765" s="2"/>
      <c r="K1765" s="2" t="str">
        <f t="shared" si="2"/>
        <v/>
      </c>
      <c r="L1765" s="2" t="str">
        <f t="shared" si="3"/>
        <v>No</v>
      </c>
      <c r="M1765" s="2" t="str">
        <f>IF(K1765="","",F1765*VLOOKUP(E1765,WEIGHTS!$A$2:$F$4,2,FALSE)+G1765*VLOOKUP(E1765,WEIGHTS!$A$2:$F$4,3,FALSE)+H1765*VLOOKUP(E1765,WEIGHTS!$A$2:$F$4,4,FALSE)+I1765*VLOOKUP(E1765,WEIGHTS!$A$2:$F$4,5,FALSE)+J1765*VLOOKUP(E1765,WEIGHTS!$A$2:$F$4,6,FALSE))</f>
        <v/>
      </c>
      <c r="N1765" s="2" t="str">
        <f t="shared" si="4"/>
        <v/>
      </c>
    </row>
    <row r="1766" ht="15.75" customHeight="1">
      <c r="A1766" s="3"/>
      <c r="B1766" s="2" t="str">
        <f t="shared" si="1"/>
        <v/>
      </c>
      <c r="E1766" s="2"/>
      <c r="F1766" s="2"/>
      <c r="G1766" s="2"/>
      <c r="H1766" s="2"/>
      <c r="I1766" s="2"/>
      <c r="J1766" s="2"/>
      <c r="K1766" s="2" t="str">
        <f t="shared" si="2"/>
        <v/>
      </c>
      <c r="L1766" s="2" t="str">
        <f t="shared" si="3"/>
        <v>No</v>
      </c>
      <c r="M1766" s="2" t="str">
        <f>IF(K1766="","",F1766*VLOOKUP(E1766,WEIGHTS!$A$2:$F$4,2,FALSE)+G1766*VLOOKUP(E1766,WEIGHTS!$A$2:$F$4,3,FALSE)+H1766*VLOOKUP(E1766,WEIGHTS!$A$2:$F$4,4,FALSE)+I1766*VLOOKUP(E1766,WEIGHTS!$A$2:$F$4,5,FALSE)+J1766*VLOOKUP(E1766,WEIGHTS!$A$2:$F$4,6,FALSE))</f>
        <v/>
      </c>
      <c r="N1766" s="2" t="str">
        <f t="shared" si="4"/>
        <v/>
      </c>
    </row>
    <row r="1767" ht="15.75" customHeight="1">
      <c r="A1767" s="3"/>
      <c r="B1767" s="2" t="str">
        <f t="shared" si="1"/>
        <v/>
      </c>
      <c r="E1767" s="2"/>
      <c r="F1767" s="2"/>
      <c r="G1767" s="2"/>
      <c r="H1767" s="2"/>
      <c r="I1767" s="2"/>
      <c r="J1767" s="2"/>
      <c r="K1767" s="2" t="str">
        <f t="shared" si="2"/>
        <v/>
      </c>
      <c r="L1767" s="2" t="str">
        <f t="shared" si="3"/>
        <v>No</v>
      </c>
      <c r="M1767" s="2" t="str">
        <f>IF(K1767="","",F1767*VLOOKUP(E1767,WEIGHTS!$A$2:$F$4,2,FALSE)+G1767*VLOOKUP(E1767,WEIGHTS!$A$2:$F$4,3,FALSE)+H1767*VLOOKUP(E1767,WEIGHTS!$A$2:$F$4,4,FALSE)+I1767*VLOOKUP(E1767,WEIGHTS!$A$2:$F$4,5,FALSE)+J1767*VLOOKUP(E1767,WEIGHTS!$A$2:$F$4,6,FALSE))</f>
        <v/>
      </c>
      <c r="N1767" s="2" t="str">
        <f t="shared" si="4"/>
        <v/>
      </c>
    </row>
    <row r="1768" ht="15.75" customHeight="1">
      <c r="A1768" s="3"/>
      <c r="B1768" s="2" t="str">
        <f t="shared" si="1"/>
        <v/>
      </c>
      <c r="E1768" s="2"/>
      <c r="F1768" s="2"/>
      <c r="G1768" s="2"/>
      <c r="H1768" s="2"/>
      <c r="I1768" s="2"/>
      <c r="J1768" s="2"/>
      <c r="K1768" s="2" t="str">
        <f t="shared" si="2"/>
        <v/>
      </c>
      <c r="L1768" s="2" t="str">
        <f t="shared" si="3"/>
        <v>No</v>
      </c>
      <c r="M1768" s="2" t="str">
        <f>IF(K1768="","",F1768*VLOOKUP(E1768,WEIGHTS!$A$2:$F$4,2,FALSE)+G1768*VLOOKUP(E1768,WEIGHTS!$A$2:$F$4,3,FALSE)+H1768*VLOOKUP(E1768,WEIGHTS!$A$2:$F$4,4,FALSE)+I1768*VLOOKUP(E1768,WEIGHTS!$A$2:$F$4,5,FALSE)+J1768*VLOOKUP(E1768,WEIGHTS!$A$2:$F$4,6,FALSE))</f>
        <v/>
      </c>
      <c r="N1768" s="2" t="str">
        <f t="shared" si="4"/>
        <v/>
      </c>
    </row>
    <row r="1769" ht="15.75" customHeight="1">
      <c r="A1769" s="3"/>
      <c r="B1769" s="2" t="str">
        <f t="shared" si="1"/>
        <v/>
      </c>
      <c r="E1769" s="2"/>
      <c r="F1769" s="2"/>
      <c r="G1769" s="2"/>
      <c r="H1769" s="2"/>
      <c r="I1769" s="2"/>
      <c r="J1769" s="2"/>
      <c r="K1769" s="2" t="str">
        <f t="shared" si="2"/>
        <v/>
      </c>
      <c r="L1769" s="2" t="str">
        <f t="shared" si="3"/>
        <v>No</v>
      </c>
      <c r="M1769" s="2" t="str">
        <f>IF(K1769="","",F1769*VLOOKUP(E1769,WEIGHTS!$A$2:$F$4,2,FALSE)+G1769*VLOOKUP(E1769,WEIGHTS!$A$2:$F$4,3,FALSE)+H1769*VLOOKUP(E1769,WEIGHTS!$A$2:$F$4,4,FALSE)+I1769*VLOOKUP(E1769,WEIGHTS!$A$2:$F$4,5,FALSE)+J1769*VLOOKUP(E1769,WEIGHTS!$A$2:$F$4,6,FALSE))</f>
        <v/>
      </c>
      <c r="N1769" s="2" t="str">
        <f t="shared" si="4"/>
        <v/>
      </c>
    </row>
    <row r="1770" ht="15.75" customHeight="1">
      <c r="A1770" s="3"/>
      <c r="B1770" s="2" t="str">
        <f t="shared" si="1"/>
        <v/>
      </c>
      <c r="E1770" s="2"/>
      <c r="F1770" s="2"/>
      <c r="G1770" s="2"/>
      <c r="H1770" s="2"/>
      <c r="I1770" s="2"/>
      <c r="J1770" s="2"/>
      <c r="K1770" s="2" t="str">
        <f t="shared" si="2"/>
        <v/>
      </c>
      <c r="L1770" s="2" t="str">
        <f t="shared" si="3"/>
        <v>No</v>
      </c>
      <c r="M1770" s="2" t="str">
        <f>IF(K1770="","",F1770*VLOOKUP(E1770,WEIGHTS!$A$2:$F$4,2,FALSE)+G1770*VLOOKUP(E1770,WEIGHTS!$A$2:$F$4,3,FALSE)+H1770*VLOOKUP(E1770,WEIGHTS!$A$2:$F$4,4,FALSE)+I1770*VLOOKUP(E1770,WEIGHTS!$A$2:$F$4,5,FALSE)+J1770*VLOOKUP(E1770,WEIGHTS!$A$2:$F$4,6,FALSE))</f>
        <v/>
      </c>
      <c r="N1770" s="2" t="str">
        <f t="shared" si="4"/>
        <v/>
      </c>
    </row>
    <row r="1771" ht="15.75" customHeight="1">
      <c r="A1771" s="3"/>
      <c r="B1771" s="2" t="str">
        <f t="shared" si="1"/>
        <v/>
      </c>
      <c r="E1771" s="2"/>
      <c r="F1771" s="2"/>
      <c r="G1771" s="2"/>
      <c r="H1771" s="2"/>
      <c r="I1771" s="2"/>
      <c r="J1771" s="2"/>
      <c r="K1771" s="2" t="str">
        <f t="shared" si="2"/>
        <v/>
      </c>
      <c r="L1771" s="2" t="str">
        <f t="shared" si="3"/>
        <v>No</v>
      </c>
      <c r="M1771" s="2" t="str">
        <f>IF(K1771="","",F1771*VLOOKUP(E1771,WEIGHTS!$A$2:$F$4,2,FALSE)+G1771*VLOOKUP(E1771,WEIGHTS!$A$2:$F$4,3,FALSE)+H1771*VLOOKUP(E1771,WEIGHTS!$A$2:$F$4,4,FALSE)+I1771*VLOOKUP(E1771,WEIGHTS!$A$2:$F$4,5,FALSE)+J1771*VLOOKUP(E1771,WEIGHTS!$A$2:$F$4,6,FALSE))</f>
        <v/>
      </c>
      <c r="N1771" s="2" t="str">
        <f t="shared" si="4"/>
        <v/>
      </c>
    </row>
    <row r="1772" ht="15.75" customHeight="1">
      <c r="A1772" s="3"/>
      <c r="B1772" s="2" t="str">
        <f t="shared" si="1"/>
        <v/>
      </c>
      <c r="E1772" s="2"/>
      <c r="F1772" s="2"/>
      <c r="G1772" s="2"/>
      <c r="H1772" s="2"/>
      <c r="I1772" s="2"/>
      <c r="J1772" s="2"/>
      <c r="K1772" s="2" t="str">
        <f t="shared" si="2"/>
        <v/>
      </c>
      <c r="L1772" s="2" t="str">
        <f t="shared" si="3"/>
        <v>No</v>
      </c>
      <c r="M1772" s="2" t="str">
        <f>IF(K1772="","",F1772*VLOOKUP(E1772,WEIGHTS!$A$2:$F$4,2,FALSE)+G1772*VLOOKUP(E1772,WEIGHTS!$A$2:$F$4,3,FALSE)+H1772*VLOOKUP(E1772,WEIGHTS!$A$2:$F$4,4,FALSE)+I1772*VLOOKUP(E1772,WEIGHTS!$A$2:$F$4,5,FALSE)+J1772*VLOOKUP(E1772,WEIGHTS!$A$2:$F$4,6,FALSE))</f>
        <v/>
      </c>
      <c r="N1772" s="2" t="str">
        <f t="shared" si="4"/>
        <v/>
      </c>
    </row>
    <row r="1773" ht="15.75" customHeight="1">
      <c r="A1773" s="3"/>
      <c r="B1773" s="2" t="str">
        <f t="shared" si="1"/>
        <v/>
      </c>
      <c r="E1773" s="2"/>
      <c r="F1773" s="2"/>
      <c r="G1773" s="2"/>
      <c r="H1773" s="2"/>
      <c r="I1773" s="2"/>
      <c r="J1773" s="2"/>
      <c r="K1773" s="2" t="str">
        <f t="shared" si="2"/>
        <v/>
      </c>
      <c r="L1773" s="2" t="str">
        <f t="shared" si="3"/>
        <v>No</v>
      </c>
      <c r="M1773" s="2" t="str">
        <f>IF(K1773="","",F1773*VLOOKUP(E1773,WEIGHTS!$A$2:$F$4,2,FALSE)+G1773*VLOOKUP(E1773,WEIGHTS!$A$2:$F$4,3,FALSE)+H1773*VLOOKUP(E1773,WEIGHTS!$A$2:$F$4,4,FALSE)+I1773*VLOOKUP(E1773,WEIGHTS!$A$2:$F$4,5,FALSE)+J1773*VLOOKUP(E1773,WEIGHTS!$A$2:$F$4,6,FALSE))</f>
        <v/>
      </c>
      <c r="N1773" s="2" t="str">
        <f t="shared" si="4"/>
        <v/>
      </c>
    </row>
    <row r="1774" ht="15.75" customHeight="1">
      <c r="A1774" s="3"/>
      <c r="B1774" s="2" t="str">
        <f t="shared" si="1"/>
        <v/>
      </c>
      <c r="E1774" s="2"/>
      <c r="F1774" s="2"/>
      <c r="G1774" s="2"/>
      <c r="H1774" s="2"/>
      <c r="I1774" s="2"/>
      <c r="J1774" s="2"/>
      <c r="K1774" s="2" t="str">
        <f t="shared" si="2"/>
        <v/>
      </c>
      <c r="L1774" s="2" t="str">
        <f t="shared" si="3"/>
        <v>No</v>
      </c>
      <c r="M1774" s="2" t="str">
        <f>IF(K1774="","",F1774*VLOOKUP(E1774,WEIGHTS!$A$2:$F$4,2,FALSE)+G1774*VLOOKUP(E1774,WEIGHTS!$A$2:$F$4,3,FALSE)+H1774*VLOOKUP(E1774,WEIGHTS!$A$2:$F$4,4,FALSE)+I1774*VLOOKUP(E1774,WEIGHTS!$A$2:$F$4,5,FALSE)+J1774*VLOOKUP(E1774,WEIGHTS!$A$2:$F$4,6,FALSE))</f>
        <v/>
      </c>
      <c r="N1774" s="2" t="str">
        <f t="shared" si="4"/>
        <v/>
      </c>
    </row>
    <row r="1775" ht="15.75" customHeight="1">
      <c r="A1775" s="3"/>
      <c r="B1775" s="2" t="str">
        <f t="shared" si="1"/>
        <v/>
      </c>
      <c r="E1775" s="2"/>
      <c r="F1775" s="2"/>
      <c r="G1775" s="2"/>
      <c r="H1775" s="2"/>
      <c r="I1775" s="2"/>
      <c r="J1775" s="2"/>
      <c r="K1775" s="2" t="str">
        <f t="shared" si="2"/>
        <v/>
      </c>
      <c r="L1775" s="2" t="str">
        <f t="shared" si="3"/>
        <v>No</v>
      </c>
      <c r="M1775" s="2" t="str">
        <f>IF(K1775="","",F1775*VLOOKUP(E1775,WEIGHTS!$A$2:$F$4,2,FALSE)+G1775*VLOOKUP(E1775,WEIGHTS!$A$2:$F$4,3,FALSE)+H1775*VLOOKUP(E1775,WEIGHTS!$A$2:$F$4,4,FALSE)+I1775*VLOOKUP(E1775,WEIGHTS!$A$2:$F$4,5,FALSE)+J1775*VLOOKUP(E1775,WEIGHTS!$A$2:$F$4,6,FALSE))</f>
        <v/>
      </c>
      <c r="N1775" s="2" t="str">
        <f t="shared" si="4"/>
        <v/>
      </c>
    </row>
    <row r="1776" ht="15.75" customHeight="1">
      <c r="A1776" s="3"/>
      <c r="B1776" s="2" t="str">
        <f t="shared" si="1"/>
        <v/>
      </c>
      <c r="E1776" s="2"/>
      <c r="F1776" s="2"/>
      <c r="G1776" s="2"/>
      <c r="H1776" s="2"/>
      <c r="I1776" s="2"/>
      <c r="J1776" s="2"/>
      <c r="K1776" s="2" t="str">
        <f t="shared" si="2"/>
        <v/>
      </c>
      <c r="L1776" s="2" t="str">
        <f t="shared" si="3"/>
        <v>No</v>
      </c>
      <c r="M1776" s="2" t="str">
        <f>IF(K1776="","",F1776*VLOOKUP(E1776,WEIGHTS!$A$2:$F$4,2,FALSE)+G1776*VLOOKUP(E1776,WEIGHTS!$A$2:$F$4,3,FALSE)+H1776*VLOOKUP(E1776,WEIGHTS!$A$2:$F$4,4,FALSE)+I1776*VLOOKUP(E1776,WEIGHTS!$A$2:$F$4,5,FALSE)+J1776*VLOOKUP(E1776,WEIGHTS!$A$2:$F$4,6,FALSE))</f>
        <v/>
      </c>
      <c r="N1776" s="2" t="str">
        <f t="shared" si="4"/>
        <v/>
      </c>
    </row>
    <row r="1777" ht="15.75" customHeight="1">
      <c r="A1777" s="3"/>
      <c r="B1777" s="2" t="str">
        <f t="shared" si="1"/>
        <v/>
      </c>
      <c r="E1777" s="2"/>
      <c r="F1777" s="2"/>
      <c r="G1777" s="2"/>
      <c r="H1777" s="2"/>
      <c r="I1777" s="2"/>
      <c r="J1777" s="2"/>
      <c r="K1777" s="2" t="str">
        <f t="shared" si="2"/>
        <v/>
      </c>
      <c r="L1777" s="2" t="str">
        <f t="shared" si="3"/>
        <v>No</v>
      </c>
      <c r="M1777" s="2" t="str">
        <f>IF(K1777="","",F1777*VLOOKUP(E1777,WEIGHTS!$A$2:$F$4,2,FALSE)+G1777*VLOOKUP(E1777,WEIGHTS!$A$2:$F$4,3,FALSE)+H1777*VLOOKUP(E1777,WEIGHTS!$A$2:$F$4,4,FALSE)+I1777*VLOOKUP(E1777,WEIGHTS!$A$2:$F$4,5,FALSE)+J1777*VLOOKUP(E1777,WEIGHTS!$A$2:$F$4,6,FALSE))</f>
        <v/>
      </c>
      <c r="N1777" s="2" t="str">
        <f t="shared" si="4"/>
        <v/>
      </c>
    </row>
    <row r="1778" ht="15.75" customHeight="1">
      <c r="A1778" s="3"/>
      <c r="B1778" s="2" t="str">
        <f t="shared" si="1"/>
        <v/>
      </c>
      <c r="E1778" s="2"/>
      <c r="F1778" s="2"/>
      <c r="G1778" s="2"/>
      <c r="H1778" s="2"/>
      <c r="I1778" s="2"/>
      <c r="J1778" s="2"/>
      <c r="K1778" s="2" t="str">
        <f t="shared" si="2"/>
        <v/>
      </c>
      <c r="L1778" s="2" t="str">
        <f t="shared" si="3"/>
        <v>No</v>
      </c>
      <c r="M1778" s="2" t="str">
        <f>IF(K1778="","",F1778*VLOOKUP(E1778,WEIGHTS!$A$2:$F$4,2,FALSE)+G1778*VLOOKUP(E1778,WEIGHTS!$A$2:$F$4,3,FALSE)+H1778*VLOOKUP(E1778,WEIGHTS!$A$2:$F$4,4,FALSE)+I1778*VLOOKUP(E1778,WEIGHTS!$A$2:$F$4,5,FALSE)+J1778*VLOOKUP(E1778,WEIGHTS!$A$2:$F$4,6,FALSE))</f>
        <v/>
      </c>
      <c r="N1778" s="2" t="str">
        <f t="shared" si="4"/>
        <v/>
      </c>
    </row>
    <row r="1779" ht="15.75" customHeight="1">
      <c r="A1779" s="3"/>
      <c r="B1779" s="2" t="str">
        <f t="shared" si="1"/>
        <v/>
      </c>
      <c r="E1779" s="2"/>
      <c r="F1779" s="2"/>
      <c r="G1779" s="2"/>
      <c r="H1779" s="2"/>
      <c r="I1779" s="2"/>
      <c r="J1779" s="2"/>
      <c r="K1779" s="2" t="str">
        <f t="shared" si="2"/>
        <v/>
      </c>
      <c r="L1779" s="2" t="str">
        <f t="shared" si="3"/>
        <v>No</v>
      </c>
      <c r="M1779" s="2" t="str">
        <f>IF(K1779="","",F1779*VLOOKUP(E1779,WEIGHTS!$A$2:$F$4,2,FALSE)+G1779*VLOOKUP(E1779,WEIGHTS!$A$2:$F$4,3,FALSE)+H1779*VLOOKUP(E1779,WEIGHTS!$A$2:$F$4,4,FALSE)+I1779*VLOOKUP(E1779,WEIGHTS!$A$2:$F$4,5,FALSE)+J1779*VLOOKUP(E1779,WEIGHTS!$A$2:$F$4,6,FALSE))</f>
        <v/>
      </c>
      <c r="N1779" s="2" t="str">
        <f t="shared" si="4"/>
        <v/>
      </c>
    </row>
    <row r="1780" ht="15.75" customHeight="1">
      <c r="A1780" s="3"/>
      <c r="B1780" s="2" t="str">
        <f t="shared" si="1"/>
        <v/>
      </c>
      <c r="E1780" s="2"/>
      <c r="F1780" s="2"/>
      <c r="G1780" s="2"/>
      <c r="H1780" s="2"/>
      <c r="I1780" s="2"/>
      <c r="J1780" s="2"/>
      <c r="K1780" s="2" t="str">
        <f t="shared" si="2"/>
        <v/>
      </c>
      <c r="L1780" s="2" t="str">
        <f t="shared" si="3"/>
        <v>No</v>
      </c>
      <c r="M1780" s="2" t="str">
        <f>IF(K1780="","",F1780*VLOOKUP(E1780,WEIGHTS!$A$2:$F$4,2,FALSE)+G1780*VLOOKUP(E1780,WEIGHTS!$A$2:$F$4,3,FALSE)+H1780*VLOOKUP(E1780,WEIGHTS!$A$2:$F$4,4,FALSE)+I1780*VLOOKUP(E1780,WEIGHTS!$A$2:$F$4,5,FALSE)+J1780*VLOOKUP(E1780,WEIGHTS!$A$2:$F$4,6,FALSE))</f>
        <v/>
      </c>
      <c r="N1780" s="2" t="str">
        <f t="shared" si="4"/>
        <v/>
      </c>
    </row>
    <row r="1781" ht="15.75" customHeight="1">
      <c r="A1781" s="3"/>
      <c r="B1781" s="2" t="str">
        <f t="shared" si="1"/>
        <v/>
      </c>
      <c r="E1781" s="2"/>
      <c r="F1781" s="2"/>
      <c r="G1781" s="2"/>
      <c r="H1781" s="2"/>
      <c r="I1781" s="2"/>
      <c r="J1781" s="2"/>
      <c r="K1781" s="2" t="str">
        <f t="shared" si="2"/>
        <v/>
      </c>
      <c r="L1781" s="2" t="str">
        <f t="shared" si="3"/>
        <v>No</v>
      </c>
      <c r="M1781" s="2" t="str">
        <f>IF(K1781="","",F1781*VLOOKUP(E1781,WEIGHTS!$A$2:$F$4,2,FALSE)+G1781*VLOOKUP(E1781,WEIGHTS!$A$2:$F$4,3,FALSE)+H1781*VLOOKUP(E1781,WEIGHTS!$A$2:$F$4,4,FALSE)+I1781*VLOOKUP(E1781,WEIGHTS!$A$2:$F$4,5,FALSE)+J1781*VLOOKUP(E1781,WEIGHTS!$A$2:$F$4,6,FALSE))</f>
        <v/>
      </c>
      <c r="N1781" s="2" t="str">
        <f t="shared" si="4"/>
        <v/>
      </c>
    </row>
    <row r="1782" ht="15.75" customHeight="1">
      <c r="A1782" s="3"/>
      <c r="B1782" s="2" t="str">
        <f t="shared" si="1"/>
        <v/>
      </c>
      <c r="E1782" s="2"/>
      <c r="F1782" s="2"/>
      <c r="G1782" s="2"/>
      <c r="H1782" s="2"/>
      <c r="I1782" s="2"/>
      <c r="J1782" s="2"/>
      <c r="K1782" s="2" t="str">
        <f t="shared" si="2"/>
        <v/>
      </c>
      <c r="L1782" s="2" t="str">
        <f t="shared" si="3"/>
        <v>No</v>
      </c>
      <c r="M1782" s="2" t="str">
        <f>IF(K1782="","",F1782*VLOOKUP(E1782,WEIGHTS!$A$2:$F$4,2,FALSE)+G1782*VLOOKUP(E1782,WEIGHTS!$A$2:$F$4,3,FALSE)+H1782*VLOOKUP(E1782,WEIGHTS!$A$2:$F$4,4,FALSE)+I1782*VLOOKUP(E1782,WEIGHTS!$A$2:$F$4,5,FALSE)+J1782*VLOOKUP(E1782,WEIGHTS!$A$2:$F$4,6,FALSE))</f>
        <v/>
      </c>
      <c r="N1782" s="2" t="str">
        <f t="shared" si="4"/>
        <v/>
      </c>
    </row>
    <row r="1783" ht="15.75" customHeight="1">
      <c r="A1783" s="3"/>
      <c r="B1783" s="2" t="str">
        <f t="shared" si="1"/>
        <v/>
      </c>
      <c r="E1783" s="2"/>
      <c r="F1783" s="2"/>
      <c r="G1783" s="2"/>
      <c r="H1783" s="2"/>
      <c r="I1783" s="2"/>
      <c r="J1783" s="2"/>
      <c r="K1783" s="2" t="str">
        <f t="shared" si="2"/>
        <v/>
      </c>
      <c r="L1783" s="2" t="str">
        <f t="shared" si="3"/>
        <v>No</v>
      </c>
      <c r="M1783" s="2" t="str">
        <f>IF(K1783="","",F1783*VLOOKUP(E1783,WEIGHTS!$A$2:$F$4,2,FALSE)+G1783*VLOOKUP(E1783,WEIGHTS!$A$2:$F$4,3,FALSE)+H1783*VLOOKUP(E1783,WEIGHTS!$A$2:$F$4,4,FALSE)+I1783*VLOOKUP(E1783,WEIGHTS!$A$2:$F$4,5,FALSE)+J1783*VLOOKUP(E1783,WEIGHTS!$A$2:$F$4,6,FALSE))</f>
        <v/>
      </c>
      <c r="N1783" s="2" t="str">
        <f t="shared" si="4"/>
        <v/>
      </c>
    </row>
    <row r="1784" ht="15.75" customHeight="1">
      <c r="A1784" s="3"/>
      <c r="B1784" s="2" t="str">
        <f t="shared" si="1"/>
        <v/>
      </c>
      <c r="E1784" s="2"/>
      <c r="F1784" s="2"/>
      <c r="G1784" s="2"/>
      <c r="H1784" s="2"/>
      <c r="I1784" s="2"/>
      <c r="J1784" s="2"/>
      <c r="K1784" s="2" t="str">
        <f t="shared" si="2"/>
        <v/>
      </c>
      <c r="L1784" s="2" t="str">
        <f t="shared" si="3"/>
        <v>No</v>
      </c>
      <c r="M1784" s="2" t="str">
        <f>IF(K1784="","",F1784*VLOOKUP(E1784,WEIGHTS!$A$2:$F$4,2,FALSE)+G1784*VLOOKUP(E1784,WEIGHTS!$A$2:$F$4,3,FALSE)+H1784*VLOOKUP(E1784,WEIGHTS!$A$2:$F$4,4,FALSE)+I1784*VLOOKUP(E1784,WEIGHTS!$A$2:$F$4,5,FALSE)+J1784*VLOOKUP(E1784,WEIGHTS!$A$2:$F$4,6,FALSE))</f>
        <v/>
      </c>
      <c r="N1784" s="2" t="str">
        <f t="shared" si="4"/>
        <v/>
      </c>
    </row>
    <row r="1785" ht="15.75" customHeight="1">
      <c r="A1785" s="3"/>
      <c r="B1785" s="2" t="str">
        <f t="shared" si="1"/>
        <v/>
      </c>
      <c r="E1785" s="2"/>
      <c r="F1785" s="2"/>
      <c r="G1785" s="2"/>
      <c r="H1785" s="2"/>
      <c r="I1785" s="2"/>
      <c r="J1785" s="2"/>
      <c r="K1785" s="2" t="str">
        <f t="shared" si="2"/>
        <v/>
      </c>
      <c r="L1785" s="2" t="str">
        <f t="shared" si="3"/>
        <v>No</v>
      </c>
      <c r="M1785" s="2" t="str">
        <f>IF(K1785="","",F1785*VLOOKUP(E1785,WEIGHTS!$A$2:$F$4,2,FALSE)+G1785*VLOOKUP(E1785,WEIGHTS!$A$2:$F$4,3,FALSE)+H1785*VLOOKUP(E1785,WEIGHTS!$A$2:$F$4,4,FALSE)+I1785*VLOOKUP(E1785,WEIGHTS!$A$2:$F$4,5,FALSE)+J1785*VLOOKUP(E1785,WEIGHTS!$A$2:$F$4,6,FALSE))</f>
        <v/>
      </c>
      <c r="N1785" s="2" t="str">
        <f t="shared" si="4"/>
        <v/>
      </c>
    </row>
    <row r="1786" ht="15.75" customHeight="1">
      <c r="A1786" s="3"/>
      <c r="B1786" s="2" t="str">
        <f t="shared" si="1"/>
        <v/>
      </c>
      <c r="E1786" s="2"/>
      <c r="F1786" s="2"/>
      <c r="G1786" s="2"/>
      <c r="H1786" s="2"/>
      <c r="I1786" s="2"/>
      <c r="J1786" s="2"/>
      <c r="K1786" s="2" t="str">
        <f t="shared" si="2"/>
        <v/>
      </c>
      <c r="L1786" s="2" t="str">
        <f t="shared" si="3"/>
        <v>No</v>
      </c>
      <c r="M1786" s="2" t="str">
        <f>IF(K1786="","",F1786*VLOOKUP(E1786,WEIGHTS!$A$2:$F$4,2,FALSE)+G1786*VLOOKUP(E1786,WEIGHTS!$A$2:$F$4,3,FALSE)+H1786*VLOOKUP(E1786,WEIGHTS!$A$2:$F$4,4,FALSE)+I1786*VLOOKUP(E1786,WEIGHTS!$A$2:$F$4,5,FALSE)+J1786*VLOOKUP(E1786,WEIGHTS!$A$2:$F$4,6,FALSE))</f>
        <v/>
      </c>
      <c r="N1786" s="2" t="str">
        <f t="shared" si="4"/>
        <v/>
      </c>
    </row>
    <row r="1787" ht="15.75" customHeight="1">
      <c r="A1787" s="3"/>
      <c r="B1787" s="2" t="str">
        <f t="shared" si="1"/>
        <v/>
      </c>
      <c r="E1787" s="2"/>
      <c r="F1787" s="2"/>
      <c r="G1787" s="2"/>
      <c r="H1787" s="2"/>
      <c r="I1787" s="2"/>
      <c r="J1787" s="2"/>
      <c r="K1787" s="2" t="str">
        <f t="shared" si="2"/>
        <v/>
      </c>
      <c r="L1787" s="2" t="str">
        <f t="shared" si="3"/>
        <v>No</v>
      </c>
      <c r="M1787" s="2" t="str">
        <f>IF(K1787="","",F1787*VLOOKUP(E1787,WEIGHTS!$A$2:$F$4,2,FALSE)+G1787*VLOOKUP(E1787,WEIGHTS!$A$2:$F$4,3,FALSE)+H1787*VLOOKUP(E1787,WEIGHTS!$A$2:$F$4,4,FALSE)+I1787*VLOOKUP(E1787,WEIGHTS!$A$2:$F$4,5,FALSE)+J1787*VLOOKUP(E1787,WEIGHTS!$A$2:$F$4,6,FALSE))</f>
        <v/>
      </c>
      <c r="N1787" s="2" t="str">
        <f t="shared" si="4"/>
        <v/>
      </c>
    </row>
    <row r="1788" ht="15.75" customHeight="1">
      <c r="A1788" s="3"/>
      <c r="B1788" s="2" t="str">
        <f t="shared" si="1"/>
        <v/>
      </c>
      <c r="E1788" s="2"/>
      <c r="F1788" s="2"/>
      <c r="G1788" s="2"/>
      <c r="H1788" s="2"/>
      <c r="I1788" s="2"/>
      <c r="J1788" s="2"/>
      <c r="K1788" s="2" t="str">
        <f t="shared" si="2"/>
        <v/>
      </c>
      <c r="L1788" s="2" t="str">
        <f t="shared" si="3"/>
        <v>No</v>
      </c>
      <c r="M1788" s="2" t="str">
        <f>IF(K1788="","",F1788*VLOOKUP(E1788,WEIGHTS!$A$2:$F$4,2,FALSE)+G1788*VLOOKUP(E1788,WEIGHTS!$A$2:$F$4,3,FALSE)+H1788*VLOOKUP(E1788,WEIGHTS!$A$2:$F$4,4,FALSE)+I1788*VLOOKUP(E1788,WEIGHTS!$A$2:$F$4,5,FALSE)+J1788*VLOOKUP(E1788,WEIGHTS!$A$2:$F$4,6,FALSE))</f>
        <v/>
      </c>
      <c r="N1788" s="2" t="str">
        <f t="shared" si="4"/>
        <v/>
      </c>
    </row>
    <row r="1789" ht="15.75" customHeight="1">
      <c r="A1789" s="3"/>
      <c r="B1789" s="2" t="str">
        <f t="shared" si="1"/>
        <v/>
      </c>
      <c r="E1789" s="2"/>
      <c r="F1789" s="2"/>
      <c r="G1789" s="2"/>
      <c r="H1789" s="2"/>
      <c r="I1789" s="2"/>
      <c r="J1789" s="2"/>
      <c r="K1789" s="2" t="str">
        <f t="shared" si="2"/>
        <v/>
      </c>
      <c r="L1789" s="2" t="str">
        <f t="shared" si="3"/>
        <v>No</v>
      </c>
      <c r="M1789" s="2" t="str">
        <f>IF(K1789="","",F1789*VLOOKUP(E1789,WEIGHTS!$A$2:$F$4,2,FALSE)+G1789*VLOOKUP(E1789,WEIGHTS!$A$2:$F$4,3,FALSE)+H1789*VLOOKUP(E1789,WEIGHTS!$A$2:$F$4,4,FALSE)+I1789*VLOOKUP(E1789,WEIGHTS!$A$2:$F$4,5,FALSE)+J1789*VLOOKUP(E1789,WEIGHTS!$A$2:$F$4,6,FALSE))</f>
        <v/>
      </c>
      <c r="N1789" s="2" t="str">
        <f t="shared" si="4"/>
        <v/>
      </c>
    </row>
    <row r="1790" ht="15.75" customHeight="1">
      <c r="A1790" s="3"/>
      <c r="B1790" s="2" t="str">
        <f t="shared" si="1"/>
        <v/>
      </c>
      <c r="E1790" s="2"/>
      <c r="F1790" s="2"/>
      <c r="G1790" s="2"/>
      <c r="H1790" s="2"/>
      <c r="I1790" s="2"/>
      <c r="J1790" s="2"/>
      <c r="K1790" s="2" t="str">
        <f t="shared" si="2"/>
        <v/>
      </c>
      <c r="L1790" s="2" t="str">
        <f t="shared" si="3"/>
        <v>No</v>
      </c>
      <c r="M1790" s="2" t="str">
        <f>IF(K1790="","",F1790*VLOOKUP(E1790,WEIGHTS!$A$2:$F$4,2,FALSE)+G1790*VLOOKUP(E1790,WEIGHTS!$A$2:$F$4,3,FALSE)+H1790*VLOOKUP(E1790,WEIGHTS!$A$2:$F$4,4,FALSE)+I1790*VLOOKUP(E1790,WEIGHTS!$A$2:$F$4,5,FALSE)+J1790*VLOOKUP(E1790,WEIGHTS!$A$2:$F$4,6,FALSE))</f>
        <v/>
      </c>
      <c r="N1790" s="2" t="str">
        <f t="shared" si="4"/>
        <v/>
      </c>
    </row>
    <row r="1791" ht="15.75" customHeight="1">
      <c r="A1791" s="3"/>
      <c r="B1791" s="2" t="str">
        <f t="shared" si="1"/>
        <v/>
      </c>
      <c r="E1791" s="2"/>
      <c r="F1791" s="2"/>
      <c r="G1791" s="2"/>
      <c r="H1791" s="2"/>
      <c r="I1791" s="2"/>
      <c r="J1791" s="2"/>
      <c r="K1791" s="2" t="str">
        <f t="shared" si="2"/>
        <v/>
      </c>
      <c r="L1791" s="2" t="str">
        <f t="shared" si="3"/>
        <v>No</v>
      </c>
      <c r="M1791" s="2" t="str">
        <f>IF(K1791="","",F1791*VLOOKUP(E1791,WEIGHTS!$A$2:$F$4,2,FALSE)+G1791*VLOOKUP(E1791,WEIGHTS!$A$2:$F$4,3,FALSE)+H1791*VLOOKUP(E1791,WEIGHTS!$A$2:$F$4,4,FALSE)+I1791*VLOOKUP(E1791,WEIGHTS!$A$2:$F$4,5,FALSE)+J1791*VLOOKUP(E1791,WEIGHTS!$A$2:$F$4,6,FALSE))</f>
        <v/>
      </c>
      <c r="N1791" s="2" t="str">
        <f t="shared" si="4"/>
        <v/>
      </c>
    </row>
    <row r="1792" ht="15.75" customHeight="1">
      <c r="A1792" s="3"/>
      <c r="B1792" s="2" t="str">
        <f t="shared" si="1"/>
        <v/>
      </c>
      <c r="E1792" s="2"/>
      <c r="F1792" s="2"/>
      <c r="G1792" s="2"/>
      <c r="H1792" s="2"/>
      <c r="I1792" s="2"/>
      <c r="J1792" s="2"/>
      <c r="K1792" s="2" t="str">
        <f t="shared" si="2"/>
        <v/>
      </c>
      <c r="L1792" s="2" t="str">
        <f t="shared" si="3"/>
        <v>No</v>
      </c>
      <c r="M1792" s="2" t="str">
        <f>IF(K1792="","",F1792*VLOOKUP(E1792,WEIGHTS!$A$2:$F$4,2,FALSE)+G1792*VLOOKUP(E1792,WEIGHTS!$A$2:$F$4,3,FALSE)+H1792*VLOOKUP(E1792,WEIGHTS!$A$2:$F$4,4,FALSE)+I1792*VLOOKUP(E1792,WEIGHTS!$A$2:$F$4,5,FALSE)+J1792*VLOOKUP(E1792,WEIGHTS!$A$2:$F$4,6,FALSE))</f>
        <v/>
      </c>
      <c r="N1792" s="2" t="str">
        <f t="shared" si="4"/>
        <v/>
      </c>
    </row>
    <row r="1793" ht="15.75" customHeight="1">
      <c r="A1793" s="3"/>
      <c r="B1793" s="2" t="str">
        <f t="shared" si="1"/>
        <v/>
      </c>
      <c r="E1793" s="2"/>
      <c r="F1793" s="2"/>
      <c r="G1793" s="2"/>
      <c r="H1793" s="2"/>
      <c r="I1793" s="2"/>
      <c r="J1793" s="2"/>
      <c r="K1793" s="2" t="str">
        <f t="shared" si="2"/>
        <v/>
      </c>
      <c r="L1793" s="2" t="str">
        <f t="shared" si="3"/>
        <v>No</v>
      </c>
      <c r="M1793" s="2" t="str">
        <f>IF(K1793="","",F1793*VLOOKUP(E1793,WEIGHTS!$A$2:$F$4,2,FALSE)+G1793*VLOOKUP(E1793,WEIGHTS!$A$2:$F$4,3,FALSE)+H1793*VLOOKUP(E1793,WEIGHTS!$A$2:$F$4,4,FALSE)+I1793*VLOOKUP(E1793,WEIGHTS!$A$2:$F$4,5,FALSE)+J1793*VLOOKUP(E1793,WEIGHTS!$A$2:$F$4,6,FALSE))</f>
        <v/>
      </c>
      <c r="N1793" s="2" t="str">
        <f t="shared" si="4"/>
        <v/>
      </c>
    </row>
    <row r="1794" ht="15.75" customHeight="1">
      <c r="A1794" s="3"/>
      <c r="B1794" s="2" t="str">
        <f t="shared" si="1"/>
        <v/>
      </c>
      <c r="E1794" s="2"/>
      <c r="F1794" s="2"/>
      <c r="G1794" s="2"/>
      <c r="H1794" s="2"/>
      <c r="I1794" s="2"/>
      <c r="J1794" s="2"/>
      <c r="K1794" s="2" t="str">
        <f t="shared" si="2"/>
        <v/>
      </c>
      <c r="L1794" s="2" t="str">
        <f t="shared" si="3"/>
        <v>No</v>
      </c>
      <c r="M1794" s="2" t="str">
        <f>IF(K1794="","",F1794*VLOOKUP(E1794,WEIGHTS!$A$2:$F$4,2,FALSE)+G1794*VLOOKUP(E1794,WEIGHTS!$A$2:$F$4,3,FALSE)+H1794*VLOOKUP(E1794,WEIGHTS!$A$2:$F$4,4,FALSE)+I1794*VLOOKUP(E1794,WEIGHTS!$A$2:$F$4,5,FALSE)+J1794*VLOOKUP(E1794,WEIGHTS!$A$2:$F$4,6,FALSE))</f>
        <v/>
      </c>
      <c r="N1794" s="2" t="str">
        <f t="shared" si="4"/>
        <v/>
      </c>
    </row>
    <row r="1795" ht="15.75" customHeight="1">
      <c r="A1795" s="3"/>
      <c r="B1795" s="2" t="str">
        <f t="shared" si="1"/>
        <v/>
      </c>
      <c r="E1795" s="2"/>
      <c r="F1795" s="2"/>
      <c r="G1795" s="2"/>
      <c r="H1795" s="2"/>
      <c r="I1795" s="2"/>
      <c r="J1795" s="2"/>
      <c r="K1795" s="2" t="str">
        <f t="shared" si="2"/>
        <v/>
      </c>
      <c r="L1795" s="2" t="str">
        <f t="shared" si="3"/>
        <v>No</v>
      </c>
      <c r="M1795" s="2" t="str">
        <f>IF(K1795="","",F1795*VLOOKUP(E1795,WEIGHTS!$A$2:$F$4,2,FALSE)+G1795*VLOOKUP(E1795,WEIGHTS!$A$2:$F$4,3,FALSE)+H1795*VLOOKUP(E1795,WEIGHTS!$A$2:$F$4,4,FALSE)+I1795*VLOOKUP(E1795,WEIGHTS!$A$2:$F$4,5,FALSE)+J1795*VLOOKUP(E1795,WEIGHTS!$A$2:$F$4,6,FALSE))</f>
        <v/>
      </c>
      <c r="N1795" s="2" t="str">
        <f t="shared" si="4"/>
        <v/>
      </c>
    </row>
    <row r="1796" ht="15.75" customHeight="1">
      <c r="A1796" s="3"/>
      <c r="B1796" s="2" t="str">
        <f t="shared" si="1"/>
        <v/>
      </c>
      <c r="E1796" s="2"/>
      <c r="F1796" s="2"/>
      <c r="G1796" s="2"/>
      <c r="H1796" s="2"/>
      <c r="I1796" s="2"/>
      <c r="J1796" s="2"/>
      <c r="K1796" s="2" t="str">
        <f t="shared" si="2"/>
        <v/>
      </c>
      <c r="L1796" s="2" t="str">
        <f t="shared" si="3"/>
        <v>No</v>
      </c>
      <c r="M1796" s="2" t="str">
        <f>IF(K1796="","",F1796*VLOOKUP(E1796,WEIGHTS!$A$2:$F$4,2,FALSE)+G1796*VLOOKUP(E1796,WEIGHTS!$A$2:$F$4,3,FALSE)+H1796*VLOOKUP(E1796,WEIGHTS!$A$2:$F$4,4,FALSE)+I1796*VLOOKUP(E1796,WEIGHTS!$A$2:$F$4,5,FALSE)+J1796*VLOOKUP(E1796,WEIGHTS!$A$2:$F$4,6,FALSE))</f>
        <v/>
      </c>
      <c r="N1796" s="2" t="str">
        <f t="shared" si="4"/>
        <v/>
      </c>
    </row>
    <row r="1797" ht="15.75" customHeight="1">
      <c r="A1797" s="3"/>
      <c r="B1797" s="2" t="str">
        <f t="shared" si="1"/>
        <v/>
      </c>
      <c r="E1797" s="2"/>
      <c r="F1797" s="2"/>
      <c r="G1797" s="2"/>
      <c r="H1797" s="2"/>
      <c r="I1797" s="2"/>
      <c r="J1797" s="2"/>
      <c r="K1797" s="2" t="str">
        <f t="shared" si="2"/>
        <v/>
      </c>
      <c r="L1797" s="2" t="str">
        <f t="shared" si="3"/>
        <v>No</v>
      </c>
      <c r="M1797" s="2" t="str">
        <f>IF(K1797="","",F1797*VLOOKUP(E1797,WEIGHTS!$A$2:$F$4,2,FALSE)+G1797*VLOOKUP(E1797,WEIGHTS!$A$2:$F$4,3,FALSE)+H1797*VLOOKUP(E1797,WEIGHTS!$A$2:$F$4,4,FALSE)+I1797*VLOOKUP(E1797,WEIGHTS!$A$2:$F$4,5,FALSE)+J1797*VLOOKUP(E1797,WEIGHTS!$A$2:$F$4,6,FALSE))</f>
        <v/>
      </c>
      <c r="N1797" s="2" t="str">
        <f t="shared" si="4"/>
        <v/>
      </c>
    </row>
    <row r="1798" ht="15.75" customHeight="1">
      <c r="A1798" s="3"/>
      <c r="B1798" s="2" t="str">
        <f t="shared" si="1"/>
        <v/>
      </c>
      <c r="E1798" s="2"/>
      <c r="F1798" s="2"/>
      <c r="G1798" s="2"/>
      <c r="H1798" s="2"/>
      <c r="I1798" s="2"/>
      <c r="J1798" s="2"/>
      <c r="K1798" s="2" t="str">
        <f t="shared" si="2"/>
        <v/>
      </c>
      <c r="L1798" s="2" t="str">
        <f t="shared" si="3"/>
        <v>No</v>
      </c>
      <c r="M1798" s="2" t="str">
        <f>IF(K1798="","",F1798*VLOOKUP(E1798,WEIGHTS!$A$2:$F$4,2,FALSE)+G1798*VLOOKUP(E1798,WEIGHTS!$A$2:$F$4,3,FALSE)+H1798*VLOOKUP(E1798,WEIGHTS!$A$2:$F$4,4,FALSE)+I1798*VLOOKUP(E1798,WEIGHTS!$A$2:$F$4,5,FALSE)+J1798*VLOOKUP(E1798,WEIGHTS!$A$2:$F$4,6,FALSE))</f>
        <v/>
      </c>
      <c r="N1798" s="2" t="str">
        <f t="shared" si="4"/>
        <v/>
      </c>
    </row>
    <row r="1799" ht="15.75" customHeight="1">
      <c r="A1799" s="3"/>
      <c r="B1799" s="2" t="str">
        <f t="shared" si="1"/>
        <v/>
      </c>
      <c r="E1799" s="2"/>
      <c r="F1799" s="2"/>
      <c r="G1799" s="2"/>
      <c r="H1799" s="2"/>
      <c r="I1799" s="2"/>
      <c r="J1799" s="2"/>
      <c r="K1799" s="2" t="str">
        <f t="shared" si="2"/>
        <v/>
      </c>
      <c r="L1799" s="2" t="str">
        <f t="shared" si="3"/>
        <v>No</v>
      </c>
      <c r="M1799" s="2" t="str">
        <f>IF(K1799="","",F1799*VLOOKUP(E1799,WEIGHTS!$A$2:$F$4,2,FALSE)+G1799*VLOOKUP(E1799,WEIGHTS!$A$2:$F$4,3,FALSE)+H1799*VLOOKUP(E1799,WEIGHTS!$A$2:$F$4,4,FALSE)+I1799*VLOOKUP(E1799,WEIGHTS!$A$2:$F$4,5,FALSE)+J1799*VLOOKUP(E1799,WEIGHTS!$A$2:$F$4,6,FALSE))</f>
        <v/>
      </c>
      <c r="N1799" s="2" t="str">
        <f t="shared" si="4"/>
        <v/>
      </c>
    </row>
    <row r="1800" ht="15.75" customHeight="1">
      <c r="A1800" s="3"/>
      <c r="B1800" s="2" t="str">
        <f t="shared" si="1"/>
        <v/>
      </c>
      <c r="E1800" s="2"/>
      <c r="F1800" s="2"/>
      <c r="G1800" s="2"/>
      <c r="H1800" s="2"/>
      <c r="I1800" s="2"/>
      <c r="J1800" s="2"/>
      <c r="K1800" s="2" t="str">
        <f t="shared" si="2"/>
        <v/>
      </c>
      <c r="L1800" s="2" t="str">
        <f t="shared" si="3"/>
        <v>No</v>
      </c>
      <c r="M1800" s="2" t="str">
        <f>IF(K1800="","",F1800*VLOOKUP(E1800,WEIGHTS!$A$2:$F$4,2,FALSE)+G1800*VLOOKUP(E1800,WEIGHTS!$A$2:$F$4,3,FALSE)+H1800*VLOOKUP(E1800,WEIGHTS!$A$2:$F$4,4,FALSE)+I1800*VLOOKUP(E1800,WEIGHTS!$A$2:$F$4,5,FALSE)+J1800*VLOOKUP(E1800,WEIGHTS!$A$2:$F$4,6,FALSE))</f>
        <v/>
      </c>
      <c r="N1800" s="2" t="str">
        <f t="shared" si="4"/>
        <v/>
      </c>
    </row>
    <row r="1801" ht="15.75" customHeight="1">
      <c r="A1801" s="3"/>
      <c r="B1801" s="2" t="str">
        <f t="shared" si="1"/>
        <v/>
      </c>
      <c r="E1801" s="2"/>
      <c r="F1801" s="2"/>
      <c r="G1801" s="2"/>
      <c r="H1801" s="2"/>
      <c r="I1801" s="2"/>
      <c r="J1801" s="2"/>
      <c r="K1801" s="2" t="str">
        <f t="shared" si="2"/>
        <v/>
      </c>
      <c r="L1801" s="2" t="str">
        <f t="shared" si="3"/>
        <v>No</v>
      </c>
      <c r="M1801" s="2" t="str">
        <f>IF(K1801="","",F1801*VLOOKUP(E1801,WEIGHTS!$A$2:$F$4,2,FALSE)+G1801*VLOOKUP(E1801,WEIGHTS!$A$2:$F$4,3,FALSE)+H1801*VLOOKUP(E1801,WEIGHTS!$A$2:$F$4,4,FALSE)+I1801*VLOOKUP(E1801,WEIGHTS!$A$2:$F$4,5,FALSE)+J1801*VLOOKUP(E1801,WEIGHTS!$A$2:$F$4,6,FALSE))</f>
        <v/>
      </c>
      <c r="N1801" s="2" t="str">
        <f t="shared" si="4"/>
        <v/>
      </c>
    </row>
    <row r="1802" ht="15.75" customHeight="1">
      <c r="A1802" s="3"/>
      <c r="B1802" s="2" t="str">
        <f t="shared" si="1"/>
        <v/>
      </c>
      <c r="E1802" s="2"/>
      <c r="F1802" s="2"/>
      <c r="G1802" s="2"/>
      <c r="H1802" s="2"/>
      <c r="I1802" s="2"/>
      <c r="J1802" s="2"/>
      <c r="K1802" s="2" t="str">
        <f t="shared" si="2"/>
        <v/>
      </c>
      <c r="L1802" s="2" t="str">
        <f t="shared" si="3"/>
        <v>No</v>
      </c>
      <c r="M1802" s="2" t="str">
        <f>IF(K1802="","",F1802*VLOOKUP(E1802,WEIGHTS!$A$2:$F$4,2,FALSE)+G1802*VLOOKUP(E1802,WEIGHTS!$A$2:$F$4,3,FALSE)+H1802*VLOOKUP(E1802,WEIGHTS!$A$2:$F$4,4,FALSE)+I1802*VLOOKUP(E1802,WEIGHTS!$A$2:$F$4,5,FALSE)+J1802*VLOOKUP(E1802,WEIGHTS!$A$2:$F$4,6,FALSE))</f>
        <v/>
      </c>
      <c r="N1802" s="2" t="str">
        <f t="shared" si="4"/>
        <v/>
      </c>
    </row>
    <row r="1803" ht="15.75" customHeight="1">
      <c r="A1803" s="3"/>
      <c r="B1803" s="2" t="str">
        <f t="shared" si="1"/>
        <v/>
      </c>
      <c r="E1803" s="2"/>
      <c r="F1803" s="2"/>
      <c r="G1803" s="2"/>
      <c r="H1803" s="2"/>
      <c r="I1803" s="2"/>
      <c r="J1803" s="2"/>
      <c r="K1803" s="2" t="str">
        <f t="shared" si="2"/>
        <v/>
      </c>
      <c r="L1803" s="2" t="str">
        <f t="shared" si="3"/>
        <v>No</v>
      </c>
      <c r="M1803" s="2" t="str">
        <f>IF(K1803="","",F1803*VLOOKUP(E1803,WEIGHTS!$A$2:$F$4,2,FALSE)+G1803*VLOOKUP(E1803,WEIGHTS!$A$2:$F$4,3,FALSE)+H1803*VLOOKUP(E1803,WEIGHTS!$A$2:$F$4,4,FALSE)+I1803*VLOOKUP(E1803,WEIGHTS!$A$2:$F$4,5,FALSE)+J1803*VLOOKUP(E1803,WEIGHTS!$A$2:$F$4,6,FALSE))</f>
        <v/>
      </c>
      <c r="N1803" s="2" t="str">
        <f t="shared" si="4"/>
        <v/>
      </c>
    </row>
    <row r="1804" ht="15.75" customHeight="1">
      <c r="A1804" s="3"/>
      <c r="B1804" s="2" t="str">
        <f t="shared" si="1"/>
        <v/>
      </c>
      <c r="E1804" s="2"/>
      <c r="F1804" s="2"/>
      <c r="G1804" s="2"/>
      <c r="H1804" s="2"/>
      <c r="I1804" s="2"/>
      <c r="J1804" s="2"/>
      <c r="K1804" s="2" t="str">
        <f t="shared" si="2"/>
        <v/>
      </c>
      <c r="L1804" s="2" t="str">
        <f t="shared" si="3"/>
        <v>No</v>
      </c>
      <c r="M1804" s="2" t="str">
        <f>IF(K1804="","",F1804*VLOOKUP(E1804,WEIGHTS!$A$2:$F$4,2,FALSE)+G1804*VLOOKUP(E1804,WEIGHTS!$A$2:$F$4,3,FALSE)+H1804*VLOOKUP(E1804,WEIGHTS!$A$2:$F$4,4,FALSE)+I1804*VLOOKUP(E1804,WEIGHTS!$A$2:$F$4,5,FALSE)+J1804*VLOOKUP(E1804,WEIGHTS!$A$2:$F$4,6,FALSE))</f>
        <v/>
      </c>
      <c r="N1804" s="2" t="str">
        <f t="shared" si="4"/>
        <v/>
      </c>
    </row>
    <row r="1805" ht="15.75" customHeight="1">
      <c r="A1805" s="3"/>
      <c r="B1805" s="2" t="str">
        <f t="shared" si="1"/>
        <v/>
      </c>
      <c r="E1805" s="2"/>
      <c r="F1805" s="2"/>
      <c r="G1805" s="2"/>
      <c r="H1805" s="2"/>
      <c r="I1805" s="2"/>
      <c r="J1805" s="2"/>
      <c r="K1805" s="2" t="str">
        <f t="shared" si="2"/>
        <v/>
      </c>
      <c r="L1805" s="2" t="str">
        <f t="shared" si="3"/>
        <v>No</v>
      </c>
      <c r="M1805" s="2" t="str">
        <f>IF(K1805="","",F1805*VLOOKUP(E1805,WEIGHTS!$A$2:$F$4,2,FALSE)+G1805*VLOOKUP(E1805,WEIGHTS!$A$2:$F$4,3,FALSE)+H1805*VLOOKUP(E1805,WEIGHTS!$A$2:$F$4,4,FALSE)+I1805*VLOOKUP(E1805,WEIGHTS!$A$2:$F$4,5,FALSE)+J1805*VLOOKUP(E1805,WEIGHTS!$A$2:$F$4,6,FALSE))</f>
        <v/>
      </c>
      <c r="N1805" s="2" t="str">
        <f t="shared" si="4"/>
        <v/>
      </c>
    </row>
    <row r="1806" ht="15.75" customHeight="1">
      <c r="A1806" s="3"/>
      <c r="B1806" s="2" t="str">
        <f t="shared" si="1"/>
        <v/>
      </c>
      <c r="E1806" s="2"/>
      <c r="F1806" s="2"/>
      <c r="G1806" s="2"/>
      <c r="H1806" s="2"/>
      <c r="I1806" s="2"/>
      <c r="J1806" s="2"/>
      <c r="K1806" s="2" t="str">
        <f t="shared" si="2"/>
        <v/>
      </c>
      <c r="L1806" s="2" t="str">
        <f t="shared" si="3"/>
        <v>No</v>
      </c>
      <c r="M1806" s="2" t="str">
        <f>IF(K1806="","",F1806*VLOOKUP(E1806,WEIGHTS!$A$2:$F$4,2,FALSE)+G1806*VLOOKUP(E1806,WEIGHTS!$A$2:$F$4,3,FALSE)+H1806*VLOOKUP(E1806,WEIGHTS!$A$2:$F$4,4,FALSE)+I1806*VLOOKUP(E1806,WEIGHTS!$A$2:$F$4,5,FALSE)+J1806*VLOOKUP(E1806,WEIGHTS!$A$2:$F$4,6,FALSE))</f>
        <v/>
      </c>
      <c r="N1806" s="2" t="str">
        <f t="shared" si="4"/>
        <v/>
      </c>
    </row>
    <row r="1807" ht="15.75" customHeight="1">
      <c r="A1807" s="3"/>
      <c r="B1807" s="2" t="str">
        <f t="shared" si="1"/>
        <v/>
      </c>
      <c r="E1807" s="2"/>
      <c r="F1807" s="2"/>
      <c r="G1807" s="2"/>
      <c r="H1807" s="2"/>
      <c r="I1807" s="2"/>
      <c r="J1807" s="2"/>
      <c r="K1807" s="2" t="str">
        <f t="shared" si="2"/>
        <v/>
      </c>
      <c r="L1807" s="2" t="str">
        <f t="shared" si="3"/>
        <v>No</v>
      </c>
      <c r="M1807" s="2" t="str">
        <f>IF(K1807="","",F1807*VLOOKUP(E1807,WEIGHTS!$A$2:$F$4,2,FALSE)+G1807*VLOOKUP(E1807,WEIGHTS!$A$2:$F$4,3,FALSE)+H1807*VLOOKUP(E1807,WEIGHTS!$A$2:$F$4,4,FALSE)+I1807*VLOOKUP(E1807,WEIGHTS!$A$2:$F$4,5,FALSE)+J1807*VLOOKUP(E1807,WEIGHTS!$A$2:$F$4,6,FALSE))</f>
        <v/>
      </c>
      <c r="N1807" s="2" t="str">
        <f t="shared" si="4"/>
        <v/>
      </c>
    </row>
    <row r="1808" ht="15.75" customHeight="1">
      <c r="A1808" s="3"/>
      <c r="B1808" s="2" t="str">
        <f t="shared" si="1"/>
        <v/>
      </c>
      <c r="E1808" s="2"/>
      <c r="F1808" s="2"/>
      <c r="G1808" s="2"/>
      <c r="H1808" s="2"/>
      <c r="I1808" s="2"/>
      <c r="J1808" s="2"/>
      <c r="K1808" s="2" t="str">
        <f t="shared" si="2"/>
        <v/>
      </c>
      <c r="L1808" s="2" t="str">
        <f t="shared" si="3"/>
        <v>No</v>
      </c>
      <c r="M1808" s="2" t="str">
        <f>IF(K1808="","",F1808*VLOOKUP(E1808,WEIGHTS!$A$2:$F$4,2,FALSE)+G1808*VLOOKUP(E1808,WEIGHTS!$A$2:$F$4,3,FALSE)+H1808*VLOOKUP(E1808,WEIGHTS!$A$2:$F$4,4,FALSE)+I1808*VLOOKUP(E1808,WEIGHTS!$A$2:$F$4,5,FALSE)+J1808*VLOOKUP(E1808,WEIGHTS!$A$2:$F$4,6,FALSE))</f>
        <v/>
      </c>
      <c r="N1808" s="2" t="str">
        <f t="shared" si="4"/>
        <v/>
      </c>
    </row>
    <row r="1809" ht="15.75" customHeight="1">
      <c r="A1809" s="3"/>
      <c r="B1809" s="2" t="str">
        <f t="shared" si="1"/>
        <v/>
      </c>
      <c r="E1809" s="2"/>
      <c r="F1809" s="2"/>
      <c r="G1809" s="2"/>
      <c r="H1809" s="2"/>
      <c r="I1809" s="2"/>
      <c r="J1809" s="2"/>
      <c r="K1809" s="2" t="str">
        <f t="shared" si="2"/>
        <v/>
      </c>
      <c r="L1809" s="2" t="str">
        <f t="shared" si="3"/>
        <v>No</v>
      </c>
      <c r="M1809" s="2" t="str">
        <f>IF(K1809="","",F1809*VLOOKUP(E1809,WEIGHTS!$A$2:$F$4,2,FALSE)+G1809*VLOOKUP(E1809,WEIGHTS!$A$2:$F$4,3,FALSE)+H1809*VLOOKUP(E1809,WEIGHTS!$A$2:$F$4,4,FALSE)+I1809*VLOOKUP(E1809,WEIGHTS!$A$2:$F$4,5,FALSE)+J1809*VLOOKUP(E1809,WEIGHTS!$A$2:$F$4,6,FALSE))</f>
        <v/>
      </c>
      <c r="N1809" s="2" t="str">
        <f t="shared" si="4"/>
        <v/>
      </c>
    </row>
    <row r="1810" ht="15.75" customHeight="1">
      <c r="A1810" s="3"/>
      <c r="B1810" s="2" t="str">
        <f t="shared" si="1"/>
        <v/>
      </c>
      <c r="E1810" s="2"/>
      <c r="F1810" s="2"/>
      <c r="G1810" s="2"/>
      <c r="H1810" s="2"/>
      <c r="I1810" s="2"/>
      <c r="J1810" s="2"/>
      <c r="K1810" s="2" t="str">
        <f t="shared" si="2"/>
        <v/>
      </c>
      <c r="L1810" s="2" t="str">
        <f t="shared" si="3"/>
        <v>No</v>
      </c>
      <c r="M1810" s="2" t="str">
        <f>IF(K1810="","",F1810*VLOOKUP(E1810,WEIGHTS!$A$2:$F$4,2,FALSE)+G1810*VLOOKUP(E1810,WEIGHTS!$A$2:$F$4,3,FALSE)+H1810*VLOOKUP(E1810,WEIGHTS!$A$2:$F$4,4,FALSE)+I1810*VLOOKUP(E1810,WEIGHTS!$A$2:$F$4,5,FALSE)+J1810*VLOOKUP(E1810,WEIGHTS!$A$2:$F$4,6,FALSE))</f>
        <v/>
      </c>
      <c r="N1810" s="2" t="str">
        <f t="shared" si="4"/>
        <v/>
      </c>
    </row>
    <row r="1811" ht="15.75" customHeight="1">
      <c r="A1811" s="3"/>
      <c r="B1811" s="2" t="str">
        <f t="shared" si="1"/>
        <v/>
      </c>
      <c r="E1811" s="2"/>
      <c r="F1811" s="2"/>
      <c r="G1811" s="2"/>
      <c r="H1811" s="2"/>
      <c r="I1811" s="2"/>
      <c r="J1811" s="2"/>
      <c r="K1811" s="2" t="str">
        <f t="shared" si="2"/>
        <v/>
      </c>
      <c r="L1811" s="2" t="str">
        <f t="shared" si="3"/>
        <v>No</v>
      </c>
      <c r="M1811" s="2" t="str">
        <f>IF(K1811="","",F1811*VLOOKUP(E1811,WEIGHTS!$A$2:$F$4,2,FALSE)+G1811*VLOOKUP(E1811,WEIGHTS!$A$2:$F$4,3,FALSE)+H1811*VLOOKUP(E1811,WEIGHTS!$A$2:$F$4,4,FALSE)+I1811*VLOOKUP(E1811,WEIGHTS!$A$2:$F$4,5,FALSE)+J1811*VLOOKUP(E1811,WEIGHTS!$A$2:$F$4,6,FALSE))</f>
        <v/>
      </c>
      <c r="N1811" s="2" t="str">
        <f t="shared" si="4"/>
        <v/>
      </c>
    </row>
    <row r="1812" ht="15.75" customHeight="1">
      <c r="A1812" s="3"/>
      <c r="B1812" s="2" t="str">
        <f t="shared" si="1"/>
        <v/>
      </c>
      <c r="E1812" s="2"/>
      <c r="F1812" s="2"/>
      <c r="G1812" s="2"/>
      <c r="H1812" s="2"/>
      <c r="I1812" s="2"/>
      <c r="J1812" s="2"/>
      <c r="K1812" s="2" t="str">
        <f t="shared" si="2"/>
        <v/>
      </c>
      <c r="L1812" s="2" t="str">
        <f t="shared" si="3"/>
        <v>No</v>
      </c>
      <c r="M1812" s="2" t="str">
        <f>IF(K1812="","",F1812*VLOOKUP(E1812,WEIGHTS!$A$2:$F$4,2,FALSE)+G1812*VLOOKUP(E1812,WEIGHTS!$A$2:$F$4,3,FALSE)+H1812*VLOOKUP(E1812,WEIGHTS!$A$2:$F$4,4,FALSE)+I1812*VLOOKUP(E1812,WEIGHTS!$A$2:$F$4,5,FALSE)+J1812*VLOOKUP(E1812,WEIGHTS!$A$2:$F$4,6,FALSE))</f>
        <v/>
      </c>
      <c r="N1812" s="2" t="str">
        <f t="shared" si="4"/>
        <v/>
      </c>
    </row>
    <row r="1813" ht="15.75" customHeight="1">
      <c r="A1813" s="3"/>
      <c r="B1813" s="2" t="str">
        <f t="shared" si="1"/>
        <v/>
      </c>
      <c r="E1813" s="2"/>
      <c r="F1813" s="2"/>
      <c r="G1813" s="2"/>
      <c r="H1813" s="2"/>
      <c r="I1813" s="2"/>
      <c r="J1813" s="2"/>
      <c r="K1813" s="2" t="str">
        <f t="shared" si="2"/>
        <v/>
      </c>
      <c r="L1813" s="2" t="str">
        <f t="shared" si="3"/>
        <v>No</v>
      </c>
      <c r="M1813" s="2" t="str">
        <f>IF(K1813="","",F1813*VLOOKUP(E1813,WEIGHTS!$A$2:$F$4,2,FALSE)+G1813*VLOOKUP(E1813,WEIGHTS!$A$2:$F$4,3,FALSE)+H1813*VLOOKUP(E1813,WEIGHTS!$A$2:$F$4,4,FALSE)+I1813*VLOOKUP(E1813,WEIGHTS!$A$2:$F$4,5,FALSE)+J1813*VLOOKUP(E1813,WEIGHTS!$A$2:$F$4,6,FALSE))</f>
        <v/>
      </c>
      <c r="N1813" s="2" t="str">
        <f t="shared" si="4"/>
        <v/>
      </c>
    </row>
    <row r="1814" ht="15.75" customHeight="1">
      <c r="A1814" s="3"/>
      <c r="B1814" s="2" t="str">
        <f t="shared" si="1"/>
        <v/>
      </c>
      <c r="E1814" s="2"/>
      <c r="F1814" s="2"/>
      <c r="G1814" s="2"/>
      <c r="H1814" s="2"/>
      <c r="I1814" s="2"/>
      <c r="J1814" s="2"/>
      <c r="K1814" s="2" t="str">
        <f t="shared" si="2"/>
        <v/>
      </c>
      <c r="L1814" s="2" t="str">
        <f t="shared" si="3"/>
        <v>No</v>
      </c>
      <c r="M1814" s="2" t="str">
        <f>IF(K1814="","",F1814*VLOOKUP(E1814,WEIGHTS!$A$2:$F$4,2,FALSE)+G1814*VLOOKUP(E1814,WEIGHTS!$A$2:$F$4,3,FALSE)+H1814*VLOOKUP(E1814,WEIGHTS!$A$2:$F$4,4,FALSE)+I1814*VLOOKUP(E1814,WEIGHTS!$A$2:$F$4,5,FALSE)+J1814*VLOOKUP(E1814,WEIGHTS!$A$2:$F$4,6,FALSE))</f>
        <v/>
      </c>
      <c r="N1814" s="2" t="str">
        <f t="shared" si="4"/>
        <v/>
      </c>
    </row>
    <row r="1815" ht="15.75" customHeight="1">
      <c r="A1815" s="3"/>
      <c r="B1815" s="2" t="str">
        <f t="shared" si="1"/>
        <v/>
      </c>
      <c r="E1815" s="2"/>
      <c r="F1815" s="2"/>
      <c r="G1815" s="2"/>
      <c r="H1815" s="2"/>
      <c r="I1815" s="2"/>
      <c r="J1815" s="2"/>
      <c r="K1815" s="2" t="str">
        <f t="shared" si="2"/>
        <v/>
      </c>
      <c r="L1815" s="2" t="str">
        <f t="shared" si="3"/>
        <v>No</v>
      </c>
      <c r="M1815" s="2" t="str">
        <f>IF(K1815="","",F1815*VLOOKUP(E1815,WEIGHTS!$A$2:$F$4,2,FALSE)+G1815*VLOOKUP(E1815,WEIGHTS!$A$2:$F$4,3,FALSE)+H1815*VLOOKUP(E1815,WEIGHTS!$A$2:$F$4,4,FALSE)+I1815*VLOOKUP(E1815,WEIGHTS!$A$2:$F$4,5,FALSE)+J1815*VLOOKUP(E1815,WEIGHTS!$A$2:$F$4,6,FALSE))</f>
        <v/>
      </c>
      <c r="N1815" s="2" t="str">
        <f t="shared" si="4"/>
        <v/>
      </c>
    </row>
    <row r="1816" ht="15.75" customHeight="1">
      <c r="A1816" s="3"/>
      <c r="B1816" s="2" t="str">
        <f t="shared" si="1"/>
        <v/>
      </c>
      <c r="E1816" s="2"/>
      <c r="F1816" s="2"/>
      <c r="G1816" s="2"/>
      <c r="H1816" s="2"/>
      <c r="I1816" s="2"/>
      <c r="J1816" s="2"/>
      <c r="K1816" s="2" t="str">
        <f t="shared" si="2"/>
        <v/>
      </c>
      <c r="L1816" s="2" t="str">
        <f t="shared" si="3"/>
        <v>No</v>
      </c>
      <c r="M1816" s="2" t="str">
        <f>IF(K1816="","",F1816*VLOOKUP(E1816,WEIGHTS!$A$2:$F$4,2,FALSE)+G1816*VLOOKUP(E1816,WEIGHTS!$A$2:$F$4,3,FALSE)+H1816*VLOOKUP(E1816,WEIGHTS!$A$2:$F$4,4,FALSE)+I1816*VLOOKUP(E1816,WEIGHTS!$A$2:$F$4,5,FALSE)+J1816*VLOOKUP(E1816,WEIGHTS!$A$2:$F$4,6,FALSE))</f>
        <v/>
      </c>
      <c r="N1816" s="2" t="str">
        <f t="shared" si="4"/>
        <v/>
      </c>
    </row>
    <row r="1817" ht="15.75" customHeight="1">
      <c r="A1817" s="3"/>
      <c r="B1817" s="2" t="str">
        <f t="shared" si="1"/>
        <v/>
      </c>
      <c r="E1817" s="2"/>
      <c r="F1817" s="2"/>
      <c r="G1817" s="2"/>
      <c r="H1817" s="2"/>
      <c r="I1817" s="2"/>
      <c r="J1817" s="2"/>
      <c r="K1817" s="2" t="str">
        <f t="shared" si="2"/>
        <v/>
      </c>
      <c r="L1817" s="2" t="str">
        <f t="shared" si="3"/>
        <v>No</v>
      </c>
      <c r="M1817" s="2" t="str">
        <f>IF(K1817="","",F1817*VLOOKUP(E1817,WEIGHTS!$A$2:$F$4,2,FALSE)+G1817*VLOOKUP(E1817,WEIGHTS!$A$2:$F$4,3,FALSE)+H1817*VLOOKUP(E1817,WEIGHTS!$A$2:$F$4,4,FALSE)+I1817*VLOOKUP(E1817,WEIGHTS!$A$2:$F$4,5,FALSE)+J1817*VLOOKUP(E1817,WEIGHTS!$A$2:$F$4,6,FALSE))</f>
        <v/>
      </c>
      <c r="N1817" s="2" t="str">
        <f t="shared" si="4"/>
        <v/>
      </c>
    </row>
    <row r="1818" ht="15.75" customHeight="1">
      <c r="A1818" s="3"/>
      <c r="B1818" s="2" t="str">
        <f t="shared" si="1"/>
        <v/>
      </c>
      <c r="E1818" s="2"/>
      <c r="F1818" s="2"/>
      <c r="G1818" s="2"/>
      <c r="H1818" s="2"/>
      <c r="I1818" s="2"/>
      <c r="J1818" s="2"/>
      <c r="K1818" s="2" t="str">
        <f t="shared" si="2"/>
        <v/>
      </c>
      <c r="L1818" s="2" t="str">
        <f t="shared" si="3"/>
        <v>No</v>
      </c>
      <c r="M1818" s="2" t="str">
        <f>IF(K1818="","",F1818*VLOOKUP(E1818,WEIGHTS!$A$2:$F$4,2,FALSE)+G1818*VLOOKUP(E1818,WEIGHTS!$A$2:$F$4,3,FALSE)+H1818*VLOOKUP(E1818,WEIGHTS!$A$2:$F$4,4,FALSE)+I1818*VLOOKUP(E1818,WEIGHTS!$A$2:$F$4,5,FALSE)+J1818*VLOOKUP(E1818,WEIGHTS!$A$2:$F$4,6,FALSE))</f>
        <v/>
      </c>
      <c r="N1818" s="2" t="str">
        <f t="shared" si="4"/>
        <v/>
      </c>
    </row>
    <row r="1819" ht="15.75" customHeight="1">
      <c r="A1819" s="3"/>
      <c r="B1819" s="2" t="str">
        <f t="shared" si="1"/>
        <v/>
      </c>
      <c r="E1819" s="2"/>
      <c r="F1819" s="2"/>
      <c r="G1819" s="2"/>
      <c r="H1819" s="2"/>
      <c r="I1819" s="2"/>
      <c r="J1819" s="2"/>
      <c r="K1819" s="2" t="str">
        <f t="shared" si="2"/>
        <v/>
      </c>
      <c r="L1819" s="2" t="str">
        <f t="shared" si="3"/>
        <v>No</v>
      </c>
      <c r="M1819" s="2" t="str">
        <f>IF(K1819="","",F1819*VLOOKUP(E1819,WEIGHTS!$A$2:$F$4,2,FALSE)+G1819*VLOOKUP(E1819,WEIGHTS!$A$2:$F$4,3,FALSE)+H1819*VLOOKUP(E1819,WEIGHTS!$A$2:$F$4,4,FALSE)+I1819*VLOOKUP(E1819,WEIGHTS!$A$2:$F$4,5,FALSE)+J1819*VLOOKUP(E1819,WEIGHTS!$A$2:$F$4,6,FALSE))</f>
        <v/>
      </c>
      <c r="N1819" s="2" t="str">
        <f t="shared" si="4"/>
        <v/>
      </c>
    </row>
    <row r="1820" ht="15.75" customHeight="1">
      <c r="A1820" s="3"/>
      <c r="B1820" s="2" t="str">
        <f t="shared" si="1"/>
        <v/>
      </c>
      <c r="E1820" s="2"/>
      <c r="F1820" s="2"/>
      <c r="G1820" s="2"/>
      <c r="H1820" s="2"/>
      <c r="I1820" s="2"/>
      <c r="J1820" s="2"/>
      <c r="K1820" s="2" t="str">
        <f t="shared" si="2"/>
        <v/>
      </c>
      <c r="L1820" s="2" t="str">
        <f t="shared" si="3"/>
        <v>No</v>
      </c>
      <c r="M1820" s="2" t="str">
        <f>IF(K1820="","",F1820*VLOOKUP(E1820,WEIGHTS!$A$2:$F$4,2,FALSE)+G1820*VLOOKUP(E1820,WEIGHTS!$A$2:$F$4,3,FALSE)+H1820*VLOOKUP(E1820,WEIGHTS!$A$2:$F$4,4,FALSE)+I1820*VLOOKUP(E1820,WEIGHTS!$A$2:$F$4,5,FALSE)+J1820*VLOOKUP(E1820,WEIGHTS!$A$2:$F$4,6,FALSE))</f>
        <v/>
      </c>
      <c r="N1820" s="2" t="str">
        <f t="shared" si="4"/>
        <v/>
      </c>
    </row>
    <row r="1821" ht="15.75" customHeight="1">
      <c r="A1821" s="3"/>
      <c r="B1821" s="2" t="str">
        <f t="shared" si="1"/>
        <v/>
      </c>
      <c r="E1821" s="2"/>
      <c r="F1821" s="2"/>
      <c r="G1821" s="2"/>
      <c r="H1821" s="2"/>
      <c r="I1821" s="2"/>
      <c r="J1821" s="2"/>
      <c r="K1821" s="2" t="str">
        <f t="shared" si="2"/>
        <v/>
      </c>
      <c r="L1821" s="2" t="str">
        <f t="shared" si="3"/>
        <v>No</v>
      </c>
      <c r="M1821" s="2" t="str">
        <f>IF(K1821="","",F1821*VLOOKUP(E1821,WEIGHTS!$A$2:$F$4,2,FALSE)+G1821*VLOOKUP(E1821,WEIGHTS!$A$2:$F$4,3,FALSE)+H1821*VLOOKUP(E1821,WEIGHTS!$A$2:$F$4,4,FALSE)+I1821*VLOOKUP(E1821,WEIGHTS!$A$2:$F$4,5,FALSE)+J1821*VLOOKUP(E1821,WEIGHTS!$A$2:$F$4,6,FALSE))</f>
        <v/>
      </c>
      <c r="N1821" s="2" t="str">
        <f t="shared" si="4"/>
        <v/>
      </c>
    </row>
    <row r="1822" ht="15.75" customHeight="1">
      <c r="A1822" s="3"/>
      <c r="B1822" s="2" t="str">
        <f t="shared" si="1"/>
        <v/>
      </c>
      <c r="E1822" s="2"/>
      <c r="F1822" s="2"/>
      <c r="G1822" s="2"/>
      <c r="H1822" s="2"/>
      <c r="I1822" s="2"/>
      <c r="J1822" s="2"/>
      <c r="K1822" s="2" t="str">
        <f t="shared" si="2"/>
        <v/>
      </c>
      <c r="L1822" s="2" t="str">
        <f t="shared" si="3"/>
        <v>No</v>
      </c>
      <c r="M1822" s="2" t="str">
        <f>IF(K1822="","",F1822*VLOOKUP(E1822,WEIGHTS!$A$2:$F$4,2,FALSE)+G1822*VLOOKUP(E1822,WEIGHTS!$A$2:$F$4,3,FALSE)+H1822*VLOOKUP(E1822,WEIGHTS!$A$2:$F$4,4,FALSE)+I1822*VLOOKUP(E1822,WEIGHTS!$A$2:$F$4,5,FALSE)+J1822*VLOOKUP(E1822,WEIGHTS!$A$2:$F$4,6,FALSE))</f>
        <v/>
      </c>
      <c r="N1822" s="2" t="str">
        <f t="shared" si="4"/>
        <v/>
      </c>
    </row>
    <row r="1823" ht="15.75" customHeight="1">
      <c r="A1823" s="3"/>
      <c r="B1823" s="2" t="str">
        <f t="shared" si="1"/>
        <v/>
      </c>
      <c r="E1823" s="2"/>
      <c r="F1823" s="2"/>
      <c r="G1823" s="2"/>
      <c r="H1823" s="2"/>
      <c r="I1823" s="2"/>
      <c r="J1823" s="2"/>
      <c r="K1823" s="2" t="str">
        <f t="shared" si="2"/>
        <v/>
      </c>
      <c r="L1823" s="2" t="str">
        <f t="shared" si="3"/>
        <v>No</v>
      </c>
      <c r="M1823" s="2" t="str">
        <f>IF(K1823="","",F1823*VLOOKUP(E1823,WEIGHTS!$A$2:$F$4,2,FALSE)+G1823*VLOOKUP(E1823,WEIGHTS!$A$2:$F$4,3,FALSE)+H1823*VLOOKUP(E1823,WEIGHTS!$A$2:$F$4,4,FALSE)+I1823*VLOOKUP(E1823,WEIGHTS!$A$2:$F$4,5,FALSE)+J1823*VLOOKUP(E1823,WEIGHTS!$A$2:$F$4,6,FALSE))</f>
        <v/>
      </c>
      <c r="N1823" s="2" t="str">
        <f t="shared" si="4"/>
        <v/>
      </c>
    </row>
    <row r="1824" ht="15.75" customHeight="1">
      <c r="A1824" s="3"/>
      <c r="B1824" s="2" t="str">
        <f t="shared" si="1"/>
        <v/>
      </c>
      <c r="E1824" s="2"/>
      <c r="F1824" s="2"/>
      <c r="G1824" s="2"/>
      <c r="H1824" s="2"/>
      <c r="I1824" s="2"/>
      <c r="J1824" s="2"/>
      <c r="K1824" s="2" t="str">
        <f t="shared" si="2"/>
        <v/>
      </c>
      <c r="L1824" s="2" t="str">
        <f t="shared" si="3"/>
        <v>No</v>
      </c>
      <c r="M1824" s="2" t="str">
        <f>IF(K1824="","",F1824*VLOOKUP(E1824,WEIGHTS!$A$2:$F$4,2,FALSE)+G1824*VLOOKUP(E1824,WEIGHTS!$A$2:$F$4,3,FALSE)+H1824*VLOOKUP(E1824,WEIGHTS!$A$2:$F$4,4,FALSE)+I1824*VLOOKUP(E1824,WEIGHTS!$A$2:$F$4,5,FALSE)+J1824*VLOOKUP(E1824,WEIGHTS!$A$2:$F$4,6,FALSE))</f>
        <v/>
      </c>
      <c r="N1824" s="2" t="str">
        <f t="shared" si="4"/>
        <v/>
      </c>
    </row>
    <row r="1825" ht="15.75" customHeight="1">
      <c r="A1825" s="3"/>
      <c r="B1825" s="2" t="str">
        <f t="shared" si="1"/>
        <v/>
      </c>
      <c r="E1825" s="2"/>
      <c r="F1825" s="2"/>
      <c r="G1825" s="2"/>
      <c r="H1825" s="2"/>
      <c r="I1825" s="2"/>
      <c r="J1825" s="2"/>
      <c r="K1825" s="2" t="str">
        <f t="shared" si="2"/>
        <v/>
      </c>
      <c r="L1825" s="2" t="str">
        <f t="shared" si="3"/>
        <v>No</v>
      </c>
      <c r="M1825" s="2" t="str">
        <f>IF(K1825="","",F1825*VLOOKUP(E1825,WEIGHTS!$A$2:$F$4,2,FALSE)+G1825*VLOOKUP(E1825,WEIGHTS!$A$2:$F$4,3,FALSE)+H1825*VLOOKUP(E1825,WEIGHTS!$A$2:$F$4,4,FALSE)+I1825*VLOOKUP(E1825,WEIGHTS!$A$2:$F$4,5,FALSE)+J1825*VLOOKUP(E1825,WEIGHTS!$A$2:$F$4,6,FALSE))</f>
        <v/>
      </c>
      <c r="N1825" s="2" t="str">
        <f t="shared" si="4"/>
        <v/>
      </c>
    </row>
    <row r="1826" ht="15.75" customHeight="1">
      <c r="A1826" s="3"/>
      <c r="B1826" s="2" t="str">
        <f t="shared" si="1"/>
        <v/>
      </c>
      <c r="E1826" s="2"/>
      <c r="F1826" s="2"/>
      <c r="G1826" s="2"/>
      <c r="H1826" s="2"/>
      <c r="I1826" s="2"/>
      <c r="J1826" s="2"/>
      <c r="K1826" s="2" t="str">
        <f t="shared" si="2"/>
        <v/>
      </c>
      <c r="L1826" s="2" t="str">
        <f t="shared" si="3"/>
        <v>No</v>
      </c>
      <c r="M1826" s="2" t="str">
        <f>IF(K1826="","",F1826*VLOOKUP(E1826,WEIGHTS!$A$2:$F$4,2,FALSE)+G1826*VLOOKUP(E1826,WEIGHTS!$A$2:$F$4,3,FALSE)+H1826*VLOOKUP(E1826,WEIGHTS!$A$2:$F$4,4,FALSE)+I1826*VLOOKUP(E1826,WEIGHTS!$A$2:$F$4,5,FALSE)+J1826*VLOOKUP(E1826,WEIGHTS!$A$2:$F$4,6,FALSE))</f>
        <v/>
      </c>
      <c r="N1826" s="2" t="str">
        <f t="shared" si="4"/>
        <v/>
      </c>
    </row>
    <row r="1827" ht="15.75" customHeight="1">
      <c r="A1827" s="3"/>
      <c r="B1827" s="2" t="str">
        <f t="shared" si="1"/>
        <v/>
      </c>
      <c r="E1827" s="2"/>
      <c r="F1827" s="2"/>
      <c r="G1827" s="2"/>
      <c r="H1827" s="2"/>
      <c r="I1827" s="2"/>
      <c r="J1827" s="2"/>
      <c r="K1827" s="2" t="str">
        <f t="shared" si="2"/>
        <v/>
      </c>
      <c r="L1827" s="2" t="str">
        <f t="shared" si="3"/>
        <v>No</v>
      </c>
      <c r="M1827" s="2" t="str">
        <f>IF(K1827="","",F1827*VLOOKUP(E1827,WEIGHTS!$A$2:$F$4,2,FALSE)+G1827*VLOOKUP(E1827,WEIGHTS!$A$2:$F$4,3,FALSE)+H1827*VLOOKUP(E1827,WEIGHTS!$A$2:$F$4,4,FALSE)+I1827*VLOOKUP(E1827,WEIGHTS!$A$2:$F$4,5,FALSE)+J1827*VLOOKUP(E1827,WEIGHTS!$A$2:$F$4,6,FALSE))</f>
        <v/>
      </c>
      <c r="N1827" s="2" t="str">
        <f t="shared" si="4"/>
        <v/>
      </c>
    </row>
    <row r="1828" ht="15.75" customHeight="1">
      <c r="A1828" s="3"/>
      <c r="B1828" s="2" t="str">
        <f t="shared" si="1"/>
        <v/>
      </c>
      <c r="E1828" s="2"/>
      <c r="F1828" s="2"/>
      <c r="G1828" s="2"/>
      <c r="H1828" s="2"/>
      <c r="I1828" s="2"/>
      <c r="J1828" s="2"/>
      <c r="K1828" s="2" t="str">
        <f t="shared" si="2"/>
        <v/>
      </c>
      <c r="L1828" s="2" t="str">
        <f t="shared" si="3"/>
        <v>No</v>
      </c>
      <c r="M1828" s="2" t="str">
        <f>IF(K1828="","",F1828*VLOOKUP(E1828,WEIGHTS!$A$2:$F$4,2,FALSE)+G1828*VLOOKUP(E1828,WEIGHTS!$A$2:$F$4,3,FALSE)+H1828*VLOOKUP(E1828,WEIGHTS!$A$2:$F$4,4,FALSE)+I1828*VLOOKUP(E1828,WEIGHTS!$A$2:$F$4,5,FALSE)+J1828*VLOOKUP(E1828,WEIGHTS!$A$2:$F$4,6,FALSE))</f>
        <v/>
      </c>
      <c r="N1828" s="2" t="str">
        <f t="shared" si="4"/>
        <v/>
      </c>
    </row>
    <row r="1829" ht="15.75" customHeight="1">
      <c r="A1829" s="3"/>
      <c r="B1829" s="2" t="str">
        <f t="shared" si="1"/>
        <v/>
      </c>
      <c r="E1829" s="2"/>
      <c r="F1829" s="2"/>
      <c r="G1829" s="2"/>
      <c r="H1829" s="2"/>
      <c r="I1829" s="2"/>
      <c r="J1829" s="2"/>
      <c r="K1829" s="2" t="str">
        <f t="shared" si="2"/>
        <v/>
      </c>
      <c r="L1829" s="2" t="str">
        <f t="shared" si="3"/>
        <v>No</v>
      </c>
      <c r="M1829" s="2" t="str">
        <f>IF(K1829="","",F1829*VLOOKUP(E1829,WEIGHTS!$A$2:$F$4,2,FALSE)+G1829*VLOOKUP(E1829,WEIGHTS!$A$2:$F$4,3,FALSE)+H1829*VLOOKUP(E1829,WEIGHTS!$A$2:$F$4,4,FALSE)+I1829*VLOOKUP(E1829,WEIGHTS!$A$2:$F$4,5,FALSE)+J1829*VLOOKUP(E1829,WEIGHTS!$A$2:$F$4,6,FALSE))</f>
        <v/>
      </c>
      <c r="N1829" s="2" t="str">
        <f t="shared" si="4"/>
        <v/>
      </c>
    </row>
    <row r="1830" ht="15.75" customHeight="1">
      <c r="A1830" s="3"/>
      <c r="B1830" s="2" t="str">
        <f t="shared" si="1"/>
        <v/>
      </c>
      <c r="E1830" s="2"/>
      <c r="F1830" s="2"/>
      <c r="G1830" s="2"/>
      <c r="H1830" s="2"/>
      <c r="I1830" s="2"/>
      <c r="J1830" s="2"/>
      <c r="K1830" s="2" t="str">
        <f t="shared" si="2"/>
        <v/>
      </c>
      <c r="L1830" s="2" t="str">
        <f t="shared" si="3"/>
        <v>No</v>
      </c>
      <c r="M1830" s="2" t="str">
        <f>IF(K1830="","",F1830*VLOOKUP(E1830,WEIGHTS!$A$2:$F$4,2,FALSE)+G1830*VLOOKUP(E1830,WEIGHTS!$A$2:$F$4,3,FALSE)+H1830*VLOOKUP(E1830,WEIGHTS!$A$2:$F$4,4,FALSE)+I1830*VLOOKUP(E1830,WEIGHTS!$A$2:$F$4,5,FALSE)+J1830*VLOOKUP(E1830,WEIGHTS!$A$2:$F$4,6,FALSE))</f>
        <v/>
      </c>
      <c r="N1830" s="2" t="str">
        <f t="shared" si="4"/>
        <v/>
      </c>
    </row>
    <row r="1831" ht="15.75" customHeight="1">
      <c r="A1831" s="3"/>
      <c r="B1831" s="2" t="str">
        <f t="shared" si="1"/>
        <v/>
      </c>
      <c r="E1831" s="2"/>
      <c r="F1831" s="2"/>
      <c r="G1831" s="2"/>
      <c r="H1831" s="2"/>
      <c r="I1831" s="2"/>
      <c r="J1831" s="2"/>
      <c r="K1831" s="2" t="str">
        <f t="shared" si="2"/>
        <v/>
      </c>
      <c r="L1831" s="2" t="str">
        <f t="shared" si="3"/>
        <v>No</v>
      </c>
      <c r="M1831" s="2" t="str">
        <f>IF(K1831="","",F1831*VLOOKUP(E1831,WEIGHTS!$A$2:$F$4,2,FALSE)+G1831*VLOOKUP(E1831,WEIGHTS!$A$2:$F$4,3,FALSE)+H1831*VLOOKUP(E1831,WEIGHTS!$A$2:$F$4,4,FALSE)+I1831*VLOOKUP(E1831,WEIGHTS!$A$2:$F$4,5,FALSE)+J1831*VLOOKUP(E1831,WEIGHTS!$A$2:$F$4,6,FALSE))</f>
        <v/>
      </c>
      <c r="N1831" s="2" t="str">
        <f t="shared" si="4"/>
        <v/>
      </c>
    </row>
    <row r="1832" ht="15.75" customHeight="1">
      <c r="A1832" s="3"/>
      <c r="B1832" s="2" t="str">
        <f t="shared" si="1"/>
        <v/>
      </c>
      <c r="E1832" s="2"/>
      <c r="F1832" s="2"/>
      <c r="G1832" s="2"/>
      <c r="H1832" s="2"/>
      <c r="I1832" s="2"/>
      <c r="J1832" s="2"/>
      <c r="K1832" s="2" t="str">
        <f t="shared" si="2"/>
        <v/>
      </c>
      <c r="L1832" s="2" t="str">
        <f t="shared" si="3"/>
        <v>No</v>
      </c>
      <c r="M1832" s="2" t="str">
        <f>IF(K1832="","",F1832*VLOOKUP(E1832,WEIGHTS!$A$2:$F$4,2,FALSE)+G1832*VLOOKUP(E1832,WEIGHTS!$A$2:$F$4,3,FALSE)+H1832*VLOOKUP(E1832,WEIGHTS!$A$2:$F$4,4,FALSE)+I1832*VLOOKUP(E1832,WEIGHTS!$A$2:$F$4,5,FALSE)+J1832*VLOOKUP(E1832,WEIGHTS!$A$2:$F$4,6,FALSE))</f>
        <v/>
      </c>
      <c r="N1832" s="2" t="str">
        <f t="shared" si="4"/>
        <v/>
      </c>
    </row>
    <row r="1833" ht="15.75" customHeight="1">
      <c r="A1833" s="3"/>
      <c r="B1833" s="2" t="str">
        <f t="shared" si="1"/>
        <v/>
      </c>
      <c r="E1833" s="2"/>
      <c r="F1833" s="2"/>
      <c r="G1833" s="2"/>
      <c r="H1833" s="2"/>
      <c r="I1833" s="2"/>
      <c r="J1833" s="2"/>
      <c r="K1833" s="2" t="str">
        <f t="shared" si="2"/>
        <v/>
      </c>
      <c r="L1833" s="2" t="str">
        <f t="shared" si="3"/>
        <v>No</v>
      </c>
      <c r="M1833" s="2" t="str">
        <f>IF(K1833="","",F1833*VLOOKUP(E1833,WEIGHTS!$A$2:$F$4,2,FALSE)+G1833*VLOOKUP(E1833,WEIGHTS!$A$2:$F$4,3,FALSE)+H1833*VLOOKUP(E1833,WEIGHTS!$A$2:$F$4,4,FALSE)+I1833*VLOOKUP(E1833,WEIGHTS!$A$2:$F$4,5,FALSE)+J1833*VLOOKUP(E1833,WEIGHTS!$A$2:$F$4,6,FALSE))</f>
        <v/>
      </c>
      <c r="N1833" s="2" t="str">
        <f t="shared" si="4"/>
        <v/>
      </c>
    </row>
    <row r="1834" ht="15.75" customHeight="1">
      <c r="A1834" s="3"/>
      <c r="B1834" s="2" t="str">
        <f t="shared" si="1"/>
        <v/>
      </c>
      <c r="E1834" s="2"/>
      <c r="F1834" s="2"/>
      <c r="G1834" s="2"/>
      <c r="H1834" s="2"/>
      <c r="I1834" s="2"/>
      <c r="J1834" s="2"/>
      <c r="K1834" s="2" t="str">
        <f t="shared" si="2"/>
        <v/>
      </c>
      <c r="L1834" s="2" t="str">
        <f t="shared" si="3"/>
        <v>No</v>
      </c>
      <c r="M1834" s="2" t="str">
        <f>IF(K1834="","",F1834*VLOOKUP(E1834,WEIGHTS!$A$2:$F$4,2,FALSE)+G1834*VLOOKUP(E1834,WEIGHTS!$A$2:$F$4,3,FALSE)+H1834*VLOOKUP(E1834,WEIGHTS!$A$2:$F$4,4,FALSE)+I1834*VLOOKUP(E1834,WEIGHTS!$A$2:$F$4,5,FALSE)+J1834*VLOOKUP(E1834,WEIGHTS!$A$2:$F$4,6,FALSE))</f>
        <v/>
      </c>
      <c r="N1834" s="2" t="str">
        <f t="shared" si="4"/>
        <v/>
      </c>
    </row>
    <row r="1835" ht="15.75" customHeight="1">
      <c r="A1835" s="3"/>
      <c r="B1835" s="2" t="str">
        <f t="shared" si="1"/>
        <v/>
      </c>
      <c r="E1835" s="2"/>
      <c r="F1835" s="2"/>
      <c r="G1835" s="2"/>
      <c r="H1835" s="2"/>
      <c r="I1835" s="2"/>
      <c r="J1835" s="2"/>
      <c r="K1835" s="2" t="str">
        <f t="shared" si="2"/>
        <v/>
      </c>
      <c r="L1835" s="2" t="str">
        <f t="shared" si="3"/>
        <v>No</v>
      </c>
      <c r="M1835" s="2" t="str">
        <f>IF(K1835="","",F1835*VLOOKUP(E1835,WEIGHTS!$A$2:$F$4,2,FALSE)+G1835*VLOOKUP(E1835,WEIGHTS!$A$2:$F$4,3,FALSE)+H1835*VLOOKUP(E1835,WEIGHTS!$A$2:$F$4,4,FALSE)+I1835*VLOOKUP(E1835,WEIGHTS!$A$2:$F$4,5,FALSE)+J1835*VLOOKUP(E1835,WEIGHTS!$A$2:$F$4,6,FALSE))</f>
        <v/>
      </c>
      <c r="N1835" s="2" t="str">
        <f t="shared" si="4"/>
        <v/>
      </c>
    </row>
    <row r="1836" ht="15.75" customHeight="1">
      <c r="A1836" s="3"/>
      <c r="B1836" s="2" t="str">
        <f t="shared" si="1"/>
        <v/>
      </c>
      <c r="E1836" s="2"/>
      <c r="F1836" s="2"/>
      <c r="G1836" s="2"/>
      <c r="H1836" s="2"/>
      <c r="I1836" s="2"/>
      <c r="J1836" s="2"/>
      <c r="K1836" s="2" t="str">
        <f t="shared" si="2"/>
        <v/>
      </c>
      <c r="L1836" s="2" t="str">
        <f t="shared" si="3"/>
        <v>No</v>
      </c>
      <c r="M1836" s="2" t="str">
        <f>IF(K1836="","",F1836*VLOOKUP(E1836,WEIGHTS!$A$2:$F$4,2,FALSE)+G1836*VLOOKUP(E1836,WEIGHTS!$A$2:$F$4,3,FALSE)+H1836*VLOOKUP(E1836,WEIGHTS!$A$2:$F$4,4,FALSE)+I1836*VLOOKUP(E1836,WEIGHTS!$A$2:$F$4,5,FALSE)+J1836*VLOOKUP(E1836,WEIGHTS!$A$2:$F$4,6,FALSE))</f>
        <v/>
      </c>
      <c r="N1836" s="2" t="str">
        <f t="shared" si="4"/>
        <v/>
      </c>
    </row>
    <row r="1837" ht="15.75" customHeight="1">
      <c r="A1837" s="3"/>
      <c r="B1837" s="2" t="str">
        <f t="shared" si="1"/>
        <v/>
      </c>
      <c r="E1837" s="2"/>
      <c r="F1837" s="2"/>
      <c r="G1837" s="2"/>
      <c r="H1837" s="2"/>
      <c r="I1837" s="2"/>
      <c r="J1837" s="2"/>
      <c r="K1837" s="2" t="str">
        <f t="shared" si="2"/>
        <v/>
      </c>
      <c r="L1837" s="2" t="str">
        <f t="shared" si="3"/>
        <v>No</v>
      </c>
      <c r="M1837" s="2" t="str">
        <f>IF(K1837="","",F1837*VLOOKUP(E1837,WEIGHTS!$A$2:$F$4,2,FALSE)+G1837*VLOOKUP(E1837,WEIGHTS!$A$2:$F$4,3,FALSE)+H1837*VLOOKUP(E1837,WEIGHTS!$A$2:$F$4,4,FALSE)+I1837*VLOOKUP(E1837,WEIGHTS!$A$2:$F$4,5,FALSE)+J1837*VLOOKUP(E1837,WEIGHTS!$A$2:$F$4,6,FALSE))</f>
        <v/>
      </c>
      <c r="N1837" s="2" t="str">
        <f t="shared" si="4"/>
        <v/>
      </c>
    </row>
    <row r="1838" ht="15.75" customHeight="1">
      <c r="A1838" s="3"/>
      <c r="B1838" s="2" t="str">
        <f t="shared" si="1"/>
        <v/>
      </c>
      <c r="E1838" s="2"/>
      <c r="F1838" s="2"/>
      <c r="G1838" s="2"/>
      <c r="H1838" s="2"/>
      <c r="I1838" s="2"/>
      <c r="J1838" s="2"/>
      <c r="K1838" s="2" t="str">
        <f t="shared" si="2"/>
        <v/>
      </c>
      <c r="L1838" s="2" t="str">
        <f t="shared" si="3"/>
        <v>No</v>
      </c>
      <c r="M1838" s="2" t="str">
        <f>IF(K1838="","",F1838*VLOOKUP(E1838,WEIGHTS!$A$2:$F$4,2,FALSE)+G1838*VLOOKUP(E1838,WEIGHTS!$A$2:$F$4,3,FALSE)+H1838*VLOOKUP(E1838,WEIGHTS!$A$2:$F$4,4,FALSE)+I1838*VLOOKUP(E1838,WEIGHTS!$A$2:$F$4,5,FALSE)+J1838*VLOOKUP(E1838,WEIGHTS!$A$2:$F$4,6,FALSE))</f>
        <v/>
      </c>
      <c r="N1838" s="2" t="str">
        <f t="shared" si="4"/>
        <v/>
      </c>
    </row>
    <row r="1839" ht="15.75" customHeight="1">
      <c r="A1839" s="3"/>
      <c r="B1839" s="2" t="str">
        <f t="shared" si="1"/>
        <v/>
      </c>
      <c r="E1839" s="2"/>
      <c r="F1839" s="2"/>
      <c r="G1839" s="2"/>
      <c r="H1839" s="2"/>
      <c r="I1839" s="2"/>
      <c r="J1839" s="2"/>
      <c r="K1839" s="2" t="str">
        <f t="shared" si="2"/>
        <v/>
      </c>
      <c r="L1839" s="2" t="str">
        <f t="shared" si="3"/>
        <v>No</v>
      </c>
      <c r="M1839" s="2" t="str">
        <f>IF(K1839="","",F1839*VLOOKUP(E1839,WEIGHTS!$A$2:$F$4,2,FALSE)+G1839*VLOOKUP(E1839,WEIGHTS!$A$2:$F$4,3,FALSE)+H1839*VLOOKUP(E1839,WEIGHTS!$A$2:$F$4,4,FALSE)+I1839*VLOOKUP(E1839,WEIGHTS!$A$2:$F$4,5,FALSE)+J1839*VLOOKUP(E1839,WEIGHTS!$A$2:$F$4,6,FALSE))</f>
        <v/>
      </c>
      <c r="N1839" s="2" t="str">
        <f t="shared" si="4"/>
        <v/>
      </c>
    </row>
    <row r="1840" ht="15.75" customHeight="1">
      <c r="A1840" s="3"/>
      <c r="B1840" s="2" t="str">
        <f t="shared" si="1"/>
        <v/>
      </c>
      <c r="E1840" s="2"/>
      <c r="F1840" s="2"/>
      <c r="G1840" s="2"/>
      <c r="H1840" s="2"/>
      <c r="I1840" s="2"/>
      <c r="J1840" s="2"/>
      <c r="K1840" s="2" t="str">
        <f t="shared" si="2"/>
        <v/>
      </c>
      <c r="L1840" s="2" t="str">
        <f t="shared" si="3"/>
        <v>No</v>
      </c>
      <c r="M1840" s="2" t="str">
        <f>IF(K1840="","",F1840*VLOOKUP(E1840,WEIGHTS!$A$2:$F$4,2,FALSE)+G1840*VLOOKUP(E1840,WEIGHTS!$A$2:$F$4,3,FALSE)+H1840*VLOOKUP(E1840,WEIGHTS!$A$2:$F$4,4,FALSE)+I1840*VLOOKUP(E1840,WEIGHTS!$A$2:$F$4,5,FALSE)+J1840*VLOOKUP(E1840,WEIGHTS!$A$2:$F$4,6,FALSE))</f>
        <v/>
      </c>
      <c r="N1840" s="2" t="str">
        <f t="shared" si="4"/>
        <v/>
      </c>
    </row>
    <row r="1841" ht="15.75" customHeight="1">
      <c r="A1841" s="3"/>
      <c r="B1841" s="2" t="str">
        <f t="shared" si="1"/>
        <v/>
      </c>
      <c r="E1841" s="2"/>
      <c r="F1841" s="2"/>
      <c r="G1841" s="2"/>
      <c r="H1841" s="2"/>
      <c r="I1841" s="2"/>
      <c r="J1841" s="2"/>
      <c r="K1841" s="2" t="str">
        <f t="shared" si="2"/>
        <v/>
      </c>
      <c r="L1841" s="2" t="str">
        <f t="shared" si="3"/>
        <v>No</v>
      </c>
      <c r="M1841" s="2" t="str">
        <f>IF(K1841="","",F1841*VLOOKUP(E1841,WEIGHTS!$A$2:$F$4,2,FALSE)+G1841*VLOOKUP(E1841,WEIGHTS!$A$2:$F$4,3,FALSE)+H1841*VLOOKUP(E1841,WEIGHTS!$A$2:$F$4,4,FALSE)+I1841*VLOOKUP(E1841,WEIGHTS!$A$2:$F$4,5,FALSE)+J1841*VLOOKUP(E1841,WEIGHTS!$A$2:$F$4,6,FALSE))</f>
        <v/>
      </c>
      <c r="N1841" s="2" t="str">
        <f t="shared" si="4"/>
        <v/>
      </c>
    </row>
    <row r="1842" ht="15.75" customHeight="1">
      <c r="A1842" s="3"/>
      <c r="B1842" s="2" t="str">
        <f t="shared" si="1"/>
        <v/>
      </c>
      <c r="E1842" s="2"/>
      <c r="F1842" s="2"/>
      <c r="G1842" s="2"/>
      <c r="H1842" s="2"/>
      <c r="I1842" s="2"/>
      <c r="J1842" s="2"/>
      <c r="K1842" s="2" t="str">
        <f t="shared" si="2"/>
        <v/>
      </c>
      <c r="L1842" s="2" t="str">
        <f t="shared" si="3"/>
        <v>No</v>
      </c>
      <c r="M1842" s="2" t="str">
        <f>IF(K1842="","",F1842*VLOOKUP(E1842,WEIGHTS!$A$2:$F$4,2,FALSE)+G1842*VLOOKUP(E1842,WEIGHTS!$A$2:$F$4,3,FALSE)+H1842*VLOOKUP(E1842,WEIGHTS!$A$2:$F$4,4,FALSE)+I1842*VLOOKUP(E1842,WEIGHTS!$A$2:$F$4,5,FALSE)+J1842*VLOOKUP(E1842,WEIGHTS!$A$2:$F$4,6,FALSE))</f>
        <v/>
      </c>
      <c r="N1842" s="2" t="str">
        <f t="shared" si="4"/>
        <v/>
      </c>
    </row>
    <row r="1843" ht="15.75" customHeight="1">
      <c r="A1843" s="3"/>
      <c r="B1843" s="2" t="str">
        <f t="shared" si="1"/>
        <v/>
      </c>
      <c r="E1843" s="2"/>
      <c r="F1843" s="2"/>
      <c r="G1843" s="2"/>
      <c r="H1843" s="2"/>
      <c r="I1843" s="2"/>
      <c r="J1843" s="2"/>
      <c r="K1843" s="2" t="str">
        <f t="shared" si="2"/>
        <v/>
      </c>
      <c r="L1843" s="2" t="str">
        <f t="shared" si="3"/>
        <v>No</v>
      </c>
      <c r="M1843" s="2" t="str">
        <f>IF(K1843="","",F1843*VLOOKUP(E1843,WEIGHTS!$A$2:$F$4,2,FALSE)+G1843*VLOOKUP(E1843,WEIGHTS!$A$2:$F$4,3,FALSE)+H1843*VLOOKUP(E1843,WEIGHTS!$A$2:$F$4,4,FALSE)+I1843*VLOOKUP(E1843,WEIGHTS!$A$2:$F$4,5,FALSE)+J1843*VLOOKUP(E1843,WEIGHTS!$A$2:$F$4,6,FALSE))</f>
        <v/>
      </c>
      <c r="N1843" s="2" t="str">
        <f t="shared" si="4"/>
        <v/>
      </c>
    </row>
    <row r="1844" ht="15.75" customHeight="1">
      <c r="A1844" s="3"/>
      <c r="B1844" s="2" t="str">
        <f t="shared" si="1"/>
        <v/>
      </c>
      <c r="E1844" s="2"/>
      <c r="F1844" s="2"/>
      <c r="G1844" s="2"/>
      <c r="H1844" s="2"/>
      <c r="I1844" s="2"/>
      <c r="J1844" s="2"/>
      <c r="K1844" s="2" t="str">
        <f t="shared" si="2"/>
        <v/>
      </c>
      <c r="L1844" s="2" t="str">
        <f t="shared" si="3"/>
        <v>No</v>
      </c>
      <c r="M1844" s="2" t="str">
        <f>IF(K1844="","",F1844*VLOOKUP(E1844,WEIGHTS!$A$2:$F$4,2,FALSE)+G1844*VLOOKUP(E1844,WEIGHTS!$A$2:$F$4,3,FALSE)+H1844*VLOOKUP(E1844,WEIGHTS!$A$2:$F$4,4,FALSE)+I1844*VLOOKUP(E1844,WEIGHTS!$A$2:$F$4,5,FALSE)+J1844*VLOOKUP(E1844,WEIGHTS!$A$2:$F$4,6,FALSE))</f>
        <v/>
      </c>
      <c r="N1844" s="2" t="str">
        <f t="shared" si="4"/>
        <v/>
      </c>
    </row>
    <row r="1845" ht="15.75" customHeight="1">
      <c r="A1845" s="3"/>
      <c r="B1845" s="2" t="str">
        <f t="shared" si="1"/>
        <v/>
      </c>
      <c r="E1845" s="2"/>
      <c r="F1845" s="2"/>
      <c r="G1845" s="2"/>
      <c r="H1845" s="2"/>
      <c r="I1845" s="2"/>
      <c r="J1845" s="2"/>
      <c r="K1845" s="2" t="str">
        <f t="shared" si="2"/>
        <v/>
      </c>
      <c r="L1845" s="2" t="str">
        <f t="shared" si="3"/>
        <v>No</v>
      </c>
      <c r="M1845" s="2" t="str">
        <f>IF(K1845="","",F1845*VLOOKUP(E1845,WEIGHTS!$A$2:$F$4,2,FALSE)+G1845*VLOOKUP(E1845,WEIGHTS!$A$2:$F$4,3,FALSE)+H1845*VLOOKUP(E1845,WEIGHTS!$A$2:$F$4,4,FALSE)+I1845*VLOOKUP(E1845,WEIGHTS!$A$2:$F$4,5,FALSE)+J1845*VLOOKUP(E1845,WEIGHTS!$A$2:$F$4,6,FALSE))</f>
        <v/>
      </c>
      <c r="N1845" s="2" t="str">
        <f t="shared" si="4"/>
        <v/>
      </c>
    </row>
    <row r="1846" ht="15.75" customHeight="1">
      <c r="A1846" s="3"/>
      <c r="B1846" s="2" t="str">
        <f t="shared" si="1"/>
        <v/>
      </c>
      <c r="E1846" s="2"/>
      <c r="F1846" s="2"/>
      <c r="G1846" s="2"/>
      <c r="H1846" s="2"/>
      <c r="I1846" s="2"/>
      <c r="J1846" s="2"/>
      <c r="K1846" s="2" t="str">
        <f t="shared" si="2"/>
        <v/>
      </c>
      <c r="L1846" s="2" t="str">
        <f t="shared" si="3"/>
        <v>No</v>
      </c>
      <c r="M1846" s="2" t="str">
        <f>IF(K1846="","",F1846*VLOOKUP(E1846,WEIGHTS!$A$2:$F$4,2,FALSE)+G1846*VLOOKUP(E1846,WEIGHTS!$A$2:$F$4,3,FALSE)+H1846*VLOOKUP(E1846,WEIGHTS!$A$2:$F$4,4,FALSE)+I1846*VLOOKUP(E1846,WEIGHTS!$A$2:$F$4,5,FALSE)+J1846*VLOOKUP(E1846,WEIGHTS!$A$2:$F$4,6,FALSE))</f>
        <v/>
      </c>
      <c r="N1846" s="2" t="str">
        <f t="shared" si="4"/>
        <v/>
      </c>
    </row>
    <row r="1847" ht="15.75" customHeight="1">
      <c r="A1847" s="3"/>
      <c r="B1847" s="2" t="str">
        <f t="shared" si="1"/>
        <v/>
      </c>
      <c r="E1847" s="2"/>
      <c r="F1847" s="2"/>
      <c r="G1847" s="2"/>
      <c r="H1847" s="2"/>
      <c r="I1847" s="2"/>
      <c r="J1847" s="2"/>
      <c r="K1847" s="2" t="str">
        <f t="shared" si="2"/>
        <v/>
      </c>
      <c r="L1847" s="2" t="str">
        <f t="shared" si="3"/>
        <v>No</v>
      </c>
      <c r="M1847" s="2" t="str">
        <f>IF(K1847="","",F1847*VLOOKUP(E1847,WEIGHTS!$A$2:$F$4,2,FALSE)+G1847*VLOOKUP(E1847,WEIGHTS!$A$2:$F$4,3,FALSE)+H1847*VLOOKUP(E1847,WEIGHTS!$A$2:$F$4,4,FALSE)+I1847*VLOOKUP(E1847,WEIGHTS!$A$2:$F$4,5,FALSE)+J1847*VLOOKUP(E1847,WEIGHTS!$A$2:$F$4,6,FALSE))</f>
        <v/>
      </c>
      <c r="N1847" s="2" t="str">
        <f t="shared" si="4"/>
        <v/>
      </c>
    </row>
    <row r="1848" ht="15.75" customHeight="1">
      <c r="A1848" s="3"/>
      <c r="B1848" s="2" t="str">
        <f t="shared" si="1"/>
        <v/>
      </c>
      <c r="E1848" s="2"/>
      <c r="F1848" s="2"/>
      <c r="G1848" s="2"/>
      <c r="H1848" s="2"/>
      <c r="I1848" s="2"/>
      <c r="J1848" s="2"/>
      <c r="K1848" s="2" t="str">
        <f t="shared" si="2"/>
        <v/>
      </c>
      <c r="L1848" s="2" t="str">
        <f t="shared" si="3"/>
        <v>No</v>
      </c>
      <c r="M1848" s="2" t="str">
        <f>IF(K1848="","",F1848*VLOOKUP(E1848,WEIGHTS!$A$2:$F$4,2,FALSE)+G1848*VLOOKUP(E1848,WEIGHTS!$A$2:$F$4,3,FALSE)+H1848*VLOOKUP(E1848,WEIGHTS!$A$2:$F$4,4,FALSE)+I1848*VLOOKUP(E1848,WEIGHTS!$A$2:$F$4,5,FALSE)+J1848*VLOOKUP(E1848,WEIGHTS!$A$2:$F$4,6,FALSE))</f>
        <v/>
      </c>
      <c r="N1848" s="2" t="str">
        <f t="shared" si="4"/>
        <v/>
      </c>
    </row>
    <row r="1849" ht="15.75" customHeight="1">
      <c r="A1849" s="3"/>
      <c r="B1849" s="2" t="str">
        <f t="shared" si="1"/>
        <v/>
      </c>
      <c r="E1849" s="2"/>
      <c r="F1849" s="2"/>
      <c r="G1849" s="2"/>
      <c r="H1849" s="2"/>
      <c r="I1849" s="2"/>
      <c r="J1849" s="2"/>
      <c r="K1849" s="2" t="str">
        <f t="shared" si="2"/>
        <v/>
      </c>
      <c r="L1849" s="2" t="str">
        <f t="shared" si="3"/>
        <v>No</v>
      </c>
      <c r="M1849" s="2" t="str">
        <f>IF(K1849="","",F1849*VLOOKUP(E1849,WEIGHTS!$A$2:$F$4,2,FALSE)+G1849*VLOOKUP(E1849,WEIGHTS!$A$2:$F$4,3,FALSE)+H1849*VLOOKUP(E1849,WEIGHTS!$A$2:$F$4,4,FALSE)+I1849*VLOOKUP(E1849,WEIGHTS!$A$2:$F$4,5,FALSE)+J1849*VLOOKUP(E1849,WEIGHTS!$A$2:$F$4,6,FALSE))</f>
        <v/>
      </c>
      <c r="N1849" s="2" t="str">
        <f t="shared" si="4"/>
        <v/>
      </c>
    </row>
    <row r="1850" ht="15.75" customHeight="1">
      <c r="A1850" s="3"/>
      <c r="B1850" s="2" t="str">
        <f t="shared" si="1"/>
        <v/>
      </c>
      <c r="E1850" s="2"/>
      <c r="F1850" s="2"/>
      <c r="G1850" s="2"/>
      <c r="H1850" s="2"/>
      <c r="I1850" s="2"/>
      <c r="J1850" s="2"/>
      <c r="K1850" s="2" t="str">
        <f t="shared" si="2"/>
        <v/>
      </c>
      <c r="L1850" s="2" t="str">
        <f t="shared" si="3"/>
        <v>No</v>
      </c>
      <c r="M1850" s="2" t="str">
        <f>IF(K1850="","",F1850*VLOOKUP(E1850,WEIGHTS!$A$2:$F$4,2,FALSE)+G1850*VLOOKUP(E1850,WEIGHTS!$A$2:$F$4,3,FALSE)+H1850*VLOOKUP(E1850,WEIGHTS!$A$2:$F$4,4,FALSE)+I1850*VLOOKUP(E1850,WEIGHTS!$A$2:$F$4,5,FALSE)+J1850*VLOOKUP(E1850,WEIGHTS!$A$2:$F$4,6,FALSE))</f>
        <v/>
      </c>
      <c r="N1850" s="2" t="str">
        <f t="shared" si="4"/>
        <v/>
      </c>
    </row>
    <row r="1851" ht="15.75" customHeight="1">
      <c r="A1851" s="3"/>
      <c r="B1851" s="2" t="str">
        <f t="shared" si="1"/>
        <v/>
      </c>
      <c r="E1851" s="2"/>
      <c r="F1851" s="2"/>
      <c r="G1851" s="2"/>
      <c r="H1851" s="2"/>
      <c r="I1851" s="2"/>
      <c r="J1851" s="2"/>
      <c r="K1851" s="2" t="str">
        <f t="shared" si="2"/>
        <v/>
      </c>
      <c r="L1851" s="2" t="str">
        <f t="shared" si="3"/>
        <v>No</v>
      </c>
      <c r="M1851" s="2" t="str">
        <f>IF(K1851="","",F1851*VLOOKUP(E1851,WEIGHTS!$A$2:$F$4,2,FALSE)+G1851*VLOOKUP(E1851,WEIGHTS!$A$2:$F$4,3,FALSE)+H1851*VLOOKUP(E1851,WEIGHTS!$A$2:$F$4,4,FALSE)+I1851*VLOOKUP(E1851,WEIGHTS!$A$2:$F$4,5,FALSE)+J1851*VLOOKUP(E1851,WEIGHTS!$A$2:$F$4,6,FALSE))</f>
        <v/>
      </c>
      <c r="N1851" s="2" t="str">
        <f t="shared" si="4"/>
        <v/>
      </c>
    </row>
    <row r="1852" ht="15.75" customHeight="1">
      <c r="A1852" s="3"/>
      <c r="B1852" s="2" t="str">
        <f t="shared" si="1"/>
        <v/>
      </c>
      <c r="E1852" s="2"/>
      <c r="F1852" s="2"/>
      <c r="G1852" s="2"/>
      <c r="H1852" s="2"/>
      <c r="I1852" s="2"/>
      <c r="J1852" s="2"/>
      <c r="K1852" s="2" t="str">
        <f t="shared" si="2"/>
        <v/>
      </c>
      <c r="L1852" s="2" t="str">
        <f t="shared" si="3"/>
        <v>No</v>
      </c>
      <c r="M1852" s="2" t="str">
        <f>IF(K1852="","",F1852*VLOOKUP(E1852,WEIGHTS!$A$2:$F$4,2,FALSE)+G1852*VLOOKUP(E1852,WEIGHTS!$A$2:$F$4,3,FALSE)+H1852*VLOOKUP(E1852,WEIGHTS!$A$2:$F$4,4,FALSE)+I1852*VLOOKUP(E1852,WEIGHTS!$A$2:$F$4,5,FALSE)+J1852*VLOOKUP(E1852,WEIGHTS!$A$2:$F$4,6,FALSE))</f>
        <v/>
      </c>
      <c r="N1852" s="2" t="str">
        <f t="shared" si="4"/>
        <v/>
      </c>
    </row>
    <row r="1853" ht="15.75" customHeight="1">
      <c r="A1853" s="3"/>
      <c r="B1853" s="2" t="str">
        <f t="shared" si="1"/>
        <v/>
      </c>
      <c r="E1853" s="2"/>
      <c r="F1853" s="2"/>
      <c r="G1853" s="2"/>
      <c r="H1853" s="2"/>
      <c r="I1853" s="2"/>
      <c r="J1853" s="2"/>
      <c r="K1853" s="2" t="str">
        <f t="shared" si="2"/>
        <v/>
      </c>
      <c r="L1853" s="2" t="str">
        <f t="shared" si="3"/>
        <v>No</v>
      </c>
      <c r="M1853" s="2" t="str">
        <f>IF(K1853="","",F1853*VLOOKUP(E1853,WEIGHTS!$A$2:$F$4,2,FALSE)+G1853*VLOOKUP(E1853,WEIGHTS!$A$2:$F$4,3,FALSE)+H1853*VLOOKUP(E1853,WEIGHTS!$A$2:$F$4,4,FALSE)+I1853*VLOOKUP(E1853,WEIGHTS!$A$2:$F$4,5,FALSE)+J1853*VLOOKUP(E1853,WEIGHTS!$A$2:$F$4,6,FALSE))</f>
        <v/>
      </c>
      <c r="N1853" s="2" t="str">
        <f t="shared" si="4"/>
        <v/>
      </c>
    </row>
    <row r="1854" ht="15.75" customHeight="1">
      <c r="A1854" s="3"/>
      <c r="B1854" s="2" t="str">
        <f t="shared" si="1"/>
        <v/>
      </c>
      <c r="E1854" s="2"/>
      <c r="F1854" s="2"/>
      <c r="G1854" s="2"/>
      <c r="H1854" s="2"/>
      <c r="I1854" s="2"/>
      <c r="J1854" s="2"/>
      <c r="K1854" s="2" t="str">
        <f t="shared" si="2"/>
        <v/>
      </c>
      <c r="L1854" s="2" t="str">
        <f t="shared" si="3"/>
        <v>No</v>
      </c>
      <c r="M1854" s="2" t="str">
        <f>IF(K1854="","",F1854*VLOOKUP(E1854,WEIGHTS!$A$2:$F$4,2,FALSE)+G1854*VLOOKUP(E1854,WEIGHTS!$A$2:$F$4,3,FALSE)+H1854*VLOOKUP(E1854,WEIGHTS!$A$2:$F$4,4,FALSE)+I1854*VLOOKUP(E1854,WEIGHTS!$A$2:$F$4,5,FALSE)+J1854*VLOOKUP(E1854,WEIGHTS!$A$2:$F$4,6,FALSE))</f>
        <v/>
      </c>
      <c r="N1854" s="2" t="str">
        <f t="shared" si="4"/>
        <v/>
      </c>
    </row>
    <row r="1855" ht="15.75" customHeight="1">
      <c r="A1855" s="3"/>
      <c r="B1855" s="2" t="str">
        <f t="shared" si="1"/>
        <v/>
      </c>
      <c r="E1855" s="2"/>
      <c r="F1855" s="2"/>
      <c r="G1855" s="2"/>
      <c r="H1855" s="2"/>
      <c r="I1855" s="2"/>
      <c r="J1855" s="2"/>
      <c r="K1855" s="2" t="str">
        <f t="shared" si="2"/>
        <v/>
      </c>
      <c r="L1855" s="2" t="str">
        <f t="shared" si="3"/>
        <v>No</v>
      </c>
      <c r="M1855" s="2" t="str">
        <f>IF(K1855="","",F1855*VLOOKUP(E1855,WEIGHTS!$A$2:$F$4,2,FALSE)+G1855*VLOOKUP(E1855,WEIGHTS!$A$2:$F$4,3,FALSE)+H1855*VLOOKUP(E1855,WEIGHTS!$A$2:$F$4,4,FALSE)+I1855*VLOOKUP(E1855,WEIGHTS!$A$2:$F$4,5,FALSE)+J1855*VLOOKUP(E1855,WEIGHTS!$A$2:$F$4,6,FALSE))</f>
        <v/>
      </c>
      <c r="N1855" s="2" t="str">
        <f t="shared" si="4"/>
        <v/>
      </c>
    </row>
    <row r="1856" ht="15.75" customHeight="1">
      <c r="A1856" s="3"/>
      <c r="B1856" s="2" t="str">
        <f t="shared" si="1"/>
        <v/>
      </c>
      <c r="E1856" s="2"/>
      <c r="F1856" s="2"/>
      <c r="G1856" s="2"/>
      <c r="H1856" s="2"/>
      <c r="I1856" s="2"/>
      <c r="J1856" s="2"/>
      <c r="K1856" s="2" t="str">
        <f t="shared" si="2"/>
        <v/>
      </c>
      <c r="L1856" s="2" t="str">
        <f t="shared" si="3"/>
        <v>No</v>
      </c>
      <c r="M1856" s="2" t="str">
        <f>IF(K1856="","",F1856*VLOOKUP(E1856,WEIGHTS!$A$2:$F$4,2,FALSE)+G1856*VLOOKUP(E1856,WEIGHTS!$A$2:$F$4,3,FALSE)+H1856*VLOOKUP(E1856,WEIGHTS!$A$2:$F$4,4,FALSE)+I1856*VLOOKUP(E1856,WEIGHTS!$A$2:$F$4,5,FALSE)+J1856*VLOOKUP(E1856,WEIGHTS!$A$2:$F$4,6,FALSE))</f>
        <v/>
      </c>
      <c r="N1856" s="2" t="str">
        <f t="shared" si="4"/>
        <v/>
      </c>
    </row>
    <row r="1857" ht="15.75" customHeight="1">
      <c r="A1857" s="3"/>
      <c r="B1857" s="2" t="str">
        <f t="shared" si="1"/>
        <v/>
      </c>
      <c r="E1857" s="2"/>
      <c r="F1857" s="2"/>
      <c r="G1857" s="2"/>
      <c r="H1857" s="2"/>
      <c r="I1857" s="2"/>
      <c r="J1857" s="2"/>
      <c r="K1857" s="2" t="str">
        <f t="shared" si="2"/>
        <v/>
      </c>
      <c r="L1857" s="2" t="str">
        <f t="shared" si="3"/>
        <v>No</v>
      </c>
      <c r="M1857" s="2" t="str">
        <f>IF(K1857="","",F1857*VLOOKUP(E1857,WEIGHTS!$A$2:$F$4,2,FALSE)+G1857*VLOOKUP(E1857,WEIGHTS!$A$2:$F$4,3,FALSE)+H1857*VLOOKUP(E1857,WEIGHTS!$A$2:$F$4,4,FALSE)+I1857*VLOOKUP(E1857,WEIGHTS!$A$2:$F$4,5,FALSE)+J1857*VLOOKUP(E1857,WEIGHTS!$A$2:$F$4,6,FALSE))</f>
        <v/>
      </c>
      <c r="N1857" s="2" t="str">
        <f t="shared" si="4"/>
        <v/>
      </c>
    </row>
    <row r="1858" ht="15.75" customHeight="1">
      <c r="A1858" s="3"/>
      <c r="B1858" s="2" t="str">
        <f t="shared" si="1"/>
        <v/>
      </c>
      <c r="E1858" s="2"/>
      <c r="F1858" s="2"/>
      <c r="G1858" s="2"/>
      <c r="H1858" s="2"/>
      <c r="I1858" s="2"/>
      <c r="J1858" s="2"/>
      <c r="K1858" s="2" t="str">
        <f t="shared" si="2"/>
        <v/>
      </c>
      <c r="L1858" s="2" t="str">
        <f t="shared" si="3"/>
        <v>No</v>
      </c>
      <c r="M1858" s="2" t="str">
        <f>IF(K1858="","",F1858*VLOOKUP(E1858,WEIGHTS!$A$2:$F$4,2,FALSE)+G1858*VLOOKUP(E1858,WEIGHTS!$A$2:$F$4,3,FALSE)+H1858*VLOOKUP(E1858,WEIGHTS!$A$2:$F$4,4,FALSE)+I1858*VLOOKUP(E1858,WEIGHTS!$A$2:$F$4,5,FALSE)+J1858*VLOOKUP(E1858,WEIGHTS!$A$2:$F$4,6,FALSE))</f>
        <v/>
      </c>
      <c r="N1858" s="2" t="str">
        <f t="shared" si="4"/>
        <v/>
      </c>
    </row>
    <row r="1859" ht="15.75" customHeight="1">
      <c r="A1859" s="3"/>
      <c r="B1859" s="2" t="str">
        <f t="shared" si="1"/>
        <v/>
      </c>
      <c r="E1859" s="2"/>
      <c r="F1859" s="2"/>
      <c r="G1859" s="2"/>
      <c r="H1859" s="2"/>
      <c r="I1859" s="2"/>
      <c r="J1859" s="2"/>
      <c r="K1859" s="2" t="str">
        <f t="shared" si="2"/>
        <v/>
      </c>
      <c r="L1859" s="2" t="str">
        <f t="shared" si="3"/>
        <v>No</v>
      </c>
      <c r="M1859" s="2" t="str">
        <f>IF(K1859="","",F1859*VLOOKUP(E1859,WEIGHTS!$A$2:$F$4,2,FALSE)+G1859*VLOOKUP(E1859,WEIGHTS!$A$2:$F$4,3,FALSE)+H1859*VLOOKUP(E1859,WEIGHTS!$A$2:$F$4,4,FALSE)+I1859*VLOOKUP(E1859,WEIGHTS!$A$2:$F$4,5,FALSE)+J1859*VLOOKUP(E1859,WEIGHTS!$A$2:$F$4,6,FALSE))</f>
        <v/>
      </c>
      <c r="N1859" s="2" t="str">
        <f t="shared" si="4"/>
        <v/>
      </c>
    </row>
    <row r="1860" ht="15.75" customHeight="1">
      <c r="A1860" s="3"/>
      <c r="B1860" s="2" t="str">
        <f t="shared" si="1"/>
        <v/>
      </c>
      <c r="E1860" s="2"/>
      <c r="F1860" s="2"/>
      <c r="G1860" s="2"/>
      <c r="H1860" s="2"/>
      <c r="I1860" s="2"/>
      <c r="J1860" s="2"/>
      <c r="K1860" s="2" t="str">
        <f t="shared" si="2"/>
        <v/>
      </c>
      <c r="L1860" s="2" t="str">
        <f t="shared" si="3"/>
        <v>No</v>
      </c>
      <c r="M1860" s="2" t="str">
        <f>IF(K1860="","",F1860*VLOOKUP(E1860,WEIGHTS!$A$2:$F$4,2,FALSE)+G1860*VLOOKUP(E1860,WEIGHTS!$A$2:$F$4,3,FALSE)+H1860*VLOOKUP(E1860,WEIGHTS!$A$2:$F$4,4,FALSE)+I1860*VLOOKUP(E1860,WEIGHTS!$A$2:$F$4,5,FALSE)+J1860*VLOOKUP(E1860,WEIGHTS!$A$2:$F$4,6,FALSE))</f>
        <v/>
      </c>
      <c r="N1860" s="2" t="str">
        <f t="shared" si="4"/>
        <v/>
      </c>
    </row>
    <row r="1861" ht="15.75" customHeight="1">
      <c r="A1861" s="3"/>
      <c r="B1861" s="2" t="str">
        <f t="shared" si="1"/>
        <v/>
      </c>
      <c r="E1861" s="2"/>
      <c r="F1861" s="2"/>
      <c r="G1861" s="2"/>
      <c r="H1861" s="2"/>
      <c r="I1861" s="2"/>
      <c r="J1861" s="2"/>
      <c r="K1861" s="2" t="str">
        <f t="shared" si="2"/>
        <v/>
      </c>
      <c r="L1861" s="2" t="str">
        <f t="shared" si="3"/>
        <v>No</v>
      </c>
      <c r="M1861" s="2" t="str">
        <f>IF(K1861="","",F1861*VLOOKUP(E1861,WEIGHTS!$A$2:$F$4,2,FALSE)+G1861*VLOOKUP(E1861,WEIGHTS!$A$2:$F$4,3,FALSE)+H1861*VLOOKUP(E1861,WEIGHTS!$A$2:$F$4,4,FALSE)+I1861*VLOOKUP(E1861,WEIGHTS!$A$2:$F$4,5,FALSE)+J1861*VLOOKUP(E1861,WEIGHTS!$A$2:$F$4,6,FALSE))</f>
        <v/>
      </c>
      <c r="N1861" s="2" t="str">
        <f t="shared" si="4"/>
        <v/>
      </c>
    </row>
    <row r="1862" ht="15.75" customHeight="1">
      <c r="A1862" s="3"/>
      <c r="B1862" s="2" t="str">
        <f t="shared" si="1"/>
        <v/>
      </c>
      <c r="E1862" s="2"/>
      <c r="F1862" s="2"/>
      <c r="G1862" s="2"/>
      <c r="H1862" s="2"/>
      <c r="I1862" s="2"/>
      <c r="J1862" s="2"/>
      <c r="K1862" s="2" t="str">
        <f t="shared" si="2"/>
        <v/>
      </c>
      <c r="L1862" s="2" t="str">
        <f t="shared" si="3"/>
        <v>No</v>
      </c>
      <c r="M1862" s="2" t="str">
        <f>IF(K1862="","",F1862*VLOOKUP(E1862,WEIGHTS!$A$2:$F$4,2,FALSE)+G1862*VLOOKUP(E1862,WEIGHTS!$A$2:$F$4,3,FALSE)+H1862*VLOOKUP(E1862,WEIGHTS!$A$2:$F$4,4,FALSE)+I1862*VLOOKUP(E1862,WEIGHTS!$A$2:$F$4,5,FALSE)+J1862*VLOOKUP(E1862,WEIGHTS!$A$2:$F$4,6,FALSE))</f>
        <v/>
      </c>
      <c r="N1862" s="2" t="str">
        <f t="shared" si="4"/>
        <v/>
      </c>
    </row>
    <row r="1863" ht="15.75" customHeight="1">
      <c r="A1863" s="3"/>
      <c r="B1863" s="2" t="str">
        <f t="shared" si="1"/>
        <v/>
      </c>
      <c r="E1863" s="2"/>
      <c r="F1863" s="2"/>
      <c r="G1863" s="2"/>
      <c r="H1863" s="2"/>
      <c r="I1863" s="2"/>
      <c r="J1863" s="2"/>
      <c r="K1863" s="2" t="str">
        <f t="shared" si="2"/>
        <v/>
      </c>
      <c r="L1863" s="2" t="str">
        <f t="shared" si="3"/>
        <v>No</v>
      </c>
      <c r="M1863" s="2" t="str">
        <f>IF(K1863="","",F1863*VLOOKUP(E1863,WEIGHTS!$A$2:$F$4,2,FALSE)+G1863*VLOOKUP(E1863,WEIGHTS!$A$2:$F$4,3,FALSE)+H1863*VLOOKUP(E1863,WEIGHTS!$A$2:$F$4,4,FALSE)+I1863*VLOOKUP(E1863,WEIGHTS!$A$2:$F$4,5,FALSE)+J1863*VLOOKUP(E1863,WEIGHTS!$A$2:$F$4,6,FALSE))</f>
        <v/>
      </c>
      <c r="N1863" s="2" t="str">
        <f t="shared" si="4"/>
        <v/>
      </c>
    </row>
    <row r="1864" ht="15.75" customHeight="1">
      <c r="A1864" s="3"/>
      <c r="B1864" s="2" t="str">
        <f t="shared" si="1"/>
        <v/>
      </c>
      <c r="E1864" s="2"/>
      <c r="F1864" s="2"/>
      <c r="G1864" s="2"/>
      <c r="H1864" s="2"/>
      <c r="I1864" s="2"/>
      <c r="J1864" s="2"/>
      <c r="K1864" s="2" t="str">
        <f t="shared" si="2"/>
        <v/>
      </c>
      <c r="L1864" s="2" t="str">
        <f t="shared" si="3"/>
        <v>No</v>
      </c>
      <c r="M1864" s="2" t="str">
        <f>IF(K1864="","",F1864*VLOOKUP(E1864,WEIGHTS!$A$2:$F$4,2,FALSE)+G1864*VLOOKUP(E1864,WEIGHTS!$A$2:$F$4,3,FALSE)+H1864*VLOOKUP(E1864,WEIGHTS!$A$2:$F$4,4,FALSE)+I1864*VLOOKUP(E1864,WEIGHTS!$A$2:$F$4,5,FALSE)+J1864*VLOOKUP(E1864,WEIGHTS!$A$2:$F$4,6,FALSE))</f>
        <v/>
      </c>
      <c r="N1864" s="2" t="str">
        <f t="shared" si="4"/>
        <v/>
      </c>
    </row>
    <row r="1865" ht="15.75" customHeight="1">
      <c r="A1865" s="3"/>
      <c r="B1865" s="2" t="str">
        <f t="shared" si="1"/>
        <v/>
      </c>
      <c r="E1865" s="2"/>
      <c r="F1865" s="2"/>
      <c r="G1865" s="2"/>
      <c r="H1865" s="2"/>
      <c r="I1865" s="2"/>
      <c r="J1865" s="2"/>
      <c r="K1865" s="2" t="str">
        <f t="shared" si="2"/>
        <v/>
      </c>
      <c r="L1865" s="2" t="str">
        <f t="shared" si="3"/>
        <v>No</v>
      </c>
      <c r="M1865" s="2" t="str">
        <f>IF(K1865="","",F1865*VLOOKUP(E1865,WEIGHTS!$A$2:$F$4,2,FALSE)+G1865*VLOOKUP(E1865,WEIGHTS!$A$2:$F$4,3,FALSE)+H1865*VLOOKUP(E1865,WEIGHTS!$A$2:$F$4,4,FALSE)+I1865*VLOOKUP(E1865,WEIGHTS!$A$2:$F$4,5,FALSE)+J1865*VLOOKUP(E1865,WEIGHTS!$A$2:$F$4,6,FALSE))</f>
        <v/>
      </c>
      <c r="N1865" s="2" t="str">
        <f t="shared" si="4"/>
        <v/>
      </c>
    </row>
    <row r="1866" ht="15.75" customHeight="1">
      <c r="A1866" s="3"/>
      <c r="B1866" s="2" t="str">
        <f t="shared" si="1"/>
        <v/>
      </c>
      <c r="E1866" s="2"/>
      <c r="F1866" s="2"/>
      <c r="G1866" s="2"/>
      <c r="H1866" s="2"/>
      <c r="I1866" s="2"/>
      <c r="J1866" s="2"/>
      <c r="K1866" s="2" t="str">
        <f t="shared" si="2"/>
        <v/>
      </c>
      <c r="L1866" s="2" t="str">
        <f t="shared" si="3"/>
        <v>No</v>
      </c>
      <c r="M1866" s="2" t="str">
        <f>IF(K1866="","",F1866*VLOOKUP(E1866,WEIGHTS!$A$2:$F$4,2,FALSE)+G1866*VLOOKUP(E1866,WEIGHTS!$A$2:$F$4,3,FALSE)+H1866*VLOOKUP(E1866,WEIGHTS!$A$2:$F$4,4,FALSE)+I1866*VLOOKUP(E1866,WEIGHTS!$A$2:$F$4,5,FALSE)+J1866*VLOOKUP(E1866,WEIGHTS!$A$2:$F$4,6,FALSE))</f>
        <v/>
      </c>
      <c r="N1866" s="2" t="str">
        <f t="shared" si="4"/>
        <v/>
      </c>
    </row>
    <row r="1867" ht="15.75" customHeight="1">
      <c r="A1867" s="3"/>
      <c r="B1867" s="2" t="str">
        <f t="shared" si="1"/>
        <v/>
      </c>
      <c r="E1867" s="2"/>
      <c r="F1867" s="2"/>
      <c r="G1867" s="2"/>
      <c r="H1867" s="2"/>
      <c r="I1867" s="2"/>
      <c r="J1867" s="2"/>
      <c r="K1867" s="2" t="str">
        <f t="shared" si="2"/>
        <v/>
      </c>
      <c r="L1867" s="2" t="str">
        <f t="shared" si="3"/>
        <v>No</v>
      </c>
      <c r="M1867" s="2" t="str">
        <f>IF(K1867="","",F1867*VLOOKUP(E1867,WEIGHTS!$A$2:$F$4,2,FALSE)+G1867*VLOOKUP(E1867,WEIGHTS!$A$2:$F$4,3,FALSE)+H1867*VLOOKUP(E1867,WEIGHTS!$A$2:$F$4,4,FALSE)+I1867*VLOOKUP(E1867,WEIGHTS!$A$2:$F$4,5,FALSE)+J1867*VLOOKUP(E1867,WEIGHTS!$A$2:$F$4,6,FALSE))</f>
        <v/>
      </c>
      <c r="N1867" s="2" t="str">
        <f t="shared" si="4"/>
        <v/>
      </c>
    </row>
    <row r="1868" ht="15.75" customHeight="1">
      <c r="A1868" s="3"/>
      <c r="B1868" s="2" t="str">
        <f t="shared" si="1"/>
        <v/>
      </c>
      <c r="E1868" s="2"/>
      <c r="F1868" s="2"/>
      <c r="G1868" s="2"/>
      <c r="H1868" s="2"/>
      <c r="I1868" s="2"/>
      <c r="J1868" s="2"/>
      <c r="K1868" s="2" t="str">
        <f t="shared" si="2"/>
        <v/>
      </c>
      <c r="L1868" s="2" t="str">
        <f t="shared" si="3"/>
        <v>No</v>
      </c>
      <c r="M1868" s="2" t="str">
        <f>IF(K1868="","",F1868*VLOOKUP(E1868,WEIGHTS!$A$2:$F$4,2,FALSE)+G1868*VLOOKUP(E1868,WEIGHTS!$A$2:$F$4,3,FALSE)+H1868*VLOOKUP(E1868,WEIGHTS!$A$2:$F$4,4,FALSE)+I1868*VLOOKUP(E1868,WEIGHTS!$A$2:$F$4,5,FALSE)+J1868*VLOOKUP(E1868,WEIGHTS!$A$2:$F$4,6,FALSE))</f>
        <v/>
      </c>
      <c r="N1868" s="2" t="str">
        <f t="shared" si="4"/>
        <v/>
      </c>
    </row>
    <row r="1869" ht="15.75" customHeight="1">
      <c r="A1869" s="3"/>
      <c r="B1869" s="2" t="str">
        <f t="shared" si="1"/>
        <v/>
      </c>
      <c r="E1869" s="2"/>
      <c r="F1869" s="2"/>
      <c r="G1869" s="2"/>
      <c r="H1869" s="2"/>
      <c r="I1869" s="2"/>
      <c r="J1869" s="2"/>
      <c r="K1869" s="2" t="str">
        <f t="shared" si="2"/>
        <v/>
      </c>
      <c r="L1869" s="2" t="str">
        <f t="shared" si="3"/>
        <v>No</v>
      </c>
      <c r="M1869" s="2" t="str">
        <f>IF(K1869="","",F1869*VLOOKUP(E1869,WEIGHTS!$A$2:$F$4,2,FALSE)+G1869*VLOOKUP(E1869,WEIGHTS!$A$2:$F$4,3,FALSE)+H1869*VLOOKUP(E1869,WEIGHTS!$A$2:$F$4,4,FALSE)+I1869*VLOOKUP(E1869,WEIGHTS!$A$2:$F$4,5,FALSE)+J1869*VLOOKUP(E1869,WEIGHTS!$A$2:$F$4,6,FALSE))</f>
        <v/>
      </c>
      <c r="N1869" s="2" t="str">
        <f t="shared" si="4"/>
        <v/>
      </c>
    </row>
    <row r="1870" ht="15.75" customHeight="1">
      <c r="A1870" s="3"/>
      <c r="B1870" s="2" t="str">
        <f t="shared" si="1"/>
        <v/>
      </c>
      <c r="E1870" s="2"/>
      <c r="F1870" s="2"/>
      <c r="G1870" s="2"/>
      <c r="H1870" s="2"/>
      <c r="I1870" s="2"/>
      <c r="J1870" s="2"/>
      <c r="K1870" s="2" t="str">
        <f t="shared" si="2"/>
        <v/>
      </c>
      <c r="L1870" s="2" t="str">
        <f t="shared" si="3"/>
        <v>No</v>
      </c>
      <c r="M1870" s="2" t="str">
        <f>IF(K1870="","",F1870*VLOOKUP(E1870,WEIGHTS!$A$2:$F$4,2,FALSE)+G1870*VLOOKUP(E1870,WEIGHTS!$A$2:$F$4,3,FALSE)+H1870*VLOOKUP(E1870,WEIGHTS!$A$2:$F$4,4,FALSE)+I1870*VLOOKUP(E1870,WEIGHTS!$A$2:$F$4,5,FALSE)+J1870*VLOOKUP(E1870,WEIGHTS!$A$2:$F$4,6,FALSE))</f>
        <v/>
      </c>
      <c r="N1870" s="2" t="str">
        <f t="shared" si="4"/>
        <v/>
      </c>
    </row>
    <row r="1871" ht="15.75" customHeight="1">
      <c r="A1871" s="3"/>
      <c r="B1871" s="2" t="str">
        <f t="shared" si="1"/>
        <v/>
      </c>
      <c r="E1871" s="2"/>
      <c r="F1871" s="2"/>
      <c r="G1871" s="2"/>
      <c r="H1871" s="2"/>
      <c r="I1871" s="2"/>
      <c r="J1871" s="2"/>
      <c r="K1871" s="2" t="str">
        <f t="shared" si="2"/>
        <v/>
      </c>
      <c r="L1871" s="2" t="str">
        <f t="shared" si="3"/>
        <v>No</v>
      </c>
      <c r="M1871" s="2" t="str">
        <f>IF(K1871="","",F1871*VLOOKUP(E1871,WEIGHTS!$A$2:$F$4,2,FALSE)+G1871*VLOOKUP(E1871,WEIGHTS!$A$2:$F$4,3,FALSE)+H1871*VLOOKUP(E1871,WEIGHTS!$A$2:$F$4,4,FALSE)+I1871*VLOOKUP(E1871,WEIGHTS!$A$2:$F$4,5,FALSE)+J1871*VLOOKUP(E1871,WEIGHTS!$A$2:$F$4,6,FALSE))</f>
        <v/>
      </c>
      <c r="N1871" s="2" t="str">
        <f t="shared" si="4"/>
        <v/>
      </c>
    </row>
    <row r="1872" ht="15.75" customHeight="1">
      <c r="A1872" s="3"/>
      <c r="B1872" s="2" t="str">
        <f t="shared" si="1"/>
        <v/>
      </c>
      <c r="E1872" s="2"/>
      <c r="F1872" s="2"/>
      <c r="G1872" s="2"/>
      <c r="H1872" s="2"/>
      <c r="I1872" s="2"/>
      <c r="J1872" s="2"/>
      <c r="K1872" s="2" t="str">
        <f t="shared" si="2"/>
        <v/>
      </c>
      <c r="L1872" s="2" t="str">
        <f t="shared" si="3"/>
        <v>No</v>
      </c>
      <c r="M1872" s="2" t="str">
        <f>IF(K1872="","",F1872*VLOOKUP(E1872,WEIGHTS!$A$2:$F$4,2,FALSE)+G1872*VLOOKUP(E1872,WEIGHTS!$A$2:$F$4,3,FALSE)+H1872*VLOOKUP(E1872,WEIGHTS!$A$2:$F$4,4,FALSE)+I1872*VLOOKUP(E1872,WEIGHTS!$A$2:$F$4,5,FALSE)+J1872*VLOOKUP(E1872,WEIGHTS!$A$2:$F$4,6,FALSE))</f>
        <v/>
      </c>
      <c r="N1872" s="2" t="str">
        <f t="shared" si="4"/>
        <v/>
      </c>
    </row>
    <row r="1873" ht="15.75" customHeight="1">
      <c r="A1873" s="3"/>
      <c r="B1873" s="2" t="str">
        <f t="shared" si="1"/>
        <v/>
      </c>
      <c r="E1873" s="2"/>
      <c r="F1873" s="2"/>
      <c r="G1873" s="2"/>
      <c r="H1873" s="2"/>
      <c r="I1873" s="2"/>
      <c r="J1873" s="2"/>
      <c r="K1873" s="2" t="str">
        <f t="shared" si="2"/>
        <v/>
      </c>
      <c r="L1873" s="2" t="str">
        <f t="shared" si="3"/>
        <v>No</v>
      </c>
      <c r="M1873" s="2" t="str">
        <f>IF(K1873="","",F1873*VLOOKUP(E1873,WEIGHTS!$A$2:$F$4,2,FALSE)+G1873*VLOOKUP(E1873,WEIGHTS!$A$2:$F$4,3,FALSE)+H1873*VLOOKUP(E1873,WEIGHTS!$A$2:$F$4,4,FALSE)+I1873*VLOOKUP(E1873,WEIGHTS!$A$2:$F$4,5,FALSE)+J1873*VLOOKUP(E1873,WEIGHTS!$A$2:$F$4,6,FALSE))</f>
        <v/>
      </c>
      <c r="N1873" s="2" t="str">
        <f t="shared" si="4"/>
        <v/>
      </c>
    </row>
    <row r="1874" ht="15.75" customHeight="1">
      <c r="A1874" s="3"/>
      <c r="B1874" s="2" t="str">
        <f t="shared" si="1"/>
        <v/>
      </c>
      <c r="E1874" s="2"/>
      <c r="F1874" s="2"/>
      <c r="G1874" s="2"/>
      <c r="H1874" s="2"/>
      <c r="I1874" s="2"/>
      <c r="J1874" s="2"/>
      <c r="K1874" s="2" t="str">
        <f t="shared" si="2"/>
        <v/>
      </c>
      <c r="L1874" s="2" t="str">
        <f t="shared" si="3"/>
        <v>No</v>
      </c>
      <c r="M1874" s="2" t="str">
        <f>IF(K1874="","",F1874*VLOOKUP(E1874,WEIGHTS!$A$2:$F$4,2,FALSE)+G1874*VLOOKUP(E1874,WEIGHTS!$A$2:$F$4,3,FALSE)+H1874*VLOOKUP(E1874,WEIGHTS!$A$2:$F$4,4,FALSE)+I1874*VLOOKUP(E1874,WEIGHTS!$A$2:$F$4,5,FALSE)+J1874*VLOOKUP(E1874,WEIGHTS!$A$2:$F$4,6,FALSE))</f>
        <v/>
      </c>
      <c r="N1874" s="2" t="str">
        <f t="shared" si="4"/>
        <v/>
      </c>
    </row>
    <row r="1875" ht="15.75" customHeight="1">
      <c r="A1875" s="3"/>
      <c r="B1875" s="2" t="str">
        <f t="shared" si="1"/>
        <v/>
      </c>
      <c r="E1875" s="2"/>
      <c r="F1875" s="2"/>
      <c r="G1875" s="2"/>
      <c r="H1875" s="2"/>
      <c r="I1875" s="2"/>
      <c r="J1875" s="2"/>
      <c r="K1875" s="2" t="str">
        <f t="shared" si="2"/>
        <v/>
      </c>
      <c r="L1875" s="2" t="str">
        <f t="shared" si="3"/>
        <v>No</v>
      </c>
      <c r="M1875" s="2" t="str">
        <f>IF(K1875="","",F1875*VLOOKUP(E1875,WEIGHTS!$A$2:$F$4,2,FALSE)+G1875*VLOOKUP(E1875,WEIGHTS!$A$2:$F$4,3,FALSE)+H1875*VLOOKUP(E1875,WEIGHTS!$A$2:$F$4,4,FALSE)+I1875*VLOOKUP(E1875,WEIGHTS!$A$2:$F$4,5,FALSE)+J1875*VLOOKUP(E1875,WEIGHTS!$A$2:$F$4,6,FALSE))</f>
        <v/>
      </c>
      <c r="N1875" s="2" t="str">
        <f t="shared" si="4"/>
        <v/>
      </c>
    </row>
    <row r="1876" ht="15.75" customHeight="1">
      <c r="A1876" s="3"/>
      <c r="B1876" s="2" t="str">
        <f t="shared" si="1"/>
        <v/>
      </c>
      <c r="E1876" s="2"/>
      <c r="F1876" s="2"/>
      <c r="G1876" s="2"/>
      <c r="H1876" s="2"/>
      <c r="I1876" s="2"/>
      <c r="J1876" s="2"/>
      <c r="K1876" s="2" t="str">
        <f t="shared" si="2"/>
        <v/>
      </c>
      <c r="L1876" s="2" t="str">
        <f t="shared" si="3"/>
        <v>No</v>
      </c>
      <c r="M1876" s="2" t="str">
        <f>IF(K1876="","",F1876*VLOOKUP(E1876,WEIGHTS!$A$2:$F$4,2,FALSE)+G1876*VLOOKUP(E1876,WEIGHTS!$A$2:$F$4,3,FALSE)+H1876*VLOOKUP(E1876,WEIGHTS!$A$2:$F$4,4,FALSE)+I1876*VLOOKUP(E1876,WEIGHTS!$A$2:$F$4,5,FALSE)+J1876*VLOOKUP(E1876,WEIGHTS!$A$2:$F$4,6,FALSE))</f>
        <v/>
      </c>
      <c r="N1876" s="2" t="str">
        <f t="shared" si="4"/>
        <v/>
      </c>
    </row>
    <row r="1877" ht="15.75" customHeight="1">
      <c r="A1877" s="3"/>
      <c r="B1877" s="2" t="str">
        <f t="shared" si="1"/>
        <v/>
      </c>
      <c r="E1877" s="2"/>
      <c r="F1877" s="2"/>
      <c r="G1877" s="2"/>
      <c r="H1877" s="2"/>
      <c r="I1877" s="2"/>
      <c r="J1877" s="2"/>
      <c r="K1877" s="2" t="str">
        <f t="shared" si="2"/>
        <v/>
      </c>
      <c r="L1877" s="2" t="str">
        <f t="shared" si="3"/>
        <v>No</v>
      </c>
      <c r="M1877" s="2" t="str">
        <f>IF(K1877="","",F1877*VLOOKUP(E1877,WEIGHTS!$A$2:$F$4,2,FALSE)+G1877*VLOOKUP(E1877,WEIGHTS!$A$2:$F$4,3,FALSE)+H1877*VLOOKUP(E1877,WEIGHTS!$A$2:$F$4,4,FALSE)+I1877*VLOOKUP(E1877,WEIGHTS!$A$2:$F$4,5,FALSE)+J1877*VLOOKUP(E1877,WEIGHTS!$A$2:$F$4,6,FALSE))</f>
        <v/>
      </c>
      <c r="N1877" s="2" t="str">
        <f t="shared" si="4"/>
        <v/>
      </c>
    </row>
    <row r="1878" ht="15.75" customHeight="1">
      <c r="A1878" s="3"/>
      <c r="B1878" s="2" t="str">
        <f t="shared" si="1"/>
        <v/>
      </c>
      <c r="E1878" s="2"/>
      <c r="F1878" s="2"/>
      <c r="G1878" s="2"/>
      <c r="H1878" s="2"/>
      <c r="I1878" s="2"/>
      <c r="J1878" s="2"/>
      <c r="K1878" s="2" t="str">
        <f t="shared" si="2"/>
        <v/>
      </c>
      <c r="L1878" s="2" t="str">
        <f t="shared" si="3"/>
        <v>No</v>
      </c>
      <c r="M1878" s="2" t="str">
        <f>IF(K1878="","",F1878*VLOOKUP(E1878,WEIGHTS!$A$2:$F$4,2,FALSE)+G1878*VLOOKUP(E1878,WEIGHTS!$A$2:$F$4,3,FALSE)+H1878*VLOOKUP(E1878,WEIGHTS!$A$2:$F$4,4,FALSE)+I1878*VLOOKUP(E1878,WEIGHTS!$A$2:$F$4,5,FALSE)+J1878*VLOOKUP(E1878,WEIGHTS!$A$2:$F$4,6,FALSE))</f>
        <v/>
      </c>
      <c r="N1878" s="2" t="str">
        <f t="shared" si="4"/>
        <v/>
      </c>
    </row>
    <row r="1879" ht="15.75" customHeight="1">
      <c r="A1879" s="3"/>
      <c r="B1879" s="2" t="str">
        <f t="shared" si="1"/>
        <v/>
      </c>
      <c r="E1879" s="2"/>
      <c r="F1879" s="2"/>
      <c r="G1879" s="2"/>
      <c r="H1879" s="2"/>
      <c r="I1879" s="2"/>
      <c r="J1879" s="2"/>
      <c r="K1879" s="2" t="str">
        <f t="shared" si="2"/>
        <v/>
      </c>
      <c r="L1879" s="2" t="str">
        <f t="shared" si="3"/>
        <v>No</v>
      </c>
      <c r="M1879" s="2" t="str">
        <f>IF(K1879="","",F1879*VLOOKUP(E1879,WEIGHTS!$A$2:$F$4,2,FALSE)+G1879*VLOOKUP(E1879,WEIGHTS!$A$2:$F$4,3,FALSE)+H1879*VLOOKUP(E1879,WEIGHTS!$A$2:$F$4,4,FALSE)+I1879*VLOOKUP(E1879,WEIGHTS!$A$2:$F$4,5,FALSE)+J1879*VLOOKUP(E1879,WEIGHTS!$A$2:$F$4,6,FALSE))</f>
        <v/>
      </c>
      <c r="N1879" s="2" t="str">
        <f t="shared" si="4"/>
        <v/>
      </c>
    </row>
    <row r="1880" ht="15.75" customHeight="1">
      <c r="A1880" s="3"/>
      <c r="B1880" s="2" t="str">
        <f t="shared" si="1"/>
        <v/>
      </c>
      <c r="E1880" s="2"/>
      <c r="F1880" s="2"/>
      <c r="G1880" s="2"/>
      <c r="H1880" s="2"/>
      <c r="I1880" s="2"/>
      <c r="J1880" s="2"/>
      <c r="K1880" s="2" t="str">
        <f t="shared" si="2"/>
        <v/>
      </c>
      <c r="L1880" s="2" t="str">
        <f t="shared" si="3"/>
        <v>No</v>
      </c>
      <c r="M1880" s="2" t="str">
        <f>IF(K1880="","",F1880*VLOOKUP(E1880,WEIGHTS!$A$2:$F$4,2,FALSE)+G1880*VLOOKUP(E1880,WEIGHTS!$A$2:$F$4,3,FALSE)+H1880*VLOOKUP(E1880,WEIGHTS!$A$2:$F$4,4,FALSE)+I1880*VLOOKUP(E1880,WEIGHTS!$A$2:$F$4,5,FALSE)+J1880*VLOOKUP(E1880,WEIGHTS!$A$2:$F$4,6,FALSE))</f>
        <v/>
      </c>
      <c r="N1880" s="2" t="str">
        <f t="shared" si="4"/>
        <v/>
      </c>
    </row>
    <row r="1881" ht="15.75" customHeight="1">
      <c r="A1881" s="3"/>
      <c r="B1881" s="2" t="str">
        <f t="shared" si="1"/>
        <v/>
      </c>
      <c r="E1881" s="2"/>
      <c r="F1881" s="2"/>
      <c r="G1881" s="2"/>
      <c r="H1881" s="2"/>
      <c r="I1881" s="2"/>
      <c r="J1881" s="2"/>
      <c r="K1881" s="2" t="str">
        <f t="shared" si="2"/>
        <v/>
      </c>
      <c r="L1881" s="2" t="str">
        <f t="shared" si="3"/>
        <v>No</v>
      </c>
      <c r="M1881" s="2" t="str">
        <f>IF(K1881="","",F1881*VLOOKUP(E1881,WEIGHTS!$A$2:$F$4,2,FALSE)+G1881*VLOOKUP(E1881,WEIGHTS!$A$2:$F$4,3,FALSE)+H1881*VLOOKUP(E1881,WEIGHTS!$A$2:$F$4,4,FALSE)+I1881*VLOOKUP(E1881,WEIGHTS!$A$2:$F$4,5,FALSE)+J1881*VLOOKUP(E1881,WEIGHTS!$A$2:$F$4,6,FALSE))</f>
        <v/>
      </c>
      <c r="N1881" s="2" t="str">
        <f t="shared" si="4"/>
        <v/>
      </c>
    </row>
    <row r="1882" ht="15.75" customHeight="1">
      <c r="A1882" s="3"/>
      <c r="B1882" s="2" t="str">
        <f t="shared" si="1"/>
        <v/>
      </c>
      <c r="E1882" s="2"/>
      <c r="F1882" s="2"/>
      <c r="G1882" s="2"/>
      <c r="H1882" s="2"/>
      <c r="I1882" s="2"/>
      <c r="J1882" s="2"/>
      <c r="K1882" s="2" t="str">
        <f t="shared" si="2"/>
        <v/>
      </c>
      <c r="L1882" s="2" t="str">
        <f t="shared" si="3"/>
        <v>No</v>
      </c>
      <c r="M1882" s="2" t="str">
        <f>IF(K1882="","",F1882*VLOOKUP(E1882,WEIGHTS!$A$2:$F$4,2,FALSE)+G1882*VLOOKUP(E1882,WEIGHTS!$A$2:$F$4,3,FALSE)+H1882*VLOOKUP(E1882,WEIGHTS!$A$2:$F$4,4,FALSE)+I1882*VLOOKUP(E1882,WEIGHTS!$A$2:$F$4,5,FALSE)+J1882*VLOOKUP(E1882,WEIGHTS!$A$2:$F$4,6,FALSE))</f>
        <v/>
      </c>
      <c r="N1882" s="2" t="str">
        <f t="shared" si="4"/>
        <v/>
      </c>
    </row>
    <row r="1883" ht="15.75" customHeight="1">
      <c r="A1883" s="3"/>
      <c r="B1883" s="2" t="str">
        <f t="shared" si="1"/>
        <v/>
      </c>
      <c r="E1883" s="2"/>
      <c r="F1883" s="2"/>
      <c r="G1883" s="2"/>
      <c r="H1883" s="2"/>
      <c r="I1883" s="2"/>
      <c r="J1883" s="2"/>
      <c r="K1883" s="2" t="str">
        <f t="shared" si="2"/>
        <v/>
      </c>
      <c r="L1883" s="2" t="str">
        <f t="shared" si="3"/>
        <v>No</v>
      </c>
      <c r="M1883" s="2" t="str">
        <f>IF(K1883="","",F1883*VLOOKUP(E1883,WEIGHTS!$A$2:$F$4,2,FALSE)+G1883*VLOOKUP(E1883,WEIGHTS!$A$2:$F$4,3,FALSE)+H1883*VLOOKUP(E1883,WEIGHTS!$A$2:$F$4,4,FALSE)+I1883*VLOOKUP(E1883,WEIGHTS!$A$2:$F$4,5,FALSE)+J1883*VLOOKUP(E1883,WEIGHTS!$A$2:$F$4,6,FALSE))</f>
        <v/>
      </c>
      <c r="N1883" s="2" t="str">
        <f t="shared" si="4"/>
        <v/>
      </c>
    </row>
    <row r="1884" ht="15.75" customHeight="1">
      <c r="A1884" s="3"/>
      <c r="B1884" s="2" t="str">
        <f t="shared" si="1"/>
        <v/>
      </c>
      <c r="E1884" s="2"/>
      <c r="F1884" s="2"/>
      <c r="G1884" s="2"/>
      <c r="H1884" s="2"/>
      <c r="I1884" s="2"/>
      <c r="J1884" s="2"/>
      <c r="K1884" s="2" t="str">
        <f t="shared" si="2"/>
        <v/>
      </c>
      <c r="L1884" s="2" t="str">
        <f t="shared" si="3"/>
        <v>No</v>
      </c>
      <c r="M1884" s="2" t="str">
        <f>IF(K1884="","",F1884*VLOOKUP(E1884,WEIGHTS!$A$2:$F$4,2,FALSE)+G1884*VLOOKUP(E1884,WEIGHTS!$A$2:$F$4,3,FALSE)+H1884*VLOOKUP(E1884,WEIGHTS!$A$2:$F$4,4,FALSE)+I1884*VLOOKUP(E1884,WEIGHTS!$A$2:$F$4,5,FALSE)+J1884*VLOOKUP(E1884,WEIGHTS!$A$2:$F$4,6,FALSE))</f>
        <v/>
      </c>
      <c r="N1884" s="2" t="str">
        <f t="shared" si="4"/>
        <v/>
      </c>
    </row>
    <row r="1885" ht="15.75" customHeight="1">
      <c r="A1885" s="3"/>
      <c r="B1885" s="2" t="str">
        <f t="shared" si="1"/>
        <v/>
      </c>
      <c r="E1885" s="2"/>
      <c r="F1885" s="2"/>
      <c r="G1885" s="2"/>
      <c r="H1885" s="2"/>
      <c r="I1885" s="2"/>
      <c r="J1885" s="2"/>
      <c r="K1885" s="2" t="str">
        <f t="shared" si="2"/>
        <v/>
      </c>
      <c r="L1885" s="2" t="str">
        <f t="shared" si="3"/>
        <v>No</v>
      </c>
      <c r="M1885" s="2" t="str">
        <f>IF(K1885="","",F1885*VLOOKUP(E1885,WEIGHTS!$A$2:$F$4,2,FALSE)+G1885*VLOOKUP(E1885,WEIGHTS!$A$2:$F$4,3,FALSE)+H1885*VLOOKUP(E1885,WEIGHTS!$A$2:$F$4,4,FALSE)+I1885*VLOOKUP(E1885,WEIGHTS!$A$2:$F$4,5,FALSE)+J1885*VLOOKUP(E1885,WEIGHTS!$A$2:$F$4,6,FALSE))</f>
        <v/>
      </c>
      <c r="N1885" s="2" t="str">
        <f t="shared" si="4"/>
        <v/>
      </c>
    </row>
    <row r="1886" ht="15.75" customHeight="1">
      <c r="A1886" s="3"/>
      <c r="B1886" s="2" t="str">
        <f t="shared" si="1"/>
        <v/>
      </c>
      <c r="E1886" s="2"/>
      <c r="F1886" s="2"/>
      <c r="G1886" s="2"/>
      <c r="H1886" s="2"/>
      <c r="I1886" s="2"/>
      <c r="J1886" s="2"/>
      <c r="K1886" s="2" t="str">
        <f t="shared" si="2"/>
        <v/>
      </c>
      <c r="L1886" s="2" t="str">
        <f t="shared" si="3"/>
        <v>No</v>
      </c>
      <c r="M1886" s="2" t="str">
        <f>IF(K1886="","",F1886*VLOOKUP(E1886,WEIGHTS!$A$2:$F$4,2,FALSE)+G1886*VLOOKUP(E1886,WEIGHTS!$A$2:$F$4,3,FALSE)+H1886*VLOOKUP(E1886,WEIGHTS!$A$2:$F$4,4,FALSE)+I1886*VLOOKUP(E1886,WEIGHTS!$A$2:$F$4,5,FALSE)+J1886*VLOOKUP(E1886,WEIGHTS!$A$2:$F$4,6,FALSE))</f>
        <v/>
      </c>
      <c r="N1886" s="2" t="str">
        <f t="shared" si="4"/>
        <v/>
      </c>
    </row>
    <row r="1887" ht="15.75" customHeight="1">
      <c r="A1887" s="3"/>
      <c r="B1887" s="2" t="str">
        <f t="shared" si="1"/>
        <v/>
      </c>
      <c r="E1887" s="2"/>
      <c r="F1887" s="2"/>
      <c r="G1887" s="2"/>
      <c r="H1887" s="2"/>
      <c r="I1887" s="2"/>
      <c r="J1887" s="2"/>
      <c r="K1887" s="2" t="str">
        <f t="shared" si="2"/>
        <v/>
      </c>
      <c r="L1887" s="2" t="str">
        <f t="shared" si="3"/>
        <v>No</v>
      </c>
      <c r="M1887" s="2" t="str">
        <f>IF(K1887="","",F1887*VLOOKUP(E1887,WEIGHTS!$A$2:$F$4,2,FALSE)+G1887*VLOOKUP(E1887,WEIGHTS!$A$2:$F$4,3,FALSE)+H1887*VLOOKUP(E1887,WEIGHTS!$A$2:$F$4,4,FALSE)+I1887*VLOOKUP(E1887,WEIGHTS!$A$2:$F$4,5,FALSE)+J1887*VLOOKUP(E1887,WEIGHTS!$A$2:$F$4,6,FALSE))</f>
        <v/>
      </c>
      <c r="N1887" s="2" t="str">
        <f t="shared" si="4"/>
        <v/>
      </c>
    </row>
    <row r="1888" ht="15.75" customHeight="1">
      <c r="A1888" s="3"/>
      <c r="B1888" s="2" t="str">
        <f t="shared" si="1"/>
        <v/>
      </c>
      <c r="E1888" s="2"/>
      <c r="F1888" s="2"/>
      <c r="G1888" s="2"/>
      <c r="H1888" s="2"/>
      <c r="I1888" s="2"/>
      <c r="J1888" s="2"/>
      <c r="K1888" s="2" t="str">
        <f t="shared" si="2"/>
        <v/>
      </c>
      <c r="L1888" s="2" t="str">
        <f t="shared" si="3"/>
        <v>No</v>
      </c>
      <c r="M1888" s="2" t="str">
        <f>IF(K1888="","",F1888*VLOOKUP(E1888,WEIGHTS!$A$2:$F$4,2,FALSE)+G1888*VLOOKUP(E1888,WEIGHTS!$A$2:$F$4,3,FALSE)+H1888*VLOOKUP(E1888,WEIGHTS!$A$2:$F$4,4,FALSE)+I1888*VLOOKUP(E1888,WEIGHTS!$A$2:$F$4,5,FALSE)+J1888*VLOOKUP(E1888,WEIGHTS!$A$2:$F$4,6,FALSE))</f>
        <v/>
      </c>
      <c r="N1888" s="2" t="str">
        <f t="shared" si="4"/>
        <v/>
      </c>
    </row>
    <row r="1889" ht="15.75" customHeight="1">
      <c r="A1889" s="3"/>
      <c r="B1889" s="2" t="str">
        <f t="shared" si="1"/>
        <v/>
      </c>
      <c r="E1889" s="2"/>
      <c r="F1889" s="2"/>
      <c r="G1889" s="2"/>
      <c r="H1889" s="2"/>
      <c r="I1889" s="2"/>
      <c r="J1889" s="2"/>
      <c r="K1889" s="2" t="str">
        <f t="shared" si="2"/>
        <v/>
      </c>
      <c r="L1889" s="2" t="str">
        <f t="shared" si="3"/>
        <v>No</v>
      </c>
      <c r="M1889" s="2" t="str">
        <f>IF(K1889="","",F1889*VLOOKUP(E1889,WEIGHTS!$A$2:$F$4,2,FALSE)+G1889*VLOOKUP(E1889,WEIGHTS!$A$2:$F$4,3,FALSE)+H1889*VLOOKUP(E1889,WEIGHTS!$A$2:$F$4,4,FALSE)+I1889*VLOOKUP(E1889,WEIGHTS!$A$2:$F$4,5,FALSE)+J1889*VLOOKUP(E1889,WEIGHTS!$A$2:$F$4,6,FALSE))</f>
        <v/>
      </c>
      <c r="N1889" s="2" t="str">
        <f t="shared" si="4"/>
        <v/>
      </c>
    </row>
    <row r="1890" ht="15.75" customHeight="1">
      <c r="A1890" s="3"/>
      <c r="B1890" s="2" t="str">
        <f t="shared" si="1"/>
        <v/>
      </c>
      <c r="E1890" s="2"/>
      <c r="F1890" s="2"/>
      <c r="G1890" s="2"/>
      <c r="H1890" s="2"/>
      <c r="I1890" s="2"/>
      <c r="J1890" s="2"/>
      <c r="K1890" s="2" t="str">
        <f t="shared" si="2"/>
        <v/>
      </c>
      <c r="L1890" s="2" t="str">
        <f t="shared" si="3"/>
        <v>No</v>
      </c>
      <c r="M1890" s="2" t="str">
        <f>IF(K1890="","",F1890*VLOOKUP(E1890,WEIGHTS!$A$2:$F$4,2,FALSE)+G1890*VLOOKUP(E1890,WEIGHTS!$A$2:$F$4,3,FALSE)+H1890*VLOOKUP(E1890,WEIGHTS!$A$2:$F$4,4,FALSE)+I1890*VLOOKUP(E1890,WEIGHTS!$A$2:$F$4,5,FALSE)+J1890*VLOOKUP(E1890,WEIGHTS!$A$2:$F$4,6,FALSE))</f>
        <v/>
      </c>
      <c r="N1890" s="2" t="str">
        <f t="shared" si="4"/>
        <v/>
      </c>
    </row>
    <row r="1891" ht="15.75" customHeight="1">
      <c r="A1891" s="3"/>
      <c r="B1891" s="2" t="str">
        <f t="shared" si="1"/>
        <v/>
      </c>
      <c r="E1891" s="2"/>
      <c r="F1891" s="2"/>
      <c r="G1891" s="2"/>
      <c r="H1891" s="2"/>
      <c r="I1891" s="2"/>
      <c r="J1891" s="2"/>
      <c r="K1891" s="2" t="str">
        <f t="shared" si="2"/>
        <v/>
      </c>
      <c r="L1891" s="2" t="str">
        <f t="shared" si="3"/>
        <v>No</v>
      </c>
      <c r="M1891" s="2" t="str">
        <f>IF(K1891="","",F1891*VLOOKUP(E1891,WEIGHTS!$A$2:$F$4,2,FALSE)+G1891*VLOOKUP(E1891,WEIGHTS!$A$2:$F$4,3,FALSE)+H1891*VLOOKUP(E1891,WEIGHTS!$A$2:$F$4,4,FALSE)+I1891*VLOOKUP(E1891,WEIGHTS!$A$2:$F$4,5,FALSE)+J1891*VLOOKUP(E1891,WEIGHTS!$A$2:$F$4,6,FALSE))</f>
        <v/>
      </c>
      <c r="N1891" s="2" t="str">
        <f t="shared" si="4"/>
        <v/>
      </c>
    </row>
    <row r="1892" ht="15.75" customHeight="1">
      <c r="A1892" s="3"/>
      <c r="B1892" s="2" t="str">
        <f t="shared" si="1"/>
        <v/>
      </c>
      <c r="E1892" s="2"/>
      <c r="F1892" s="2"/>
      <c r="G1892" s="2"/>
      <c r="H1892" s="2"/>
      <c r="I1892" s="2"/>
      <c r="J1892" s="2"/>
      <c r="K1892" s="2" t="str">
        <f t="shared" si="2"/>
        <v/>
      </c>
      <c r="L1892" s="2" t="str">
        <f t="shared" si="3"/>
        <v>No</v>
      </c>
      <c r="M1892" s="2" t="str">
        <f>IF(K1892="","",F1892*VLOOKUP(E1892,WEIGHTS!$A$2:$F$4,2,FALSE)+G1892*VLOOKUP(E1892,WEIGHTS!$A$2:$F$4,3,FALSE)+H1892*VLOOKUP(E1892,WEIGHTS!$A$2:$F$4,4,FALSE)+I1892*VLOOKUP(E1892,WEIGHTS!$A$2:$F$4,5,FALSE)+J1892*VLOOKUP(E1892,WEIGHTS!$A$2:$F$4,6,FALSE))</f>
        <v/>
      </c>
      <c r="N1892" s="2" t="str">
        <f t="shared" si="4"/>
        <v/>
      </c>
    </row>
    <row r="1893" ht="15.75" customHeight="1">
      <c r="A1893" s="3"/>
      <c r="B1893" s="2" t="str">
        <f t="shared" si="1"/>
        <v/>
      </c>
      <c r="E1893" s="2"/>
      <c r="F1893" s="2"/>
      <c r="G1893" s="2"/>
      <c r="H1893" s="2"/>
      <c r="I1893" s="2"/>
      <c r="J1893" s="2"/>
      <c r="K1893" s="2" t="str">
        <f t="shared" si="2"/>
        <v/>
      </c>
      <c r="L1893" s="2" t="str">
        <f t="shared" si="3"/>
        <v>No</v>
      </c>
      <c r="M1893" s="2" t="str">
        <f>IF(K1893="","",F1893*VLOOKUP(E1893,WEIGHTS!$A$2:$F$4,2,FALSE)+G1893*VLOOKUP(E1893,WEIGHTS!$A$2:$F$4,3,FALSE)+H1893*VLOOKUP(E1893,WEIGHTS!$A$2:$F$4,4,FALSE)+I1893*VLOOKUP(E1893,WEIGHTS!$A$2:$F$4,5,FALSE)+J1893*VLOOKUP(E1893,WEIGHTS!$A$2:$F$4,6,FALSE))</f>
        <v/>
      </c>
      <c r="N1893" s="2" t="str">
        <f t="shared" si="4"/>
        <v/>
      </c>
    </row>
    <row r="1894" ht="15.75" customHeight="1">
      <c r="A1894" s="3"/>
      <c r="B1894" s="2" t="str">
        <f t="shared" si="1"/>
        <v/>
      </c>
      <c r="E1894" s="2"/>
      <c r="F1894" s="2"/>
      <c r="G1894" s="2"/>
      <c r="H1894" s="2"/>
      <c r="I1894" s="2"/>
      <c r="J1894" s="2"/>
      <c r="K1894" s="2" t="str">
        <f t="shared" si="2"/>
        <v/>
      </c>
      <c r="L1894" s="2" t="str">
        <f t="shared" si="3"/>
        <v>No</v>
      </c>
      <c r="M1894" s="2" t="str">
        <f>IF(K1894="","",F1894*VLOOKUP(E1894,WEIGHTS!$A$2:$F$4,2,FALSE)+G1894*VLOOKUP(E1894,WEIGHTS!$A$2:$F$4,3,FALSE)+H1894*VLOOKUP(E1894,WEIGHTS!$A$2:$F$4,4,FALSE)+I1894*VLOOKUP(E1894,WEIGHTS!$A$2:$F$4,5,FALSE)+J1894*VLOOKUP(E1894,WEIGHTS!$A$2:$F$4,6,FALSE))</f>
        <v/>
      </c>
      <c r="N1894" s="2" t="str">
        <f t="shared" si="4"/>
        <v/>
      </c>
    </row>
    <row r="1895" ht="15.75" customHeight="1">
      <c r="A1895" s="3"/>
      <c r="B1895" s="2" t="str">
        <f t="shared" si="1"/>
        <v/>
      </c>
      <c r="E1895" s="2"/>
      <c r="F1895" s="2"/>
      <c r="G1895" s="2"/>
      <c r="H1895" s="2"/>
      <c r="I1895" s="2"/>
      <c r="J1895" s="2"/>
      <c r="K1895" s="2" t="str">
        <f t="shared" si="2"/>
        <v/>
      </c>
      <c r="L1895" s="2" t="str">
        <f t="shared" si="3"/>
        <v>No</v>
      </c>
      <c r="M1895" s="2" t="str">
        <f>IF(K1895="","",F1895*VLOOKUP(E1895,WEIGHTS!$A$2:$F$4,2,FALSE)+G1895*VLOOKUP(E1895,WEIGHTS!$A$2:$F$4,3,FALSE)+H1895*VLOOKUP(E1895,WEIGHTS!$A$2:$F$4,4,FALSE)+I1895*VLOOKUP(E1895,WEIGHTS!$A$2:$F$4,5,FALSE)+J1895*VLOOKUP(E1895,WEIGHTS!$A$2:$F$4,6,FALSE))</f>
        <v/>
      </c>
      <c r="N1895" s="2" t="str">
        <f t="shared" si="4"/>
        <v/>
      </c>
    </row>
    <row r="1896" ht="15.75" customHeight="1">
      <c r="A1896" s="3"/>
      <c r="B1896" s="2" t="str">
        <f t="shared" si="1"/>
        <v/>
      </c>
      <c r="E1896" s="2"/>
      <c r="F1896" s="2"/>
      <c r="G1896" s="2"/>
      <c r="H1896" s="2"/>
      <c r="I1896" s="2"/>
      <c r="J1896" s="2"/>
      <c r="K1896" s="2" t="str">
        <f t="shared" si="2"/>
        <v/>
      </c>
      <c r="L1896" s="2" t="str">
        <f t="shared" si="3"/>
        <v>No</v>
      </c>
      <c r="M1896" s="2" t="str">
        <f>IF(K1896="","",F1896*VLOOKUP(E1896,WEIGHTS!$A$2:$F$4,2,FALSE)+G1896*VLOOKUP(E1896,WEIGHTS!$A$2:$F$4,3,FALSE)+H1896*VLOOKUP(E1896,WEIGHTS!$A$2:$F$4,4,FALSE)+I1896*VLOOKUP(E1896,WEIGHTS!$A$2:$F$4,5,FALSE)+J1896*VLOOKUP(E1896,WEIGHTS!$A$2:$F$4,6,FALSE))</f>
        <v/>
      </c>
      <c r="N1896" s="2" t="str">
        <f t="shared" si="4"/>
        <v/>
      </c>
    </row>
    <row r="1897" ht="15.75" customHeight="1">
      <c r="A1897" s="3"/>
      <c r="B1897" s="2" t="str">
        <f t="shared" si="1"/>
        <v/>
      </c>
      <c r="E1897" s="2"/>
      <c r="F1897" s="2"/>
      <c r="G1897" s="2"/>
      <c r="H1897" s="2"/>
      <c r="I1897" s="2"/>
      <c r="J1897" s="2"/>
      <c r="K1897" s="2" t="str">
        <f t="shared" si="2"/>
        <v/>
      </c>
      <c r="L1897" s="2" t="str">
        <f t="shared" si="3"/>
        <v>No</v>
      </c>
      <c r="M1897" s="2" t="str">
        <f>IF(K1897="","",F1897*VLOOKUP(E1897,WEIGHTS!$A$2:$F$4,2,FALSE)+G1897*VLOOKUP(E1897,WEIGHTS!$A$2:$F$4,3,FALSE)+H1897*VLOOKUP(E1897,WEIGHTS!$A$2:$F$4,4,FALSE)+I1897*VLOOKUP(E1897,WEIGHTS!$A$2:$F$4,5,FALSE)+J1897*VLOOKUP(E1897,WEIGHTS!$A$2:$F$4,6,FALSE))</f>
        <v/>
      </c>
      <c r="N1897" s="2" t="str">
        <f t="shared" si="4"/>
        <v/>
      </c>
    </row>
    <row r="1898" ht="15.75" customHeight="1">
      <c r="A1898" s="3"/>
      <c r="B1898" s="2" t="str">
        <f t="shared" si="1"/>
        <v/>
      </c>
      <c r="E1898" s="2"/>
      <c r="F1898" s="2"/>
      <c r="G1898" s="2"/>
      <c r="H1898" s="2"/>
      <c r="I1898" s="2"/>
      <c r="J1898" s="2"/>
      <c r="K1898" s="2" t="str">
        <f t="shared" si="2"/>
        <v/>
      </c>
      <c r="L1898" s="2" t="str">
        <f t="shared" si="3"/>
        <v>No</v>
      </c>
      <c r="M1898" s="2" t="str">
        <f>IF(K1898="","",F1898*VLOOKUP(E1898,WEIGHTS!$A$2:$F$4,2,FALSE)+G1898*VLOOKUP(E1898,WEIGHTS!$A$2:$F$4,3,FALSE)+H1898*VLOOKUP(E1898,WEIGHTS!$A$2:$F$4,4,FALSE)+I1898*VLOOKUP(E1898,WEIGHTS!$A$2:$F$4,5,FALSE)+J1898*VLOOKUP(E1898,WEIGHTS!$A$2:$F$4,6,FALSE))</f>
        <v/>
      </c>
      <c r="N1898" s="2" t="str">
        <f t="shared" si="4"/>
        <v/>
      </c>
    </row>
    <row r="1899" ht="15.75" customHeight="1">
      <c r="A1899" s="3"/>
      <c r="B1899" s="2" t="str">
        <f t="shared" si="1"/>
        <v/>
      </c>
      <c r="E1899" s="2"/>
      <c r="F1899" s="2"/>
      <c r="G1899" s="2"/>
      <c r="H1899" s="2"/>
      <c r="I1899" s="2"/>
      <c r="J1899" s="2"/>
      <c r="K1899" s="2" t="str">
        <f t="shared" si="2"/>
        <v/>
      </c>
      <c r="L1899" s="2" t="str">
        <f t="shared" si="3"/>
        <v>No</v>
      </c>
      <c r="M1899" s="2" t="str">
        <f>IF(K1899="","",F1899*VLOOKUP(E1899,WEIGHTS!$A$2:$F$4,2,FALSE)+G1899*VLOOKUP(E1899,WEIGHTS!$A$2:$F$4,3,FALSE)+H1899*VLOOKUP(E1899,WEIGHTS!$A$2:$F$4,4,FALSE)+I1899*VLOOKUP(E1899,WEIGHTS!$A$2:$F$4,5,FALSE)+J1899*VLOOKUP(E1899,WEIGHTS!$A$2:$F$4,6,FALSE))</f>
        <v/>
      </c>
      <c r="N1899" s="2" t="str">
        <f t="shared" si="4"/>
        <v/>
      </c>
    </row>
    <row r="1900" ht="15.75" customHeight="1">
      <c r="A1900" s="3"/>
      <c r="B1900" s="2" t="str">
        <f t="shared" si="1"/>
        <v/>
      </c>
      <c r="E1900" s="2"/>
      <c r="F1900" s="2"/>
      <c r="G1900" s="2"/>
      <c r="H1900" s="2"/>
      <c r="I1900" s="2"/>
      <c r="J1900" s="2"/>
      <c r="K1900" s="2" t="str">
        <f t="shared" si="2"/>
        <v/>
      </c>
      <c r="L1900" s="2" t="str">
        <f t="shared" si="3"/>
        <v>No</v>
      </c>
      <c r="M1900" s="2" t="str">
        <f>IF(K1900="","",F1900*VLOOKUP(E1900,WEIGHTS!$A$2:$F$4,2,FALSE)+G1900*VLOOKUP(E1900,WEIGHTS!$A$2:$F$4,3,FALSE)+H1900*VLOOKUP(E1900,WEIGHTS!$A$2:$F$4,4,FALSE)+I1900*VLOOKUP(E1900,WEIGHTS!$A$2:$F$4,5,FALSE)+J1900*VLOOKUP(E1900,WEIGHTS!$A$2:$F$4,6,FALSE))</f>
        <v/>
      </c>
      <c r="N1900" s="2" t="str">
        <f t="shared" si="4"/>
        <v/>
      </c>
    </row>
    <row r="1901" ht="15.75" customHeight="1">
      <c r="A1901" s="3"/>
      <c r="B1901" s="2" t="str">
        <f t="shared" si="1"/>
        <v/>
      </c>
      <c r="E1901" s="2"/>
      <c r="F1901" s="2"/>
      <c r="G1901" s="2"/>
      <c r="H1901" s="2"/>
      <c r="I1901" s="2"/>
      <c r="J1901" s="2"/>
      <c r="K1901" s="2" t="str">
        <f t="shared" si="2"/>
        <v/>
      </c>
      <c r="L1901" s="2" t="str">
        <f t="shared" si="3"/>
        <v>No</v>
      </c>
      <c r="M1901" s="2" t="str">
        <f>IF(K1901="","",F1901*VLOOKUP(E1901,WEIGHTS!$A$2:$F$4,2,FALSE)+G1901*VLOOKUP(E1901,WEIGHTS!$A$2:$F$4,3,FALSE)+H1901*VLOOKUP(E1901,WEIGHTS!$A$2:$F$4,4,FALSE)+I1901*VLOOKUP(E1901,WEIGHTS!$A$2:$F$4,5,FALSE)+J1901*VLOOKUP(E1901,WEIGHTS!$A$2:$F$4,6,FALSE))</f>
        <v/>
      </c>
      <c r="N1901" s="2" t="str">
        <f t="shared" si="4"/>
        <v/>
      </c>
    </row>
    <row r="1902" ht="15.75" customHeight="1">
      <c r="A1902" s="3"/>
      <c r="B1902" s="2" t="str">
        <f t="shared" si="1"/>
        <v/>
      </c>
      <c r="E1902" s="2"/>
      <c r="F1902" s="2"/>
      <c r="G1902" s="2"/>
      <c r="H1902" s="2"/>
      <c r="I1902" s="2"/>
      <c r="J1902" s="2"/>
      <c r="K1902" s="2" t="str">
        <f t="shared" si="2"/>
        <v/>
      </c>
      <c r="L1902" s="2" t="str">
        <f t="shared" si="3"/>
        <v>No</v>
      </c>
      <c r="M1902" s="2" t="str">
        <f>IF(K1902="","",F1902*VLOOKUP(E1902,WEIGHTS!$A$2:$F$4,2,FALSE)+G1902*VLOOKUP(E1902,WEIGHTS!$A$2:$F$4,3,FALSE)+H1902*VLOOKUP(E1902,WEIGHTS!$A$2:$F$4,4,FALSE)+I1902*VLOOKUP(E1902,WEIGHTS!$A$2:$F$4,5,FALSE)+J1902*VLOOKUP(E1902,WEIGHTS!$A$2:$F$4,6,FALSE))</f>
        <v/>
      </c>
      <c r="N1902" s="2" t="str">
        <f t="shared" si="4"/>
        <v/>
      </c>
    </row>
    <row r="1903" ht="15.75" customHeight="1">
      <c r="A1903" s="3"/>
      <c r="B1903" s="2" t="str">
        <f t="shared" si="1"/>
        <v/>
      </c>
      <c r="E1903" s="2"/>
      <c r="F1903" s="2"/>
      <c r="G1903" s="2"/>
      <c r="H1903" s="2"/>
      <c r="I1903" s="2"/>
      <c r="J1903" s="2"/>
      <c r="K1903" s="2" t="str">
        <f t="shared" si="2"/>
        <v/>
      </c>
      <c r="L1903" s="2" t="str">
        <f t="shared" si="3"/>
        <v>No</v>
      </c>
      <c r="M1903" s="2" t="str">
        <f>IF(K1903="","",F1903*VLOOKUP(E1903,WEIGHTS!$A$2:$F$4,2,FALSE)+G1903*VLOOKUP(E1903,WEIGHTS!$A$2:$F$4,3,FALSE)+H1903*VLOOKUP(E1903,WEIGHTS!$A$2:$F$4,4,FALSE)+I1903*VLOOKUP(E1903,WEIGHTS!$A$2:$F$4,5,FALSE)+J1903*VLOOKUP(E1903,WEIGHTS!$A$2:$F$4,6,FALSE))</f>
        <v/>
      </c>
      <c r="N1903" s="2" t="str">
        <f t="shared" si="4"/>
        <v/>
      </c>
    </row>
    <row r="1904" ht="15.75" customHeight="1">
      <c r="A1904" s="3"/>
      <c r="B1904" s="2" t="str">
        <f t="shared" si="1"/>
        <v/>
      </c>
      <c r="E1904" s="2"/>
      <c r="F1904" s="2"/>
      <c r="G1904" s="2"/>
      <c r="H1904" s="2"/>
      <c r="I1904" s="2"/>
      <c r="J1904" s="2"/>
      <c r="K1904" s="2" t="str">
        <f t="shared" si="2"/>
        <v/>
      </c>
      <c r="L1904" s="2" t="str">
        <f t="shared" si="3"/>
        <v>No</v>
      </c>
      <c r="M1904" s="2" t="str">
        <f>IF(K1904="","",F1904*VLOOKUP(E1904,WEIGHTS!$A$2:$F$4,2,FALSE)+G1904*VLOOKUP(E1904,WEIGHTS!$A$2:$F$4,3,FALSE)+H1904*VLOOKUP(E1904,WEIGHTS!$A$2:$F$4,4,FALSE)+I1904*VLOOKUP(E1904,WEIGHTS!$A$2:$F$4,5,FALSE)+J1904*VLOOKUP(E1904,WEIGHTS!$A$2:$F$4,6,FALSE))</f>
        <v/>
      </c>
      <c r="N1904" s="2" t="str">
        <f t="shared" si="4"/>
        <v/>
      </c>
    </row>
    <row r="1905" ht="15.75" customHeight="1">
      <c r="A1905" s="3"/>
      <c r="B1905" s="2" t="str">
        <f t="shared" si="1"/>
        <v/>
      </c>
      <c r="E1905" s="2"/>
      <c r="F1905" s="2"/>
      <c r="G1905" s="2"/>
      <c r="H1905" s="2"/>
      <c r="I1905" s="2"/>
      <c r="J1905" s="2"/>
      <c r="K1905" s="2" t="str">
        <f t="shared" si="2"/>
        <v/>
      </c>
      <c r="L1905" s="2" t="str">
        <f t="shared" si="3"/>
        <v>No</v>
      </c>
      <c r="M1905" s="2" t="str">
        <f>IF(K1905="","",F1905*VLOOKUP(E1905,WEIGHTS!$A$2:$F$4,2,FALSE)+G1905*VLOOKUP(E1905,WEIGHTS!$A$2:$F$4,3,FALSE)+H1905*VLOOKUP(E1905,WEIGHTS!$A$2:$F$4,4,FALSE)+I1905*VLOOKUP(E1905,WEIGHTS!$A$2:$F$4,5,FALSE)+J1905*VLOOKUP(E1905,WEIGHTS!$A$2:$F$4,6,FALSE))</f>
        <v/>
      </c>
      <c r="N1905" s="2" t="str">
        <f t="shared" si="4"/>
        <v/>
      </c>
    </row>
    <row r="1906" ht="15.75" customHeight="1">
      <c r="A1906" s="3"/>
      <c r="B1906" s="2" t="str">
        <f t="shared" si="1"/>
        <v/>
      </c>
      <c r="E1906" s="2"/>
      <c r="F1906" s="2"/>
      <c r="G1906" s="2"/>
      <c r="H1906" s="2"/>
      <c r="I1906" s="2"/>
      <c r="J1906" s="2"/>
      <c r="K1906" s="2" t="str">
        <f t="shared" si="2"/>
        <v/>
      </c>
      <c r="L1906" s="2" t="str">
        <f t="shared" si="3"/>
        <v>No</v>
      </c>
      <c r="M1906" s="2" t="str">
        <f>IF(K1906="","",F1906*VLOOKUP(E1906,WEIGHTS!$A$2:$F$4,2,FALSE)+G1906*VLOOKUP(E1906,WEIGHTS!$A$2:$F$4,3,FALSE)+H1906*VLOOKUP(E1906,WEIGHTS!$A$2:$F$4,4,FALSE)+I1906*VLOOKUP(E1906,WEIGHTS!$A$2:$F$4,5,FALSE)+J1906*VLOOKUP(E1906,WEIGHTS!$A$2:$F$4,6,FALSE))</f>
        <v/>
      </c>
      <c r="N1906" s="2" t="str">
        <f t="shared" si="4"/>
        <v/>
      </c>
    </row>
    <row r="1907" ht="15.75" customHeight="1">
      <c r="A1907" s="3"/>
      <c r="B1907" s="2" t="str">
        <f t="shared" si="1"/>
        <v/>
      </c>
      <c r="E1907" s="2"/>
      <c r="F1907" s="2"/>
      <c r="G1907" s="2"/>
      <c r="H1907" s="2"/>
      <c r="I1907" s="2"/>
      <c r="J1907" s="2"/>
      <c r="K1907" s="2" t="str">
        <f t="shared" si="2"/>
        <v/>
      </c>
      <c r="L1907" s="2" t="str">
        <f t="shared" si="3"/>
        <v>No</v>
      </c>
      <c r="M1907" s="2" t="str">
        <f>IF(K1907="","",F1907*VLOOKUP(E1907,WEIGHTS!$A$2:$F$4,2,FALSE)+G1907*VLOOKUP(E1907,WEIGHTS!$A$2:$F$4,3,FALSE)+H1907*VLOOKUP(E1907,WEIGHTS!$A$2:$F$4,4,FALSE)+I1907*VLOOKUP(E1907,WEIGHTS!$A$2:$F$4,5,FALSE)+J1907*VLOOKUP(E1907,WEIGHTS!$A$2:$F$4,6,FALSE))</f>
        <v/>
      </c>
      <c r="N1907" s="2" t="str">
        <f t="shared" si="4"/>
        <v/>
      </c>
    </row>
    <row r="1908" ht="15.75" customHeight="1">
      <c r="A1908" s="3"/>
      <c r="B1908" s="2" t="str">
        <f t="shared" si="1"/>
        <v/>
      </c>
      <c r="E1908" s="2"/>
      <c r="F1908" s="2"/>
      <c r="G1908" s="2"/>
      <c r="H1908" s="2"/>
      <c r="I1908" s="2"/>
      <c r="J1908" s="2"/>
      <c r="K1908" s="2" t="str">
        <f t="shared" si="2"/>
        <v/>
      </c>
      <c r="L1908" s="2" t="str">
        <f t="shared" si="3"/>
        <v>No</v>
      </c>
      <c r="M1908" s="2" t="str">
        <f>IF(K1908="","",F1908*VLOOKUP(E1908,WEIGHTS!$A$2:$F$4,2,FALSE)+G1908*VLOOKUP(E1908,WEIGHTS!$A$2:$F$4,3,FALSE)+H1908*VLOOKUP(E1908,WEIGHTS!$A$2:$F$4,4,FALSE)+I1908*VLOOKUP(E1908,WEIGHTS!$A$2:$F$4,5,FALSE)+J1908*VLOOKUP(E1908,WEIGHTS!$A$2:$F$4,6,FALSE))</f>
        <v/>
      </c>
      <c r="N1908" s="2" t="str">
        <f t="shared" si="4"/>
        <v/>
      </c>
    </row>
    <row r="1909" ht="15.75" customHeight="1">
      <c r="A1909" s="3"/>
      <c r="B1909" s="2" t="str">
        <f t="shared" si="1"/>
        <v/>
      </c>
      <c r="E1909" s="2"/>
      <c r="F1909" s="2"/>
      <c r="G1909" s="2"/>
      <c r="H1909" s="2"/>
      <c r="I1909" s="2"/>
      <c r="J1909" s="2"/>
      <c r="K1909" s="2" t="str">
        <f t="shared" si="2"/>
        <v/>
      </c>
      <c r="L1909" s="2" t="str">
        <f t="shared" si="3"/>
        <v>No</v>
      </c>
      <c r="M1909" s="2" t="str">
        <f>IF(K1909="","",F1909*VLOOKUP(E1909,WEIGHTS!$A$2:$F$4,2,FALSE)+G1909*VLOOKUP(E1909,WEIGHTS!$A$2:$F$4,3,FALSE)+H1909*VLOOKUP(E1909,WEIGHTS!$A$2:$F$4,4,FALSE)+I1909*VLOOKUP(E1909,WEIGHTS!$A$2:$F$4,5,FALSE)+J1909*VLOOKUP(E1909,WEIGHTS!$A$2:$F$4,6,FALSE))</f>
        <v/>
      </c>
      <c r="N1909" s="2" t="str">
        <f t="shared" si="4"/>
        <v/>
      </c>
    </row>
    <row r="1910" ht="15.75" customHeight="1">
      <c r="A1910" s="3"/>
      <c r="B1910" s="2" t="str">
        <f t="shared" si="1"/>
        <v/>
      </c>
      <c r="E1910" s="2"/>
      <c r="F1910" s="2"/>
      <c r="G1910" s="2"/>
      <c r="H1910" s="2"/>
      <c r="I1910" s="2"/>
      <c r="J1910" s="2"/>
      <c r="K1910" s="2" t="str">
        <f t="shared" si="2"/>
        <v/>
      </c>
      <c r="L1910" s="2" t="str">
        <f t="shared" si="3"/>
        <v>No</v>
      </c>
      <c r="M1910" s="2" t="str">
        <f>IF(K1910="","",F1910*VLOOKUP(E1910,WEIGHTS!$A$2:$F$4,2,FALSE)+G1910*VLOOKUP(E1910,WEIGHTS!$A$2:$F$4,3,FALSE)+H1910*VLOOKUP(E1910,WEIGHTS!$A$2:$F$4,4,FALSE)+I1910*VLOOKUP(E1910,WEIGHTS!$A$2:$F$4,5,FALSE)+J1910*VLOOKUP(E1910,WEIGHTS!$A$2:$F$4,6,FALSE))</f>
        <v/>
      </c>
      <c r="N1910" s="2" t="str">
        <f t="shared" si="4"/>
        <v/>
      </c>
    </row>
    <row r="1911" ht="15.75" customHeight="1">
      <c r="A1911" s="3"/>
      <c r="B1911" s="2" t="str">
        <f t="shared" si="1"/>
        <v/>
      </c>
      <c r="E1911" s="2"/>
      <c r="F1911" s="2"/>
      <c r="G1911" s="2"/>
      <c r="H1911" s="2"/>
      <c r="I1911" s="2"/>
      <c r="J1911" s="2"/>
      <c r="K1911" s="2" t="str">
        <f t="shared" si="2"/>
        <v/>
      </c>
      <c r="L1911" s="2" t="str">
        <f t="shared" si="3"/>
        <v>No</v>
      </c>
      <c r="M1911" s="2" t="str">
        <f>IF(K1911="","",F1911*VLOOKUP(E1911,WEIGHTS!$A$2:$F$4,2,FALSE)+G1911*VLOOKUP(E1911,WEIGHTS!$A$2:$F$4,3,FALSE)+H1911*VLOOKUP(E1911,WEIGHTS!$A$2:$F$4,4,FALSE)+I1911*VLOOKUP(E1911,WEIGHTS!$A$2:$F$4,5,FALSE)+J1911*VLOOKUP(E1911,WEIGHTS!$A$2:$F$4,6,FALSE))</f>
        <v/>
      </c>
      <c r="N1911" s="2" t="str">
        <f t="shared" si="4"/>
        <v/>
      </c>
    </row>
    <row r="1912" ht="15.75" customHeight="1">
      <c r="A1912" s="3"/>
      <c r="B1912" s="2" t="str">
        <f t="shared" si="1"/>
        <v/>
      </c>
      <c r="E1912" s="2"/>
      <c r="F1912" s="2"/>
      <c r="G1912" s="2"/>
      <c r="H1912" s="2"/>
      <c r="I1912" s="2"/>
      <c r="J1912" s="2"/>
      <c r="K1912" s="2" t="str">
        <f t="shared" si="2"/>
        <v/>
      </c>
      <c r="L1912" s="2" t="str">
        <f t="shared" si="3"/>
        <v>No</v>
      </c>
      <c r="M1912" s="2" t="str">
        <f>IF(K1912="","",F1912*VLOOKUP(E1912,WEIGHTS!$A$2:$F$4,2,FALSE)+G1912*VLOOKUP(E1912,WEIGHTS!$A$2:$F$4,3,FALSE)+H1912*VLOOKUP(E1912,WEIGHTS!$A$2:$F$4,4,FALSE)+I1912*VLOOKUP(E1912,WEIGHTS!$A$2:$F$4,5,FALSE)+J1912*VLOOKUP(E1912,WEIGHTS!$A$2:$F$4,6,FALSE))</f>
        <v/>
      </c>
      <c r="N1912" s="2" t="str">
        <f t="shared" si="4"/>
        <v/>
      </c>
    </row>
    <row r="1913" ht="15.75" customHeight="1">
      <c r="A1913" s="3"/>
      <c r="B1913" s="2" t="str">
        <f t="shared" si="1"/>
        <v/>
      </c>
      <c r="E1913" s="2"/>
      <c r="F1913" s="2"/>
      <c r="G1913" s="2"/>
      <c r="H1913" s="2"/>
      <c r="I1913" s="2"/>
      <c r="J1913" s="2"/>
      <c r="K1913" s="2" t="str">
        <f t="shared" si="2"/>
        <v/>
      </c>
      <c r="L1913" s="2" t="str">
        <f t="shared" si="3"/>
        <v>No</v>
      </c>
      <c r="M1913" s="2" t="str">
        <f>IF(K1913="","",F1913*VLOOKUP(E1913,WEIGHTS!$A$2:$F$4,2,FALSE)+G1913*VLOOKUP(E1913,WEIGHTS!$A$2:$F$4,3,FALSE)+H1913*VLOOKUP(E1913,WEIGHTS!$A$2:$F$4,4,FALSE)+I1913*VLOOKUP(E1913,WEIGHTS!$A$2:$F$4,5,FALSE)+J1913*VLOOKUP(E1913,WEIGHTS!$A$2:$F$4,6,FALSE))</f>
        <v/>
      </c>
      <c r="N1913" s="2" t="str">
        <f t="shared" si="4"/>
        <v/>
      </c>
    </row>
    <row r="1914" ht="15.75" customHeight="1">
      <c r="A1914" s="3"/>
      <c r="B1914" s="2" t="str">
        <f t="shared" si="1"/>
        <v/>
      </c>
      <c r="E1914" s="2"/>
      <c r="F1914" s="2"/>
      <c r="G1914" s="2"/>
      <c r="H1914" s="2"/>
      <c r="I1914" s="2"/>
      <c r="J1914" s="2"/>
      <c r="K1914" s="2" t="str">
        <f t="shared" si="2"/>
        <v/>
      </c>
      <c r="L1914" s="2" t="str">
        <f t="shared" si="3"/>
        <v>No</v>
      </c>
      <c r="M1914" s="2" t="str">
        <f>IF(K1914="","",F1914*VLOOKUP(E1914,WEIGHTS!$A$2:$F$4,2,FALSE)+G1914*VLOOKUP(E1914,WEIGHTS!$A$2:$F$4,3,FALSE)+H1914*VLOOKUP(E1914,WEIGHTS!$A$2:$F$4,4,FALSE)+I1914*VLOOKUP(E1914,WEIGHTS!$A$2:$F$4,5,FALSE)+J1914*VLOOKUP(E1914,WEIGHTS!$A$2:$F$4,6,FALSE))</f>
        <v/>
      </c>
      <c r="N1914" s="2" t="str">
        <f t="shared" si="4"/>
        <v/>
      </c>
    </row>
    <row r="1915" ht="15.75" customHeight="1">
      <c r="A1915" s="3"/>
      <c r="B1915" s="2" t="str">
        <f t="shared" si="1"/>
        <v/>
      </c>
      <c r="E1915" s="2"/>
      <c r="F1915" s="2"/>
      <c r="G1915" s="2"/>
      <c r="H1915" s="2"/>
      <c r="I1915" s="2"/>
      <c r="J1915" s="2"/>
      <c r="K1915" s="2" t="str">
        <f t="shared" si="2"/>
        <v/>
      </c>
      <c r="L1915" s="2" t="str">
        <f t="shared" si="3"/>
        <v>No</v>
      </c>
      <c r="M1915" s="2" t="str">
        <f>IF(K1915="","",F1915*VLOOKUP(E1915,WEIGHTS!$A$2:$F$4,2,FALSE)+G1915*VLOOKUP(E1915,WEIGHTS!$A$2:$F$4,3,FALSE)+H1915*VLOOKUP(E1915,WEIGHTS!$A$2:$F$4,4,FALSE)+I1915*VLOOKUP(E1915,WEIGHTS!$A$2:$F$4,5,FALSE)+J1915*VLOOKUP(E1915,WEIGHTS!$A$2:$F$4,6,FALSE))</f>
        <v/>
      </c>
      <c r="N1915" s="2" t="str">
        <f t="shared" si="4"/>
        <v/>
      </c>
    </row>
    <row r="1916" ht="15.75" customHeight="1">
      <c r="A1916" s="3"/>
      <c r="B1916" s="2" t="str">
        <f t="shared" si="1"/>
        <v/>
      </c>
      <c r="E1916" s="2"/>
      <c r="F1916" s="2"/>
      <c r="G1916" s="2"/>
      <c r="H1916" s="2"/>
      <c r="I1916" s="2"/>
      <c r="J1916" s="2"/>
      <c r="K1916" s="2" t="str">
        <f t="shared" si="2"/>
        <v/>
      </c>
      <c r="L1916" s="2" t="str">
        <f t="shared" si="3"/>
        <v>No</v>
      </c>
      <c r="M1916" s="2" t="str">
        <f>IF(K1916="","",F1916*VLOOKUP(E1916,WEIGHTS!$A$2:$F$4,2,FALSE)+G1916*VLOOKUP(E1916,WEIGHTS!$A$2:$F$4,3,FALSE)+H1916*VLOOKUP(E1916,WEIGHTS!$A$2:$F$4,4,FALSE)+I1916*VLOOKUP(E1916,WEIGHTS!$A$2:$F$4,5,FALSE)+J1916*VLOOKUP(E1916,WEIGHTS!$A$2:$F$4,6,FALSE))</f>
        <v/>
      </c>
      <c r="N1916" s="2" t="str">
        <f t="shared" si="4"/>
        <v/>
      </c>
    </row>
    <row r="1917" ht="15.75" customHeight="1">
      <c r="A1917" s="3"/>
      <c r="B1917" s="2" t="str">
        <f t="shared" si="1"/>
        <v/>
      </c>
      <c r="E1917" s="2"/>
      <c r="F1917" s="2"/>
      <c r="G1917" s="2"/>
      <c r="H1917" s="2"/>
      <c r="I1917" s="2"/>
      <c r="J1917" s="2"/>
      <c r="K1917" s="2" t="str">
        <f t="shared" si="2"/>
        <v/>
      </c>
      <c r="L1917" s="2" t="str">
        <f t="shared" si="3"/>
        <v>No</v>
      </c>
      <c r="M1917" s="2" t="str">
        <f>IF(K1917="","",F1917*VLOOKUP(E1917,WEIGHTS!$A$2:$F$4,2,FALSE)+G1917*VLOOKUP(E1917,WEIGHTS!$A$2:$F$4,3,FALSE)+H1917*VLOOKUP(E1917,WEIGHTS!$A$2:$F$4,4,FALSE)+I1917*VLOOKUP(E1917,WEIGHTS!$A$2:$F$4,5,FALSE)+J1917*VLOOKUP(E1917,WEIGHTS!$A$2:$F$4,6,FALSE))</f>
        <v/>
      </c>
      <c r="N1917" s="2" t="str">
        <f t="shared" si="4"/>
        <v/>
      </c>
    </row>
    <row r="1918" ht="15.75" customHeight="1">
      <c r="A1918" s="3"/>
      <c r="B1918" s="2" t="str">
        <f t="shared" si="1"/>
        <v/>
      </c>
      <c r="E1918" s="2"/>
      <c r="F1918" s="2"/>
      <c r="G1918" s="2"/>
      <c r="H1918" s="2"/>
      <c r="I1918" s="2"/>
      <c r="J1918" s="2"/>
      <c r="K1918" s="2" t="str">
        <f t="shared" si="2"/>
        <v/>
      </c>
      <c r="L1918" s="2" t="str">
        <f t="shared" si="3"/>
        <v>No</v>
      </c>
      <c r="M1918" s="2" t="str">
        <f>IF(K1918="","",F1918*VLOOKUP(E1918,WEIGHTS!$A$2:$F$4,2,FALSE)+G1918*VLOOKUP(E1918,WEIGHTS!$A$2:$F$4,3,FALSE)+H1918*VLOOKUP(E1918,WEIGHTS!$A$2:$F$4,4,FALSE)+I1918*VLOOKUP(E1918,WEIGHTS!$A$2:$F$4,5,FALSE)+J1918*VLOOKUP(E1918,WEIGHTS!$A$2:$F$4,6,FALSE))</f>
        <v/>
      </c>
      <c r="N1918" s="2" t="str">
        <f t="shared" si="4"/>
        <v/>
      </c>
    </row>
    <row r="1919" ht="15.75" customHeight="1">
      <c r="A1919" s="3"/>
      <c r="B1919" s="2" t="str">
        <f t="shared" si="1"/>
        <v/>
      </c>
      <c r="E1919" s="2"/>
      <c r="F1919" s="2"/>
      <c r="G1919" s="2"/>
      <c r="H1919" s="2"/>
      <c r="I1919" s="2"/>
      <c r="J1919" s="2"/>
      <c r="K1919" s="2" t="str">
        <f t="shared" si="2"/>
        <v/>
      </c>
      <c r="L1919" s="2" t="str">
        <f t="shared" si="3"/>
        <v>No</v>
      </c>
      <c r="M1919" s="2" t="str">
        <f>IF(K1919="","",F1919*VLOOKUP(E1919,WEIGHTS!$A$2:$F$4,2,FALSE)+G1919*VLOOKUP(E1919,WEIGHTS!$A$2:$F$4,3,FALSE)+H1919*VLOOKUP(E1919,WEIGHTS!$A$2:$F$4,4,FALSE)+I1919*VLOOKUP(E1919,WEIGHTS!$A$2:$F$4,5,FALSE)+J1919*VLOOKUP(E1919,WEIGHTS!$A$2:$F$4,6,FALSE))</f>
        <v/>
      </c>
      <c r="N1919" s="2" t="str">
        <f t="shared" si="4"/>
        <v/>
      </c>
    </row>
    <row r="1920" ht="15.75" customHeight="1">
      <c r="A1920" s="3"/>
      <c r="B1920" s="2" t="str">
        <f t="shared" si="1"/>
        <v/>
      </c>
      <c r="E1920" s="2"/>
      <c r="F1920" s="2"/>
      <c r="G1920" s="2"/>
      <c r="H1920" s="2"/>
      <c r="I1920" s="2"/>
      <c r="J1920" s="2"/>
      <c r="K1920" s="2" t="str">
        <f t="shared" si="2"/>
        <v/>
      </c>
      <c r="L1920" s="2" t="str">
        <f t="shared" si="3"/>
        <v>No</v>
      </c>
      <c r="M1920" s="2" t="str">
        <f>IF(K1920="","",F1920*VLOOKUP(E1920,WEIGHTS!$A$2:$F$4,2,FALSE)+G1920*VLOOKUP(E1920,WEIGHTS!$A$2:$F$4,3,FALSE)+H1920*VLOOKUP(E1920,WEIGHTS!$A$2:$F$4,4,FALSE)+I1920*VLOOKUP(E1920,WEIGHTS!$A$2:$F$4,5,FALSE)+J1920*VLOOKUP(E1920,WEIGHTS!$A$2:$F$4,6,FALSE))</f>
        <v/>
      </c>
      <c r="N1920" s="2" t="str">
        <f t="shared" si="4"/>
        <v/>
      </c>
    </row>
    <row r="1921" ht="15.75" customHeight="1">
      <c r="A1921" s="3"/>
      <c r="B1921" s="2" t="str">
        <f t="shared" si="1"/>
        <v/>
      </c>
      <c r="E1921" s="2"/>
      <c r="F1921" s="2"/>
      <c r="G1921" s="2"/>
      <c r="H1921" s="2"/>
      <c r="I1921" s="2"/>
      <c r="J1921" s="2"/>
      <c r="K1921" s="2" t="str">
        <f t="shared" si="2"/>
        <v/>
      </c>
      <c r="L1921" s="2" t="str">
        <f t="shared" si="3"/>
        <v>No</v>
      </c>
      <c r="M1921" s="2" t="str">
        <f>IF(K1921="","",F1921*VLOOKUP(E1921,WEIGHTS!$A$2:$F$4,2,FALSE)+G1921*VLOOKUP(E1921,WEIGHTS!$A$2:$F$4,3,FALSE)+H1921*VLOOKUP(E1921,WEIGHTS!$A$2:$F$4,4,FALSE)+I1921*VLOOKUP(E1921,WEIGHTS!$A$2:$F$4,5,FALSE)+J1921*VLOOKUP(E1921,WEIGHTS!$A$2:$F$4,6,FALSE))</f>
        <v/>
      </c>
      <c r="N1921" s="2" t="str">
        <f t="shared" si="4"/>
        <v/>
      </c>
    </row>
    <row r="1922" ht="15.75" customHeight="1">
      <c r="A1922" s="3"/>
      <c r="B1922" s="2" t="str">
        <f t="shared" si="1"/>
        <v/>
      </c>
      <c r="E1922" s="2"/>
      <c r="F1922" s="2"/>
      <c r="G1922" s="2"/>
      <c r="H1922" s="2"/>
      <c r="I1922" s="2"/>
      <c r="J1922" s="2"/>
      <c r="K1922" s="2" t="str">
        <f t="shared" si="2"/>
        <v/>
      </c>
      <c r="L1922" s="2" t="str">
        <f t="shared" si="3"/>
        <v>No</v>
      </c>
      <c r="M1922" s="2" t="str">
        <f>IF(K1922="","",F1922*VLOOKUP(E1922,WEIGHTS!$A$2:$F$4,2,FALSE)+G1922*VLOOKUP(E1922,WEIGHTS!$A$2:$F$4,3,FALSE)+H1922*VLOOKUP(E1922,WEIGHTS!$A$2:$F$4,4,FALSE)+I1922*VLOOKUP(E1922,WEIGHTS!$A$2:$F$4,5,FALSE)+J1922*VLOOKUP(E1922,WEIGHTS!$A$2:$F$4,6,FALSE))</f>
        <v/>
      </c>
      <c r="N1922" s="2" t="str">
        <f t="shared" si="4"/>
        <v/>
      </c>
    </row>
    <row r="1923" ht="15.75" customHeight="1">
      <c r="A1923" s="3"/>
      <c r="B1923" s="2" t="str">
        <f t="shared" si="1"/>
        <v/>
      </c>
      <c r="E1923" s="2"/>
      <c r="F1923" s="2"/>
      <c r="G1923" s="2"/>
      <c r="H1923" s="2"/>
      <c r="I1923" s="2"/>
      <c r="J1923" s="2"/>
      <c r="K1923" s="2" t="str">
        <f t="shared" si="2"/>
        <v/>
      </c>
      <c r="L1923" s="2" t="str">
        <f t="shared" si="3"/>
        <v>No</v>
      </c>
      <c r="M1923" s="2" t="str">
        <f>IF(K1923="","",F1923*VLOOKUP(E1923,WEIGHTS!$A$2:$F$4,2,FALSE)+G1923*VLOOKUP(E1923,WEIGHTS!$A$2:$F$4,3,FALSE)+H1923*VLOOKUP(E1923,WEIGHTS!$A$2:$F$4,4,FALSE)+I1923*VLOOKUP(E1923,WEIGHTS!$A$2:$F$4,5,FALSE)+J1923*VLOOKUP(E1923,WEIGHTS!$A$2:$F$4,6,FALSE))</f>
        <v/>
      </c>
      <c r="N1923" s="2" t="str">
        <f t="shared" si="4"/>
        <v/>
      </c>
    </row>
    <row r="1924" ht="15.75" customHeight="1">
      <c r="A1924" s="3"/>
      <c r="B1924" s="2" t="str">
        <f t="shared" si="1"/>
        <v/>
      </c>
      <c r="E1924" s="2"/>
      <c r="F1924" s="2"/>
      <c r="G1924" s="2"/>
      <c r="H1924" s="2"/>
      <c r="I1924" s="2"/>
      <c r="J1924" s="2"/>
      <c r="K1924" s="2" t="str">
        <f t="shared" si="2"/>
        <v/>
      </c>
      <c r="L1924" s="2" t="str">
        <f t="shared" si="3"/>
        <v>No</v>
      </c>
      <c r="M1924" s="2" t="str">
        <f>IF(K1924="","",F1924*VLOOKUP(E1924,WEIGHTS!$A$2:$F$4,2,FALSE)+G1924*VLOOKUP(E1924,WEIGHTS!$A$2:$F$4,3,FALSE)+H1924*VLOOKUP(E1924,WEIGHTS!$A$2:$F$4,4,FALSE)+I1924*VLOOKUP(E1924,WEIGHTS!$A$2:$F$4,5,FALSE)+J1924*VLOOKUP(E1924,WEIGHTS!$A$2:$F$4,6,FALSE))</f>
        <v/>
      </c>
      <c r="N1924" s="2" t="str">
        <f t="shared" si="4"/>
        <v/>
      </c>
    </row>
    <row r="1925" ht="15.75" customHeight="1">
      <c r="A1925" s="3"/>
      <c r="B1925" s="2" t="str">
        <f t="shared" si="1"/>
        <v/>
      </c>
      <c r="E1925" s="2"/>
      <c r="F1925" s="2"/>
      <c r="G1925" s="2"/>
      <c r="H1925" s="2"/>
      <c r="I1925" s="2"/>
      <c r="J1925" s="2"/>
      <c r="K1925" s="2" t="str">
        <f t="shared" si="2"/>
        <v/>
      </c>
      <c r="L1925" s="2" t="str">
        <f t="shared" si="3"/>
        <v>No</v>
      </c>
      <c r="M1925" s="2" t="str">
        <f>IF(K1925="","",F1925*VLOOKUP(E1925,WEIGHTS!$A$2:$F$4,2,FALSE)+G1925*VLOOKUP(E1925,WEIGHTS!$A$2:$F$4,3,FALSE)+H1925*VLOOKUP(E1925,WEIGHTS!$A$2:$F$4,4,FALSE)+I1925*VLOOKUP(E1925,WEIGHTS!$A$2:$F$4,5,FALSE)+J1925*VLOOKUP(E1925,WEIGHTS!$A$2:$F$4,6,FALSE))</f>
        <v/>
      </c>
      <c r="N1925" s="2" t="str">
        <f t="shared" si="4"/>
        <v/>
      </c>
    </row>
    <row r="1926" ht="15.75" customHeight="1">
      <c r="A1926" s="3"/>
      <c r="B1926" s="2" t="str">
        <f t="shared" si="1"/>
        <v/>
      </c>
      <c r="E1926" s="2"/>
      <c r="F1926" s="2"/>
      <c r="G1926" s="2"/>
      <c r="H1926" s="2"/>
      <c r="I1926" s="2"/>
      <c r="J1926" s="2"/>
      <c r="K1926" s="2" t="str">
        <f t="shared" si="2"/>
        <v/>
      </c>
      <c r="L1926" s="2" t="str">
        <f t="shared" si="3"/>
        <v>No</v>
      </c>
      <c r="M1926" s="2" t="str">
        <f>IF(K1926="","",F1926*VLOOKUP(E1926,WEIGHTS!$A$2:$F$4,2,FALSE)+G1926*VLOOKUP(E1926,WEIGHTS!$A$2:$F$4,3,FALSE)+H1926*VLOOKUP(E1926,WEIGHTS!$A$2:$F$4,4,FALSE)+I1926*VLOOKUP(E1926,WEIGHTS!$A$2:$F$4,5,FALSE)+J1926*VLOOKUP(E1926,WEIGHTS!$A$2:$F$4,6,FALSE))</f>
        <v/>
      </c>
      <c r="N1926" s="2" t="str">
        <f t="shared" si="4"/>
        <v/>
      </c>
    </row>
    <row r="1927" ht="15.75" customHeight="1">
      <c r="A1927" s="3"/>
      <c r="B1927" s="2" t="str">
        <f t="shared" si="1"/>
        <v/>
      </c>
      <c r="E1927" s="2"/>
      <c r="F1927" s="2"/>
      <c r="G1927" s="2"/>
      <c r="H1927" s="2"/>
      <c r="I1927" s="2"/>
      <c r="J1927" s="2"/>
      <c r="K1927" s="2" t="str">
        <f t="shared" si="2"/>
        <v/>
      </c>
      <c r="L1927" s="2" t="str">
        <f t="shared" si="3"/>
        <v>No</v>
      </c>
      <c r="M1927" s="2" t="str">
        <f>IF(K1927="","",F1927*VLOOKUP(E1927,WEIGHTS!$A$2:$F$4,2,FALSE)+G1927*VLOOKUP(E1927,WEIGHTS!$A$2:$F$4,3,FALSE)+H1927*VLOOKUP(E1927,WEIGHTS!$A$2:$F$4,4,FALSE)+I1927*VLOOKUP(E1927,WEIGHTS!$A$2:$F$4,5,FALSE)+J1927*VLOOKUP(E1927,WEIGHTS!$A$2:$F$4,6,FALSE))</f>
        <v/>
      </c>
      <c r="N1927" s="2" t="str">
        <f t="shared" si="4"/>
        <v/>
      </c>
    </row>
    <row r="1928" ht="15.75" customHeight="1">
      <c r="A1928" s="3"/>
      <c r="B1928" s="2" t="str">
        <f t="shared" si="1"/>
        <v/>
      </c>
      <c r="E1928" s="2"/>
      <c r="F1928" s="2"/>
      <c r="G1928" s="2"/>
      <c r="H1928" s="2"/>
      <c r="I1928" s="2"/>
      <c r="J1928" s="2"/>
      <c r="K1928" s="2" t="str">
        <f t="shared" si="2"/>
        <v/>
      </c>
      <c r="L1928" s="2" t="str">
        <f t="shared" si="3"/>
        <v>No</v>
      </c>
      <c r="M1928" s="2" t="str">
        <f>IF(K1928="","",F1928*VLOOKUP(E1928,WEIGHTS!$A$2:$F$4,2,FALSE)+G1928*VLOOKUP(E1928,WEIGHTS!$A$2:$F$4,3,FALSE)+H1928*VLOOKUP(E1928,WEIGHTS!$A$2:$F$4,4,FALSE)+I1928*VLOOKUP(E1928,WEIGHTS!$A$2:$F$4,5,FALSE)+J1928*VLOOKUP(E1928,WEIGHTS!$A$2:$F$4,6,FALSE))</f>
        <v/>
      </c>
      <c r="N1928" s="2" t="str">
        <f t="shared" si="4"/>
        <v/>
      </c>
    </row>
    <row r="1929" ht="15.75" customHeight="1">
      <c r="A1929" s="3"/>
      <c r="B1929" s="2" t="str">
        <f t="shared" si="1"/>
        <v/>
      </c>
      <c r="E1929" s="2"/>
      <c r="F1929" s="2"/>
      <c r="G1929" s="2"/>
      <c r="H1929" s="2"/>
      <c r="I1929" s="2"/>
      <c r="J1929" s="2"/>
      <c r="K1929" s="2" t="str">
        <f t="shared" si="2"/>
        <v/>
      </c>
      <c r="L1929" s="2" t="str">
        <f t="shared" si="3"/>
        <v>No</v>
      </c>
      <c r="M1929" s="2" t="str">
        <f>IF(K1929="","",F1929*VLOOKUP(E1929,WEIGHTS!$A$2:$F$4,2,FALSE)+G1929*VLOOKUP(E1929,WEIGHTS!$A$2:$F$4,3,FALSE)+H1929*VLOOKUP(E1929,WEIGHTS!$A$2:$F$4,4,FALSE)+I1929*VLOOKUP(E1929,WEIGHTS!$A$2:$F$4,5,FALSE)+J1929*VLOOKUP(E1929,WEIGHTS!$A$2:$F$4,6,FALSE))</f>
        <v/>
      </c>
      <c r="N1929" s="2" t="str">
        <f t="shared" si="4"/>
        <v/>
      </c>
    </row>
    <row r="1930" ht="15.75" customHeight="1">
      <c r="A1930" s="3"/>
      <c r="B1930" s="2" t="str">
        <f t="shared" si="1"/>
        <v/>
      </c>
      <c r="E1930" s="2"/>
      <c r="F1930" s="2"/>
      <c r="G1930" s="2"/>
      <c r="H1930" s="2"/>
      <c r="I1930" s="2"/>
      <c r="J1930" s="2"/>
      <c r="K1930" s="2" t="str">
        <f t="shared" si="2"/>
        <v/>
      </c>
      <c r="L1930" s="2" t="str">
        <f t="shared" si="3"/>
        <v>No</v>
      </c>
      <c r="M1930" s="2" t="str">
        <f>IF(K1930="","",F1930*VLOOKUP(E1930,WEIGHTS!$A$2:$F$4,2,FALSE)+G1930*VLOOKUP(E1930,WEIGHTS!$A$2:$F$4,3,FALSE)+H1930*VLOOKUP(E1930,WEIGHTS!$A$2:$F$4,4,FALSE)+I1930*VLOOKUP(E1930,WEIGHTS!$A$2:$F$4,5,FALSE)+J1930*VLOOKUP(E1930,WEIGHTS!$A$2:$F$4,6,FALSE))</f>
        <v/>
      </c>
      <c r="N1930" s="2" t="str">
        <f t="shared" si="4"/>
        <v/>
      </c>
    </row>
    <row r="1931" ht="15.75" customHeight="1">
      <c r="A1931" s="3"/>
      <c r="B1931" s="2" t="str">
        <f t="shared" si="1"/>
        <v/>
      </c>
      <c r="E1931" s="2"/>
      <c r="F1931" s="2"/>
      <c r="G1931" s="2"/>
      <c r="H1931" s="2"/>
      <c r="I1931" s="2"/>
      <c r="J1931" s="2"/>
      <c r="K1931" s="2" t="str">
        <f t="shared" si="2"/>
        <v/>
      </c>
      <c r="L1931" s="2" t="str">
        <f t="shared" si="3"/>
        <v>No</v>
      </c>
      <c r="M1931" s="2" t="str">
        <f>IF(K1931="","",F1931*VLOOKUP(E1931,WEIGHTS!$A$2:$F$4,2,FALSE)+G1931*VLOOKUP(E1931,WEIGHTS!$A$2:$F$4,3,FALSE)+H1931*VLOOKUP(E1931,WEIGHTS!$A$2:$F$4,4,FALSE)+I1931*VLOOKUP(E1931,WEIGHTS!$A$2:$F$4,5,FALSE)+J1931*VLOOKUP(E1931,WEIGHTS!$A$2:$F$4,6,FALSE))</f>
        <v/>
      </c>
      <c r="N1931" s="2" t="str">
        <f t="shared" si="4"/>
        <v/>
      </c>
    </row>
    <row r="1932" ht="15.75" customHeight="1">
      <c r="A1932" s="3"/>
      <c r="B1932" s="2" t="str">
        <f t="shared" si="1"/>
        <v/>
      </c>
      <c r="E1932" s="2"/>
      <c r="F1932" s="2"/>
      <c r="G1932" s="2"/>
      <c r="H1932" s="2"/>
      <c r="I1932" s="2"/>
      <c r="J1932" s="2"/>
      <c r="K1932" s="2" t="str">
        <f t="shared" si="2"/>
        <v/>
      </c>
      <c r="L1932" s="2" t="str">
        <f t="shared" si="3"/>
        <v>No</v>
      </c>
      <c r="M1932" s="2" t="str">
        <f>IF(K1932="","",F1932*VLOOKUP(E1932,WEIGHTS!$A$2:$F$4,2,FALSE)+G1932*VLOOKUP(E1932,WEIGHTS!$A$2:$F$4,3,FALSE)+H1932*VLOOKUP(E1932,WEIGHTS!$A$2:$F$4,4,FALSE)+I1932*VLOOKUP(E1932,WEIGHTS!$A$2:$F$4,5,FALSE)+J1932*VLOOKUP(E1932,WEIGHTS!$A$2:$F$4,6,FALSE))</f>
        <v/>
      </c>
      <c r="N1932" s="2" t="str">
        <f t="shared" si="4"/>
        <v/>
      </c>
    </row>
    <row r="1933" ht="15.75" customHeight="1">
      <c r="A1933" s="3"/>
      <c r="B1933" s="2" t="str">
        <f t="shared" si="1"/>
        <v/>
      </c>
      <c r="E1933" s="2"/>
      <c r="F1933" s="2"/>
      <c r="G1933" s="2"/>
      <c r="H1933" s="2"/>
      <c r="I1933" s="2"/>
      <c r="J1933" s="2"/>
      <c r="K1933" s="2" t="str">
        <f t="shared" si="2"/>
        <v/>
      </c>
      <c r="L1933" s="2" t="str">
        <f t="shared" si="3"/>
        <v>No</v>
      </c>
      <c r="M1933" s="2" t="str">
        <f>IF(K1933="","",F1933*VLOOKUP(E1933,WEIGHTS!$A$2:$F$4,2,FALSE)+G1933*VLOOKUP(E1933,WEIGHTS!$A$2:$F$4,3,FALSE)+H1933*VLOOKUP(E1933,WEIGHTS!$A$2:$F$4,4,FALSE)+I1933*VLOOKUP(E1933,WEIGHTS!$A$2:$F$4,5,FALSE)+J1933*VLOOKUP(E1933,WEIGHTS!$A$2:$F$4,6,FALSE))</f>
        <v/>
      </c>
      <c r="N1933" s="2" t="str">
        <f t="shared" si="4"/>
        <v/>
      </c>
    </row>
    <row r="1934" ht="15.75" customHeight="1">
      <c r="A1934" s="3"/>
      <c r="B1934" s="2" t="str">
        <f t="shared" si="1"/>
        <v/>
      </c>
      <c r="E1934" s="2"/>
      <c r="F1934" s="2"/>
      <c r="G1934" s="2"/>
      <c r="H1934" s="2"/>
      <c r="I1934" s="2"/>
      <c r="J1934" s="2"/>
      <c r="K1934" s="2" t="str">
        <f t="shared" si="2"/>
        <v/>
      </c>
      <c r="L1934" s="2" t="str">
        <f t="shared" si="3"/>
        <v>No</v>
      </c>
      <c r="M1934" s="2" t="str">
        <f>IF(K1934="","",F1934*VLOOKUP(E1934,WEIGHTS!$A$2:$F$4,2,FALSE)+G1934*VLOOKUP(E1934,WEIGHTS!$A$2:$F$4,3,FALSE)+H1934*VLOOKUP(E1934,WEIGHTS!$A$2:$F$4,4,FALSE)+I1934*VLOOKUP(E1934,WEIGHTS!$A$2:$F$4,5,FALSE)+J1934*VLOOKUP(E1934,WEIGHTS!$A$2:$F$4,6,FALSE))</f>
        <v/>
      </c>
      <c r="N1934" s="2" t="str">
        <f t="shared" si="4"/>
        <v/>
      </c>
    </row>
    <row r="1935" ht="15.75" customHeight="1">
      <c r="A1935" s="3"/>
      <c r="B1935" s="2" t="str">
        <f t="shared" si="1"/>
        <v/>
      </c>
      <c r="E1935" s="2"/>
      <c r="F1935" s="2"/>
      <c r="G1935" s="2"/>
      <c r="H1935" s="2"/>
      <c r="I1935" s="2"/>
      <c r="J1935" s="2"/>
      <c r="K1935" s="2" t="str">
        <f t="shared" si="2"/>
        <v/>
      </c>
      <c r="L1935" s="2" t="str">
        <f t="shared" si="3"/>
        <v>No</v>
      </c>
      <c r="M1935" s="2" t="str">
        <f>IF(K1935="","",F1935*VLOOKUP(E1935,WEIGHTS!$A$2:$F$4,2,FALSE)+G1935*VLOOKUP(E1935,WEIGHTS!$A$2:$F$4,3,FALSE)+H1935*VLOOKUP(E1935,WEIGHTS!$A$2:$F$4,4,FALSE)+I1935*VLOOKUP(E1935,WEIGHTS!$A$2:$F$4,5,FALSE)+J1935*VLOOKUP(E1935,WEIGHTS!$A$2:$F$4,6,FALSE))</f>
        <v/>
      </c>
      <c r="N1935" s="2" t="str">
        <f t="shared" si="4"/>
        <v/>
      </c>
    </row>
    <row r="1936" ht="15.75" customHeight="1">
      <c r="A1936" s="3"/>
      <c r="B1936" s="2" t="str">
        <f t="shared" si="1"/>
        <v/>
      </c>
      <c r="E1936" s="2"/>
      <c r="F1936" s="2"/>
      <c r="G1936" s="2"/>
      <c r="H1936" s="2"/>
      <c r="I1936" s="2"/>
      <c r="J1936" s="2"/>
      <c r="K1936" s="2" t="str">
        <f t="shared" si="2"/>
        <v/>
      </c>
      <c r="L1936" s="2" t="str">
        <f t="shared" si="3"/>
        <v>No</v>
      </c>
      <c r="M1936" s="2" t="str">
        <f>IF(K1936="","",F1936*VLOOKUP(E1936,WEIGHTS!$A$2:$F$4,2,FALSE)+G1936*VLOOKUP(E1936,WEIGHTS!$A$2:$F$4,3,FALSE)+H1936*VLOOKUP(E1936,WEIGHTS!$A$2:$F$4,4,FALSE)+I1936*VLOOKUP(E1936,WEIGHTS!$A$2:$F$4,5,FALSE)+J1936*VLOOKUP(E1936,WEIGHTS!$A$2:$F$4,6,FALSE))</f>
        <v/>
      </c>
      <c r="N1936" s="2" t="str">
        <f t="shared" si="4"/>
        <v/>
      </c>
    </row>
    <row r="1937" ht="15.75" customHeight="1">
      <c r="A1937" s="3"/>
      <c r="B1937" s="2" t="str">
        <f t="shared" si="1"/>
        <v/>
      </c>
      <c r="E1937" s="2"/>
      <c r="F1937" s="2"/>
      <c r="G1937" s="2"/>
      <c r="H1937" s="2"/>
      <c r="I1937" s="2"/>
      <c r="J1937" s="2"/>
      <c r="K1937" s="2" t="str">
        <f t="shared" si="2"/>
        <v/>
      </c>
      <c r="L1937" s="2" t="str">
        <f t="shared" si="3"/>
        <v>No</v>
      </c>
      <c r="M1937" s="2" t="str">
        <f>IF(K1937="","",F1937*VLOOKUP(E1937,WEIGHTS!$A$2:$F$4,2,FALSE)+G1937*VLOOKUP(E1937,WEIGHTS!$A$2:$F$4,3,FALSE)+H1937*VLOOKUP(E1937,WEIGHTS!$A$2:$F$4,4,FALSE)+I1937*VLOOKUP(E1937,WEIGHTS!$A$2:$F$4,5,FALSE)+J1937*VLOOKUP(E1937,WEIGHTS!$A$2:$F$4,6,FALSE))</f>
        <v/>
      </c>
      <c r="N1937" s="2" t="str">
        <f t="shared" si="4"/>
        <v/>
      </c>
    </row>
    <row r="1938" ht="15.75" customHeight="1">
      <c r="A1938" s="3"/>
      <c r="B1938" s="2" t="str">
        <f t="shared" si="1"/>
        <v/>
      </c>
      <c r="E1938" s="2"/>
      <c r="F1938" s="2"/>
      <c r="G1938" s="2"/>
      <c r="H1938" s="2"/>
      <c r="I1938" s="2"/>
      <c r="J1938" s="2"/>
      <c r="K1938" s="2" t="str">
        <f t="shared" si="2"/>
        <v/>
      </c>
      <c r="L1938" s="2" t="str">
        <f t="shared" si="3"/>
        <v>No</v>
      </c>
      <c r="M1938" s="2" t="str">
        <f>IF(K1938="","",F1938*VLOOKUP(E1938,WEIGHTS!$A$2:$F$4,2,FALSE)+G1938*VLOOKUP(E1938,WEIGHTS!$A$2:$F$4,3,FALSE)+H1938*VLOOKUP(E1938,WEIGHTS!$A$2:$F$4,4,FALSE)+I1938*VLOOKUP(E1938,WEIGHTS!$A$2:$F$4,5,FALSE)+J1938*VLOOKUP(E1938,WEIGHTS!$A$2:$F$4,6,FALSE))</f>
        <v/>
      </c>
      <c r="N1938" s="2" t="str">
        <f t="shared" si="4"/>
        <v/>
      </c>
    </row>
    <row r="1939" ht="15.75" customHeight="1">
      <c r="A1939" s="3"/>
      <c r="B1939" s="2" t="str">
        <f t="shared" si="1"/>
        <v/>
      </c>
      <c r="E1939" s="2"/>
      <c r="F1939" s="2"/>
      <c r="G1939" s="2"/>
      <c r="H1939" s="2"/>
      <c r="I1939" s="2"/>
      <c r="J1939" s="2"/>
      <c r="K1939" s="2" t="str">
        <f t="shared" si="2"/>
        <v/>
      </c>
      <c r="L1939" s="2" t="str">
        <f t="shared" si="3"/>
        <v>No</v>
      </c>
      <c r="M1939" s="2" t="str">
        <f>IF(K1939="","",F1939*VLOOKUP(E1939,WEIGHTS!$A$2:$F$4,2,FALSE)+G1939*VLOOKUP(E1939,WEIGHTS!$A$2:$F$4,3,FALSE)+H1939*VLOOKUP(E1939,WEIGHTS!$A$2:$F$4,4,FALSE)+I1939*VLOOKUP(E1939,WEIGHTS!$A$2:$F$4,5,FALSE)+J1939*VLOOKUP(E1939,WEIGHTS!$A$2:$F$4,6,FALSE))</f>
        <v/>
      </c>
      <c r="N1939" s="2" t="str">
        <f t="shared" si="4"/>
        <v/>
      </c>
    </row>
    <row r="1940" ht="15.75" customHeight="1">
      <c r="A1940" s="3"/>
      <c r="B1940" s="2" t="str">
        <f t="shared" si="1"/>
        <v/>
      </c>
      <c r="E1940" s="2"/>
      <c r="F1940" s="2"/>
      <c r="G1940" s="2"/>
      <c r="H1940" s="2"/>
      <c r="I1940" s="2"/>
      <c r="J1940" s="2"/>
      <c r="K1940" s="2" t="str">
        <f t="shared" si="2"/>
        <v/>
      </c>
      <c r="L1940" s="2" t="str">
        <f t="shared" si="3"/>
        <v>No</v>
      </c>
      <c r="M1940" s="2" t="str">
        <f>IF(K1940="","",F1940*VLOOKUP(E1940,WEIGHTS!$A$2:$F$4,2,FALSE)+G1940*VLOOKUP(E1940,WEIGHTS!$A$2:$F$4,3,FALSE)+H1940*VLOOKUP(E1940,WEIGHTS!$A$2:$F$4,4,FALSE)+I1940*VLOOKUP(E1940,WEIGHTS!$A$2:$F$4,5,FALSE)+J1940*VLOOKUP(E1940,WEIGHTS!$A$2:$F$4,6,FALSE))</f>
        <v/>
      </c>
      <c r="N1940" s="2" t="str">
        <f t="shared" si="4"/>
        <v/>
      </c>
    </row>
    <row r="1941" ht="15.75" customHeight="1">
      <c r="A1941" s="3"/>
      <c r="B1941" s="2" t="str">
        <f t="shared" si="1"/>
        <v/>
      </c>
      <c r="E1941" s="2"/>
      <c r="F1941" s="2"/>
      <c r="G1941" s="2"/>
      <c r="H1941" s="2"/>
      <c r="I1941" s="2"/>
      <c r="J1941" s="2"/>
      <c r="K1941" s="2" t="str">
        <f t="shared" si="2"/>
        <v/>
      </c>
      <c r="L1941" s="2" t="str">
        <f t="shared" si="3"/>
        <v>No</v>
      </c>
      <c r="M1941" s="2" t="str">
        <f>IF(K1941="","",F1941*VLOOKUP(E1941,WEIGHTS!$A$2:$F$4,2,FALSE)+G1941*VLOOKUP(E1941,WEIGHTS!$A$2:$F$4,3,FALSE)+H1941*VLOOKUP(E1941,WEIGHTS!$A$2:$F$4,4,FALSE)+I1941*VLOOKUP(E1941,WEIGHTS!$A$2:$F$4,5,FALSE)+J1941*VLOOKUP(E1941,WEIGHTS!$A$2:$F$4,6,FALSE))</f>
        <v/>
      </c>
      <c r="N1941" s="2" t="str">
        <f t="shared" si="4"/>
        <v/>
      </c>
    </row>
    <row r="1942" ht="15.75" customHeight="1">
      <c r="A1942" s="3"/>
      <c r="B1942" s="2" t="str">
        <f t="shared" si="1"/>
        <v/>
      </c>
      <c r="E1942" s="2"/>
      <c r="F1942" s="2"/>
      <c r="G1942" s="2"/>
      <c r="H1942" s="2"/>
      <c r="I1942" s="2"/>
      <c r="J1942" s="2"/>
      <c r="K1942" s="2" t="str">
        <f t="shared" si="2"/>
        <v/>
      </c>
      <c r="L1942" s="2" t="str">
        <f t="shared" si="3"/>
        <v>No</v>
      </c>
      <c r="M1942" s="2" t="str">
        <f>IF(K1942="","",F1942*VLOOKUP(E1942,WEIGHTS!$A$2:$F$4,2,FALSE)+G1942*VLOOKUP(E1942,WEIGHTS!$A$2:$F$4,3,FALSE)+H1942*VLOOKUP(E1942,WEIGHTS!$A$2:$F$4,4,FALSE)+I1942*VLOOKUP(E1942,WEIGHTS!$A$2:$F$4,5,FALSE)+J1942*VLOOKUP(E1942,WEIGHTS!$A$2:$F$4,6,FALSE))</f>
        <v/>
      </c>
      <c r="N1942" s="2" t="str">
        <f t="shared" si="4"/>
        <v/>
      </c>
    </row>
    <row r="1943" ht="15.75" customHeight="1">
      <c r="A1943" s="3"/>
      <c r="B1943" s="2" t="str">
        <f t="shared" si="1"/>
        <v/>
      </c>
      <c r="E1943" s="2"/>
      <c r="F1943" s="2"/>
      <c r="G1943" s="2"/>
      <c r="H1943" s="2"/>
      <c r="I1943" s="2"/>
      <c r="J1943" s="2"/>
      <c r="K1943" s="2" t="str">
        <f t="shared" si="2"/>
        <v/>
      </c>
      <c r="L1943" s="2" t="str">
        <f t="shared" si="3"/>
        <v>No</v>
      </c>
      <c r="M1943" s="2" t="str">
        <f>IF(K1943="","",F1943*VLOOKUP(E1943,WEIGHTS!$A$2:$F$4,2,FALSE)+G1943*VLOOKUP(E1943,WEIGHTS!$A$2:$F$4,3,FALSE)+H1943*VLOOKUP(E1943,WEIGHTS!$A$2:$F$4,4,FALSE)+I1943*VLOOKUP(E1943,WEIGHTS!$A$2:$F$4,5,FALSE)+J1943*VLOOKUP(E1943,WEIGHTS!$A$2:$F$4,6,FALSE))</f>
        <v/>
      </c>
      <c r="N1943" s="2" t="str">
        <f t="shared" si="4"/>
        <v/>
      </c>
    </row>
    <row r="1944" ht="15.75" customHeight="1">
      <c r="A1944" s="3"/>
      <c r="B1944" s="2" t="str">
        <f t="shared" si="1"/>
        <v/>
      </c>
      <c r="E1944" s="2"/>
      <c r="F1944" s="2"/>
      <c r="G1944" s="2"/>
      <c r="H1944" s="2"/>
      <c r="I1944" s="2"/>
      <c r="J1944" s="2"/>
      <c r="K1944" s="2" t="str">
        <f t="shared" si="2"/>
        <v/>
      </c>
      <c r="L1944" s="2" t="str">
        <f t="shared" si="3"/>
        <v>No</v>
      </c>
      <c r="M1944" s="2" t="str">
        <f>IF(K1944="","",F1944*VLOOKUP(E1944,WEIGHTS!$A$2:$F$4,2,FALSE)+G1944*VLOOKUP(E1944,WEIGHTS!$A$2:$F$4,3,FALSE)+H1944*VLOOKUP(E1944,WEIGHTS!$A$2:$F$4,4,FALSE)+I1944*VLOOKUP(E1944,WEIGHTS!$A$2:$F$4,5,FALSE)+J1944*VLOOKUP(E1944,WEIGHTS!$A$2:$F$4,6,FALSE))</f>
        <v/>
      </c>
      <c r="N1944" s="2" t="str">
        <f t="shared" si="4"/>
        <v/>
      </c>
    </row>
    <row r="1945" ht="15.75" customHeight="1">
      <c r="A1945" s="3"/>
      <c r="B1945" s="2" t="str">
        <f t="shared" si="1"/>
        <v/>
      </c>
      <c r="E1945" s="2"/>
      <c r="F1945" s="2"/>
      <c r="G1945" s="2"/>
      <c r="H1945" s="2"/>
      <c r="I1945" s="2"/>
      <c r="J1945" s="2"/>
      <c r="K1945" s="2" t="str">
        <f t="shared" si="2"/>
        <v/>
      </c>
      <c r="L1945" s="2" t="str">
        <f t="shared" si="3"/>
        <v>No</v>
      </c>
      <c r="M1945" s="2" t="str">
        <f>IF(K1945="","",F1945*VLOOKUP(E1945,WEIGHTS!$A$2:$F$4,2,FALSE)+G1945*VLOOKUP(E1945,WEIGHTS!$A$2:$F$4,3,FALSE)+H1945*VLOOKUP(E1945,WEIGHTS!$A$2:$F$4,4,FALSE)+I1945*VLOOKUP(E1945,WEIGHTS!$A$2:$F$4,5,FALSE)+J1945*VLOOKUP(E1945,WEIGHTS!$A$2:$F$4,6,FALSE))</f>
        <v/>
      </c>
      <c r="N1945" s="2" t="str">
        <f t="shared" si="4"/>
        <v/>
      </c>
    </row>
    <row r="1946" ht="15.75" customHeight="1">
      <c r="A1946" s="3"/>
      <c r="B1946" s="2" t="str">
        <f t="shared" si="1"/>
        <v/>
      </c>
      <c r="E1946" s="2"/>
      <c r="F1946" s="2"/>
      <c r="G1946" s="2"/>
      <c r="H1946" s="2"/>
      <c r="I1946" s="2"/>
      <c r="J1946" s="2"/>
      <c r="K1946" s="2" t="str">
        <f t="shared" si="2"/>
        <v/>
      </c>
      <c r="L1946" s="2" t="str">
        <f t="shared" si="3"/>
        <v>No</v>
      </c>
      <c r="M1946" s="2" t="str">
        <f>IF(K1946="","",F1946*VLOOKUP(E1946,WEIGHTS!$A$2:$F$4,2,FALSE)+G1946*VLOOKUP(E1946,WEIGHTS!$A$2:$F$4,3,FALSE)+H1946*VLOOKUP(E1946,WEIGHTS!$A$2:$F$4,4,FALSE)+I1946*VLOOKUP(E1946,WEIGHTS!$A$2:$F$4,5,FALSE)+J1946*VLOOKUP(E1946,WEIGHTS!$A$2:$F$4,6,FALSE))</f>
        <v/>
      </c>
      <c r="N1946" s="2" t="str">
        <f t="shared" si="4"/>
        <v/>
      </c>
    </row>
    <row r="1947" ht="15.75" customHeight="1">
      <c r="A1947" s="3"/>
      <c r="B1947" s="2" t="str">
        <f t="shared" si="1"/>
        <v/>
      </c>
      <c r="E1947" s="2"/>
      <c r="F1947" s="2"/>
      <c r="G1947" s="2"/>
      <c r="H1947" s="2"/>
      <c r="I1947" s="2"/>
      <c r="J1947" s="2"/>
      <c r="K1947" s="2" t="str">
        <f t="shared" si="2"/>
        <v/>
      </c>
      <c r="L1947" s="2" t="str">
        <f t="shared" si="3"/>
        <v>No</v>
      </c>
      <c r="M1947" s="2" t="str">
        <f>IF(K1947="","",F1947*VLOOKUP(E1947,WEIGHTS!$A$2:$F$4,2,FALSE)+G1947*VLOOKUP(E1947,WEIGHTS!$A$2:$F$4,3,FALSE)+H1947*VLOOKUP(E1947,WEIGHTS!$A$2:$F$4,4,FALSE)+I1947*VLOOKUP(E1947,WEIGHTS!$A$2:$F$4,5,FALSE)+J1947*VLOOKUP(E1947,WEIGHTS!$A$2:$F$4,6,FALSE))</f>
        <v/>
      </c>
      <c r="N1947" s="2" t="str">
        <f t="shared" si="4"/>
        <v/>
      </c>
    </row>
    <row r="1948" ht="15.75" customHeight="1">
      <c r="A1948" s="3"/>
      <c r="B1948" s="2" t="str">
        <f t="shared" si="1"/>
        <v/>
      </c>
      <c r="E1948" s="2"/>
      <c r="F1948" s="2"/>
      <c r="G1948" s="2"/>
      <c r="H1948" s="2"/>
      <c r="I1948" s="2"/>
      <c r="J1948" s="2"/>
      <c r="K1948" s="2" t="str">
        <f t="shared" si="2"/>
        <v/>
      </c>
      <c r="L1948" s="2" t="str">
        <f t="shared" si="3"/>
        <v>No</v>
      </c>
      <c r="M1948" s="2" t="str">
        <f>IF(K1948="","",F1948*VLOOKUP(E1948,WEIGHTS!$A$2:$F$4,2,FALSE)+G1948*VLOOKUP(E1948,WEIGHTS!$A$2:$F$4,3,FALSE)+H1948*VLOOKUP(E1948,WEIGHTS!$A$2:$F$4,4,FALSE)+I1948*VLOOKUP(E1948,WEIGHTS!$A$2:$F$4,5,FALSE)+J1948*VLOOKUP(E1948,WEIGHTS!$A$2:$F$4,6,FALSE))</f>
        <v/>
      </c>
      <c r="N1948" s="2" t="str">
        <f t="shared" si="4"/>
        <v/>
      </c>
    </row>
    <row r="1949" ht="15.75" customHeight="1">
      <c r="A1949" s="3"/>
      <c r="B1949" s="2" t="str">
        <f t="shared" si="1"/>
        <v/>
      </c>
      <c r="E1949" s="2"/>
      <c r="F1949" s="2"/>
      <c r="G1949" s="2"/>
      <c r="H1949" s="2"/>
      <c r="I1949" s="2"/>
      <c r="J1949" s="2"/>
      <c r="K1949" s="2" t="str">
        <f t="shared" si="2"/>
        <v/>
      </c>
      <c r="L1949" s="2" t="str">
        <f t="shared" si="3"/>
        <v>No</v>
      </c>
      <c r="M1949" s="2" t="str">
        <f>IF(K1949="","",F1949*VLOOKUP(E1949,WEIGHTS!$A$2:$F$4,2,FALSE)+G1949*VLOOKUP(E1949,WEIGHTS!$A$2:$F$4,3,FALSE)+H1949*VLOOKUP(E1949,WEIGHTS!$A$2:$F$4,4,FALSE)+I1949*VLOOKUP(E1949,WEIGHTS!$A$2:$F$4,5,FALSE)+J1949*VLOOKUP(E1949,WEIGHTS!$A$2:$F$4,6,FALSE))</f>
        <v/>
      </c>
      <c r="N1949" s="2" t="str">
        <f t="shared" si="4"/>
        <v/>
      </c>
    </row>
    <row r="1950" ht="15.75" customHeight="1">
      <c r="A1950" s="3"/>
      <c r="B1950" s="2" t="str">
        <f t="shared" si="1"/>
        <v/>
      </c>
      <c r="E1950" s="2"/>
      <c r="F1950" s="2"/>
      <c r="G1950" s="2"/>
      <c r="H1950" s="2"/>
      <c r="I1950" s="2"/>
      <c r="J1950" s="2"/>
      <c r="K1950" s="2" t="str">
        <f t="shared" si="2"/>
        <v/>
      </c>
      <c r="L1950" s="2" t="str">
        <f t="shared" si="3"/>
        <v>No</v>
      </c>
      <c r="M1950" s="2" t="str">
        <f>IF(K1950="","",F1950*VLOOKUP(E1950,WEIGHTS!$A$2:$F$4,2,FALSE)+G1950*VLOOKUP(E1950,WEIGHTS!$A$2:$F$4,3,FALSE)+H1950*VLOOKUP(E1950,WEIGHTS!$A$2:$F$4,4,FALSE)+I1950*VLOOKUP(E1950,WEIGHTS!$A$2:$F$4,5,FALSE)+J1950*VLOOKUP(E1950,WEIGHTS!$A$2:$F$4,6,FALSE))</f>
        <v/>
      </c>
      <c r="N1950" s="2" t="str">
        <f t="shared" si="4"/>
        <v/>
      </c>
    </row>
    <row r="1951" ht="15.75" customHeight="1">
      <c r="A1951" s="3"/>
      <c r="B1951" s="2" t="str">
        <f t="shared" si="1"/>
        <v/>
      </c>
      <c r="E1951" s="2"/>
      <c r="F1951" s="2"/>
      <c r="G1951" s="2"/>
      <c r="H1951" s="2"/>
      <c r="I1951" s="2"/>
      <c r="J1951" s="2"/>
      <c r="K1951" s="2" t="str">
        <f t="shared" si="2"/>
        <v/>
      </c>
      <c r="L1951" s="2" t="str">
        <f t="shared" si="3"/>
        <v>No</v>
      </c>
      <c r="M1951" s="2" t="str">
        <f>IF(K1951="","",F1951*VLOOKUP(E1951,WEIGHTS!$A$2:$F$4,2,FALSE)+G1951*VLOOKUP(E1951,WEIGHTS!$A$2:$F$4,3,FALSE)+H1951*VLOOKUP(E1951,WEIGHTS!$A$2:$F$4,4,FALSE)+I1951*VLOOKUP(E1951,WEIGHTS!$A$2:$F$4,5,FALSE)+J1951*VLOOKUP(E1951,WEIGHTS!$A$2:$F$4,6,FALSE))</f>
        <v/>
      </c>
      <c r="N1951" s="2" t="str">
        <f t="shared" si="4"/>
        <v/>
      </c>
    </row>
    <row r="1952" ht="15.75" customHeight="1">
      <c r="A1952" s="3"/>
      <c r="B1952" s="2" t="str">
        <f t="shared" si="1"/>
        <v/>
      </c>
      <c r="E1952" s="2"/>
      <c r="F1952" s="2"/>
      <c r="G1952" s="2"/>
      <c r="H1952" s="2"/>
      <c r="I1952" s="2"/>
      <c r="J1952" s="2"/>
      <c r="K1952" s="2" t="str">
        <f t="shared" si="2"/>
        <v/>
      </c>
      <c r="L1952" s="2" t="str">
        <f t="shared" si="3"/>
        <v>No</v>
      </c>
      <c r="M1952" s="2" t="str">
        <f>IF(K1952="","",F1952*VLOOKUP(E1952,WEIGHTS!$A$2:$F$4,2,FALSE)+G1952*VLOOKUP(E1952,WEIGHTS!$A$2:$F$4,3,FALSE)+H1952*VLOOKUP(E1952,WEIGHTS!$A$2:$F$4,4,FALSE)+I1952*VLOOKUP(E1952,WEIGHTS!$A$2:$F$4,5,FALSE)+J1952*VLOOKUP(E1952,WEIGHTS!$A$2:$F$4,6,FALSE))</f>
        <v/>
      </c>
      <c r="N1952" s="2" t="str">
        <f t="shared" si="4"/>
        <v/>
      </c>
    </row>
    <row r="1953" ht="15.75" customHeight="1">
      <c r="A1953" s="3"/>
      <c r="B1953" s="2" t="str">
        <f t="shared" si="1"/>
        <v/>
      </c>
      <c r="E1953" s="2"/>
      <c r="F1953" s="2"/>
      <c r="G1953" s="2"/>
      <c r="H1953" s="2"/>
      <c r="I1953" s="2"/>
      <c r="J1953" s="2"/>
      <c r="K1953" s="2" t="str">
        <f t="shared" si="2"/>
        <v/>
      </c>
      <c r="L1953" s="2" t="str">
        <f t="shared" si="3"/>
        <v>No</v>
      </c>
      <c r="M1953" s="2" t="str">
        <f>IF(K1953="","",F1953*VLOOKUP(E1953,WEIGHTS!$A$2:$F$4,2,FALSE)+G1953*VLOOKUP(E1953,WEIGHTS!$A$2:$F$4,3,FALSE)+H1953*VLOOKUP(E1953,WEIGHTS!$A$2:$F$4,4,FALSE)+I1953*VLOOKUP(E1953,WEIGHTS!$A$2:$F$4,5,FALSE)+J1953*VLOOKUP(E1953,WEIGHTS!$A$2:$F$4,6,FALSE))</f>
        <v/>
      </c>
      <c r="N1953" s="2" t="str">
        <f t="shared" si="4"/>
        <v/>
      </c>
    </row>
    <row r="1954" ht="15.75" customHeight="1">
      <c r="A1954" s="3"/>
      <c r="B1954" s="2" t="str">
        <f t="shared" si="1"/>
        <v/>
      </c>
      <c r="E1954" s="2"/>
      <c r="F1954" s="2"/>
      <c r="G1954" s="2"/>
      <c r="H1954" s="2"/>
      <c r="I1954" s="2"/>
      <c r="J1954" s="2"/>
      <c r="K1954" s="2" t="str">
        <f t="shared" si="2"/>
        <v/>
      </c>
      <c r="L1954" s="2" t="str">
        <f t="shared" si="3"/>
        <v>No</v>
      </c>
      <c r="M1954" s="2" t="str">
        <f>IF(K1954="","",F1954*VLOOKUP(E1954,WEIGHTS!$A$2:$F$4,2,FALSE)+G1954*VLOOKUP(E1954,WEIGHTS!$A$2:$F$4,3,FALSE)+H1954*VLOOKUP(E1954,WEIGHTS!$A$2:$F$4,4,FALSE)+I1954*VLOOKUP(E1954,WEIGHTS!$A$2:$F$4,5,FALSE)+J1954*VLOOKUP(E1954,WEIGHTS!$A$2:$F$4,6,FALSE))</f>
        <v/>
      </c>
      <c r="N1954" s="2" t="str">
        <f t="shared" si="4"/>
        <v/>
      </c>
    </row>
    <row r="1955" ht="15.75" customHeight="1">
      <c r="A1955" s="3"/>
      <c r="B1955" s="2" t="str">
        <f t="shared" si="1"/>
        <v/>
      </c>
      <c r="E1955" s="2"/>
      <c r="F1955" s="2"/>
      <c r="G1955" s="2"/>
      <c r="H1955" s="2"/>
      <c r="I1955" s="2"/>
      <c r="J1955" s="2"/>
      <c r="K1955" s="2" t="str">
        <f t="shared" si="2"/>
        <v/>
      </c>
      <c r="L1955" s="2" t="str">
        <f t="shared" si="3"/>
        <v>No</v>
      </c>
      <c r="M1955" s="2" t="str">
        <f>IF(K1955="","",F1955*VLOOKUP(E1955,WEIGHTS!$A$2:$F$4,2,FALSE)+G1955*VLOOKUP(E1955,WEIGHTS!$A$2:$F$4,3,FALSE)+H1955*VLOOKUP(E1955,WEIGHTS!$A$2:$F$4,4,FALSE)+I1955*VLOOKUP(E1955,WEIGHTS!$A$2:$F$4,5,FALSE)+J1955*VLOOKUP(E1955,WEIGHTS!$A$2:$F$4,6,FALSE))</f>
        <v/>
      </c>
      <c r="N1955" s="2" t="str">
        <f t="shared" si="4"/>
        <v/>
      </c>
    </row>
    <row r="1956" ht="15.75" customHeight="1">
      <c r="A1956" s="3"/>
      <c r="B1956" s="2" t="str">
        <f t="shared" si="1"/>
        <v/>
      </c>
      <c r="E1956" s="2"/>
      <c r="F1956" s="2"/>
      <c r="G1956" s="2"/>
      <c r="H1956" s="2"/>
      <c r="I1956" s="2"/>
      <c r="J1956" s="2"/>
      <c r="K1956" s="2" t="str">
        <f t="shared" si="2"/>
        <v/>
      </c>
      <c r="L1956" s="2" t="str">
        <f t="shared" si="3"/>
        <v>No</v>
      </c>
      <c r="M1956" s="2" t="str">
        <f>IF(K1956="","",F1956*VLOOKUP(E1956,WEIGHTS!$A$2:$F$4,2,FALSE)+G1956*VLOOKUP(E1956,WEIGHTS!$A$2:$F$4,3,FALSE)+H1956*VLOOKUP(E1956,WEIGHTS!$A$2:$F$4,4,FALSE)+I1956*VLOOKUP(E1956,WEIGHTS!$A$2:$F$4,5,FALSE)+J1956*VLOOKUP(E1956,WEIGHTS!$A$2:$F$4,6,FALSE))</f>
        <v/>
      </c>
      <c r="N1956" s="2" t="str">
        <f t="shared" si="4"/>
        <v/>
      </c>
    </row>
    <row r="1957" ht="15.75" customHeight="1">
      <c r="A1957" s="3"/>
      <c r="B1957" s="2" t="str">
        <f t="shared" si="1"/>
        <v/>
      </c>
      <c r="E1957" s="2"/>
      <c r="F1957" s="2"/>
      <c r="G1957" s="2"/>
      <c r="H1957" s="2"/>
      <c r="I1957" s="2"/>
      <c r="J1957" s="2"/>
      <c r="K1957" s="2" t="str">
        <f t="shared" si="2"/>
        <v/>
      </c>
      <c r="L1957" s="2" t="str">
        <f t="shared" si="3"/>
        <v>No</v>
      </c>
      <c r="M1957" s="2" t="str">
        <f>IF(K1957="","",F1957*VLOOKUP(E1957,WEIGHTS!$A$2:$F$4,2,FALSE)+G1957*VLOOKUP(E1957,WEIGHTS!$A$2:$F$4,3,FALSE)+H1957*VLOOKUP(E1957,WEIGHTS!$A$2:$F$4,4,FALSE)+I1957*VLOOKUP(E1957,WEIGHTS!$A$2:$F$4,5,FALSE)+J1957*VLOOKUP(E1957,WEIGHTS!$A$2:$F$4,6,FALSE))</f>
        <v/>
      </c>
      <c r="N1957" s="2" t="str">
        <f t="shared" si="4"/>
        <v/>
      </c>
    </row>
    <row r="1958" ht="15.75" customHeight="1">
      <c r="A1958" s="3"/>
      <c r="B1958" s="2" t="str">
        <f t="shared" si="1"/>
        <v/>
      </c>
      <c r="E1958" s="2"/>
      <c r="F1958" s="2"/>
      <c r="G1958" s="2"/>
      <c r="H1958" s="2"/>
      <c r="I1958" s="2"/>
      <c r="J1958" s="2"/>
      <c r="K1958" s="2" t="str">
        <f t="shared" si="2"/>
        <v/>
      </c>
      <c r="L1958" s="2" t="str">
        <f t="shared" si="3"/>
        <v>No</v>
      </c>
      <c r="M1958" s="2" t="str">
        <f>IF(K1958="","",F1958*VLOOKUP(E1958,WEIGHTS!$A$2:$F$4,2,FALSE)+G1958*VLOOKUP(E1958,WEIGHTS!$A$2:$F$4,3,FALSE)+H1958*VLOOKUP(E1958,WEIGHTS!$A$2:$F$4,4,FALSE)+I1958*VLOOKUP(E1958,WEIGHTS!$A$2:$F$4,5,FALSE)+J1958*VLOOKUP(E1958,WEIGHTS!$A$2:$F$4,6,FALSE))</f>
        <v/>
      </c>
      <c r="N1958" s="2" t="str">
        <f t="shared" si="4"/>
        <v/>
      </c>
    </row>
    <row r="1959" ht="15.75" customHeight="1">
      <c r="A1959" s="3"/>
      <c r="B1959" s="2" t="str">
        <f t="shared" si="1"/>
        <v/>
      </c>
      <c r="E1959" s="2"/>
      <c r="F1959" s="2"/>
      <c r="G1959" s="2"/>
      <c r="H1959" s="2"/>
      <c r="I1959" s="2"/>
      <c r="J1959" s="2"/>
      <c r="K1959" s="2" t="str">
        <f t="shared" si="2"/>
        <v/>
      </c>
      <c r="L1959" s="2" t="str">
        <f t="shared" si="3"/>
        <v>No</v>
      </c>
      <c r="M1959" s="2" t="str">
        <f>IF(K1959="","",F1959*VLOOKUP(E1959,WEIGHTS!$A$2:$F$4,2,FALSE)+G1959*VLOOKUP(E1959,WEIGHTS!$A$2:$F$4,3,FALSE)+H1959*VLOOKUP(E1959,WEIGHTS!$A$2:$F$4,4,FALSE)+I1959*VLOOKUP(E1959,WEIGHTS!$A$2:$F$4,5,FALSE)+J1959*VLOOKUP(E1959,WEIGHTS!$A$2:$F$4,6,FALSE))</f>
        <v/>
      </c>
      <c r="N1959" s="2" t="str">
        <f t="shared" si="4"/>
        <v/>
      </c>
    </row>
    <row r="1960" ht="15.75" customHeight="1">
      <c r="A1960" s="3"/>
      <c r="B1960" s="2" t="str">
        <f t="shared" si="1"/>
        <v/>
      </c>
      <c r="E1960" s="2"/>
      <c r="F1960" s="2"/>
      <c r="G1960" s="2"/>
      <c r="H1960" s="2"/>
      <c r="I1960" s="2"/>
      <c r="J1960" s="2"/>
      <c r="K1960" s="2" t="str">
        <f t="shared" si="2"/>
        <v/>
      </c>
      <c r="L1960" s="2" t="str">
        <f t="shared" si="3"/>
        <v>No</v>
      </c>
      <c r="M1960" s="2" t="str">
        <f>IF(K1960="","",F1960*VLOOKUP(E1960,WEIGHTS!$A$2:$F$4,2,FALSE)+G1960*VLOOKUP(E1960,WEIGHTS!$A$2:$F$4,3,FALSE)+H1960*VLOOKUP(E1960,WEIGHTS!$A$2:$F$4,4,FALSE)+I1960*VLOOKUP(E1960,WEIGHTS!$A$2:$F$4,5,FALSE)+J1960*VLOOKUP(E1960,WEIGHTS!$A$2:$F$4,6,FALSE))</f>
        <v/>
      </c>
      <c r="N1960" s="2" t="str">
        <f t="shared" si="4"/>
        <v/>
      </c>
    </row>
    <row r="1961" ht="15.75" customHeight="1">
      <c r="A1961" s="3"/>
      <c r="B1961" s="2" t="str">
        <f t="shared" si="1"/>
        <v/>
      </c>
      <c r="E1961" s="2"/>
      <c r="F1961" s="2"/>
      <c r="G1961" s="2"/>
      <c r="H1961" s="2"/>
      <c r="I1961" s="2"/>
      <c r="J1961" s="2"/>
      <c r="K1961" s="2" t="str">
        <f t="shared" si="2"/>
        <v/>
      </c>
      <c r="L1961" s="2" t="str">
        <f t="shared" si="3"/>
        <v>No</v>
      </c>
      <c r="M1961" s="2" t="str">
        <f>IF(K1961="","",F1961*VLOOKUP(E1961,WEIGHTS!$A$2:$F$4,2,FALSE)+G1961*VLOOKUP(E1961,WEIGHTS!$A$2:$F$4,3,FALSE)+H1961*VLOOKUP(E1961,WEIGHTS!$A$2:$F$4,4,FALSE)+I1961*VLOOKUP(E1961,WEIGHTS!$A$2:$F$4,5,FALSE)+J1961*VLOOKUP(E1961,WEIGHTS!$A$2:$F$4,6,FALSE))</f>
        <v/>
      </c>
      <c r="N1961" s="2" t="str">
        <f t="shared" si="4"/>
        <v/>
      </c>
    </row>
    <row r="1962" ht="15.75" customHeight="1">
      <c r="A1962" s="3"/>
      <c r="B1962" s="2" t="str">
        <f t="shared" si="1"/>
        <v/>
      </c>
      <c r="E1962" s="2"/>
      <c r="F1962" s="2"/>
      <c r="G1962" s="2"/>
      <c r="H1962" s="2"/>
      <c r="I1962" s="2"/>
      <c r="J1962" s="2"/>
      <c r="K1962" s="2" t="str">
        <f t="shared" si="2"/>
        <v/>
      </c>
      <c r="L1962" s="2" t="str">
        <f t="shared" si="3"/>
        <v>No</v>
      </c>
      <c r="M1962" s="2" t="str">
        <f>IF(K1962="","",F1962*VLOOKUP(E1962,WEIGHTS!$A$2:$F$4,2,FALSE)+G1962*VLOOKUP(E1962,WEIGHTS!$A$2:$F$4,3,FALSE)+H1962*VLOOKUP(E1962,WEIGHTS!$A$2:$F$4,4,FALSE)+I1962*VLOOKUP(E1962,WEIGHTS!$A$2:$F$4,5,FALSE)+J1962*VLOOKUP(E1962,WEIGHTS!$A$2:$F$4,6,FALSE))</f>
        <v/>
      </c>
      <c r="N1962" s="2" t="str">
        <f t="shared" si="4"/>
        <v/>
      </c>
    </row>
    <row r="1963" ht="15.75" customHeight="1">
      <c r="A1963" s="3"/>
      <c r="B1963" s="2" t="str">
        <f t="shared" si="1"/>
        <v/>
      </c>
      <c r="E1963" s="2"/>
      <c r="F1963" s="2"/>
      <c r="G1963" s="2"/>
      <c r="H1963" s="2"/>
      <c r="I1963" s="2"/>
      <c r="J1963" s="2"/>
      <c r="K1963" s="2" t="str">
        <f t="shared" si="2"/>
        <v/>
      </c>
      <c r="L1963" s="2" t="str">
        <f t="shared" si="3"/>
        <v>No</v>
      </c>
      <c r="M1963" s="2" t="str">
        <f>IF(K1963="","",F1963*VLOOKUP(E1963,WEIGHTS!$A$2:$F$4,2,FALSE)+G1963*VLOOKUP(E1963,WEIGHTS!$A$2:$F$4,3,FALSE)+H1963*VLOOKUP(E1963,WEIGHTS!$A$2:$F$4,4,FALSE)+I1963*VLOOKUP(E1963,WEIGHTS!$A$2:$F$4,5,FALSE)+J1963*VLOOKUP(E1963,WEIGHTS!$A$2:$F$4,6,FALSE))</f>
        <v/>
      </c>
      <c r="N1963" s="2" t="str">
        <f t="shared" si="4"/>
        <v/>
      </c>
    </row>
    <row r="1964" ht="15.75" customHeight="1">
      <c r="A1964" s="3"/>
      <c r="B1964" s="2" t="str">
        <f t="shared" si="1"/>
        <v/>
      </c>
      <c r="E1964" s="2"/>
      <c r="F1964" s="2"/>
      <c r="G1964" s="2"/>
      <c r="H1964" s="2"/>
      <c r="I1964" s="2"/>
      <c r="J1964" s="2"/>
      <c r="K1964" s="2" t="str">
        <f t="shared" si="2"/>
        <v/>
      </c>
      <c r="L1964" s="2" t="str">
        <f t="shared" si="3"/>
        <v>No</v>
      </c>
      <c r="M1964" s="2" t="str">
        <f>IF(K1964="","",F1964*VLOOKUP(E1964,WEIGHTS!$A$2:$F$4,2,FALSE)+G1964*VLOOKUP(E1964,WEIGHTS!$A$2:$F$4,3,FALSE)+H1964*VLOOKUP(E1964,WEIGHTS!$A$2:$F$4,4,FALSE)+I1964*VLOOKUP(E1964,WEIGHTS!$A$2:$F$4,5,FALSE)+J1964*VLOOKUP(E1964,WEIGHTS!$A$2:$F$4,6,FALSE))</f>
        <v/>
      </c>
      <c r="N1964" s="2" t="str">
        <f t="shared" si="4"/>
        <v/>
      </c>
    </row>
    <row r="1965" ht="15.75" customHeight="1">
      <c r="A1965" s="3"/>
      <c r="B1965" s="2" t="str">
        <f t="shared" si="1"/>
        <v/>
      </c>
      <c r="E1965" s="2"/>
      <c r="F1965" s="2"/>
      <c r="G1965" s="2"/>
      <c r="H1965" s="2"/>
      <c r="I1965" s="2"/>
      <c r="J1965" s="2"/>
      <c r="K1965" s="2" t="str">
        <f t="shared" si="2"/>
        <v/>
      </c>
      <c r="L1965" s="2" t="str">
        <f t="shared" si="3"/>
        <v>No</v>
      </c>
      <c r="M1965" s="2" t="str">
        <f>IF(K1965="","",F1965*VLOOKUP(E1965,WEIGHTS!$A$2:$F$4,2,FALSE)+G1965*VLOOKUP(E1965,WEIGHTS!$A$2:$F$4,3,FALSE)+H1965*VLOOKUP(E1965,WEIGHTS!$A$2:$F$4,4,FALSE)+I1965*VLOOKUP(E1965,WEIGHTS!$A$2:$F$4,5,FALSE)+J1965*VLOOKUP(E1965,WEIGHTS!$A$2:$F$4,6,FALSE))</f>
        <v/>
      </c>
      <c r="N1965" s="2" t="str">
        <f t="shared" si="4"/>
        <v/>
      </c>
    </row>
    <row r="1966" ht="15.75" customHeight="1">
      <c r="A1966" s="3"/>
      <c r="B1966" s="2" t="str">
        <f t="shared" si="1"/>
        <v/>
      </c>
      <c r="E1966" s="2"/>
      <c r="F1966" s="2"/>
      <c r="G1966" s="2"/>
      <c r="H1966" s="2"/>
      <c r="I1966" s="2"/>
      <c r="J1966" s="2"/>
      <c r="K1966" s="2" t="str">
        <f t="shared" si="2"/>
        <v/>
      </c>
      <c r="L1966" s="2" t="str">
        <f t="shared" si="3"/>
        <v>No</v>
      </c>
      <c r="M1966" s="2" t="str">
        <f>IF(K1966="","",F1966*VLOOKUP(E1966,WEIGHTS!$A$2:$F$4,2,FALSE)+G1966*VLOOKUP(E1966,WEIGHTS!$A$2:$F$4,3,FALSE)+H1966*VLOOKUP(E1966,WEIGHTS!$A$2:$F$4,4,FALSE)+I1966*VLOOKUP(E1966,WEIGHTS!$A$2:$F$4,5,FALSE)+J1966*VLOOKUP(E1966,WEIGHTS!$A$2:$F$4,6,FALSE))</f>
        <v/>
      </c>
      <c r="N1966" s="2" t="str">
        <f t="shared" si="4"/>
        <v/>
      </c>
    </row>
    <row r="1967" ht="15.75" customHeight="1">
      <c r="A1967" s="3"/>
      <c r="B1967" s="2" t="str">
        <f t="shared" si="1"/>
        <v/>
      </c>
      <c r="E1967" s="2"/>
      <c r="F1967" s="2"/>
      <c r="G1967" s="2"/>
      <c r="H1967" s="2"/>
      <c r="I1967" s="2"/>
      <c r="J1967" s="2"/>
      <c r="K1967" s="2" t="str">
        <f t="shared" si="2"/>
        <v/>
      </c>
      <c r="L1967" s="2" t="str">
        <f t="shared" si="3"/>
        <v>No</v>
      </c>
      <c r="M1967" s="2" t="str">
        <f>IF(K1967="","",F1967*VLOOKUP(E1967,WEIGHTS!$A$2:$F$4,2,FALSE)+G1967*VLOOKUP(E1967,WEIGHTS!$A$2:$F$4,3,FALSE)+H1967*VLOOKUP(E1967,WEIGHTS!$A$2:$F$4,4,FALSE)+I1967*VLOOKUP(E1967,WEIGHTS!$A$2:$F$4,5,FALSE)+J1967*VLOOKUP(E1967,WEIGHTS!$A$2:$F$4,6,FALSE))</f>
        <v/>
      </c>
      <c r="N1967" s="2" t="str">
        <f t="shared" si="4"/>
        <v/>
      </c>
    </row>
    <row r="1968" ht="15.75" customHeight="1">
      <c r="A1968" s="3"/>
      <c r="B1968" s="2" t="str">
        <f t="shared" si="1"/>
        <v/>
      </c>
      <c r="E1968" s="2"/>
      <c r="F1968" s="2"/>
      <c r="G1968" s="2"/>
      <c r="H1968" s="2"/>
      <c r="I1968" s="2"/>
      <c r="J1968" s="2"/>
      <c r="K1968" s="2" t="str">
        <f t="shared" si="2"/>
        <v/>
      </c>
      <c r="L1968" s="2" t="str">
        <f t="shared" si="3"/>
        <v>No</v>
      </c>
      <c r="M1968" s="2" t="str">
        <f>IF(K1968="","",F1968*VLOOKUP(E1968,WEIGHTS!$A$2:$F$4,2,FALSE)+G1968*VLOOKUP(E1968,WEIGHTS!$A$2:$F$4,3,FALSE)+H1968*VLOOKUP(E1968,WEIGHTS!$A$2:$F$4,4,FALSE)+I1968*VLOOKUP(E1968,WEIGHTS!$A$2:$F$4,5,FALSE)+J1968*VLOOKUP(E1968,WEIGHTS!$A$2:$F$4,6,FALSE))</f>
        <v/>
      </c>
      <c r="N1968" s="2" t="str">
        <f t="shared" si="4"/>
        <v/>
      </c>
    </row>
    <row r="1969" ht="15.75" customHeight="1">
      <c r="A1969" s="3"/>
      <c r="B1969" s="2" t="str">
        <f t="shared" si="1"/>
        <v/>
      </c>
      <c r="E1969" s="2"/>
      <c r="F1969" s="2"/>
      <c r="G1969" s="2"/>
      <c r="H1969" s="2"/>
      <c r="I1969" s="2"/>
      <c r="J1969" s="2"/>
      <c r="K1969" s="2" t="str">
        <f t="shared" si="2"/>
        <v/>
      </c>
      <c r="L1969" s="2" t="str">
        <f t="shared" si="3"/>
        <v>No</v>
      </c>
      <c r="M1969" s="2" t="str">
        <f>IF(K1969="","",F1969*VLOOKUP(E1969,WEIGHTS!$A$2:$F$4,2,FALSE)+G1969*VLOOKUP(E1969,WEIGHTS!$A$2:$F$4,3,FALSE)+H1969*VLOOKUP(E1969,WEIGHTS!$A$2:$F$4,4,FALSE)+I1969*VLOOKUP(E1969,WEIGHTS!$A$2:$F$4,5,FALSE)+J1969*VLOOKUP(E1969,WEIGHTS!$A$2:$F$4,6,FALSE))</f>
        <v/>
      </c>
      <c r="N1969" s="2" t="str">
        <f t="shared" si="4"/>
        <v/>
      </c>
    </row>
    <row r="1970" ht="15.75" customHeight="1">
      <c r="A1970" s="3"/>
      <c r="B1970" s="2" t="str">
        <f t="shared" si="1"/>
        <v/>
      </c>
      <c r="E1970" s="2"/>
      <c r="F1970" s="2"/>
      <c r="G1970" s="2"/>
      <c r="H1970" s="2"/>
      <c r="I1970" s="2"/>
      <c r="J1970" s="2"/>
      <c r="K1970" s="2" t="str">
        <f t="shared" si="2"/>
        <v/>
      </c>
      <c r="L1970" s="2" t="str">
        <f t="shared" si="3"/>
        <v>No</v>
      </c>
      <c r="M1970" s="2" t="str">
        <f>IF(K1970="","",F1970*VLOOKUP(E1970,WEIGHTS!$A$2:$F$4,2,FALSE)+G1970*VLOOKUP(E1970,WEIGHTS!$A$2:$F$4,3,FALSE)+H1970*VLOOKUP(E1970,WEIGHTS!$A$2:$F$4,4,FALSE)+I1970*VLOOKUP(E1970,WEIGHTS!$A$2:$F$4,5,FALSE)+J1970*VLOOKUP(E1970,WEIGHTS!$A$2:$F$4,6,FALSE))</f>
        <v/>
      </c>
      <c r="N1970" s="2" t="str">
        <f t="shared" si="4"/>
        <v/>
      </c>
    </row>
    <row r="1971" ht="15.75" customHeight="1">
      <c r="A1971" s="3"/>
      <c r="B1971" s="2" t="str">
        <f t="shared" si="1"/>
        <v/>
      </c>
      <c r="E1971" s="2"/>
      <c r="F1971" s="2"/>
      <c r="G1971" s="2"/>
      <c r="H1971" s="2"/>
      <c r="I1971" s="2"/>
      <c r="J1971" s="2"/>
      <c r="K1971" s="2" t="str">
        <f t="shared" si="2"/>
        <v/>
      </c>
      <c r="L1971" s="2" t="str">
        <f t="shared" si="3"/>
        <v>No</v>
      </c>
      <c r="M1971" s="2" t="str">
        <f>IF(K1971="","",F1971*VLOOKUP(E1971,WEIGHTS!$A$2:$F$4,2,FALSE)+G1971*VLOOKUP(E1971,WEIGHTS!$A$2:$F$4,3,FALSE)+H1971*VLOOKUP(E1971,WEIGHTS!$A$2:$F$4,4,FALSE)+I1971*VLOOKUP(E1971,WEIGHTS!$A$2:$F$4,5,FALSE)+J1971*VLOOKUP(E1971,WEIGHTS!$A$2:$F$4,6,FALSE))</f>
        <v/>
      </c>
      <c r="N1971" s="2" t="str">
        <f t="shared" si="4"/>
        <v/>
      </c>
    </row>
    <row r="1972" ht="15.75" customHeight="1">
      <c r="A1972" s="3"/>
      <c r="B1972" s="2" t="str">
        <f t="shared" si="1"/>
        <v/>
      </c>
      <c r="E1972" s="2"/>
      <c r="F1972" s="2"/>
      <c r="G1972" s="2"/>
      <c r="H1972" s="2"/>
      <c r="I1972" s="2"/>
      <c r="J1972" s="2"/>
      <c r="K1972" s="2" t="str">
        <f t="shared" si="2"/>
        <v/>
      </c>
      <c r="L1972" s="2" t="str">
        <f t="shared" si="3"/>
        <v>No</v>
      </c>
      <c r="M1972" s="2" t="str">
        <f>IF(K1972="","",F1972*VLOOKUP(E1972,WEIGHTS!$A$2:$F$4,2,FALSE)+G1972*VLOOKUP(E1972,WEIGHTS!$A$2:$F$4,3,FALSE)+H1972*VLOOKUP(E1972,WEIGHTS!$A$2:$F$4,4,FALSE)+I1972*VLOOKUP(E1972,WEIGHTS!$A$2:$F$4,5,FALSE)+J1972*VLOOKUP(E1972,WEIGHTS!$A$2:$F$4,6,FALSE))</f>
        <v/>
      </c>
      <c r="N1972" s="2" t="str">
        <f t="shared" si="4"/>
        <v/>
      </c>
    </row>
    <row r="1973" ht="15.75" customHeight="1">
      <c r="A1973" s="3"/>
      <c r="B1973" s="2" t="str">
        <f t="shared" si="1"/>
        <v/>
      </c>
      <c r="E1973" s="2"/>
      <c r="F1973" s="2"/>
      <c r="G1973" s="2"/>
      <c r="H1973" s="2"/>
      <c r="I1973" s="2"/>
      <c r="J1973" s="2"/>
      <c r="K1973" s="2" t="str">
        <f t="shared" si="2"/>
        <v/>
      </c>
      <c r="L1973" s="2" t="str">
        <f t="shared" si="3"/>
        <v>No</v>
      </c>
      <c r="M1973" s="2" t="str">
        <f>IF(K1973="","",F1973*VLOOKUP(E1973,WEIGHTS!$A$2:$F$4,2,FALSE)+G1973*VLOOKUP(E1973,WEIGHTS!$A$2:$F$4,3,FALSE)+H1973*VLOOKUP(E1973,WEIGHTS!$A$2:$F$4,4,FALSE)+I1973*VLOOKUP(E1973,WEIGHTS!$A$2:$F$4,5,FALSE)+J1973*VLOOKUP(E1973,WEIGHTS!$A$2:$F$4,6,FALSE))</f>
        <v/>
      </c>
      <c r="N1973" s="2" t="str">
        <f t="shared" si="4"/>
        <v/>
      </c>
    </row>
    <row r="1974" ht="15.75" customHeight="1">
      <c r="A1974" s="3"/>
      <c r="B1974" s="2" t="str">
        <f t="shared" si="1"/>
        <v/>
      </c>
      <c r="E1974" s="2"/>
      <c r="F1974" s="2"/>
      <c r="G1974" s="2"/>
      <c r="H1974" s="2"/>
      <c r="I1974" s="2"/>
      <c r="J1974" s="2"/>
      <c r="K1974" s="2" t="str">
        <f t="shared" si="2"/>
        <v/>
      </c>
      <c r="L1974" s="2" t="str">
        <f t="shared" si="3"/>
        <v>No</v>
      </c>
      <c r="M1974" s="2" t="str">
        <f>IF(K1974="","",F1974*VLOOKUP(E1974,WEIGHTS!$A$2:$F$4,2,FALSE)+G1974*VLOOKUP(E1974,WEIGHTS!$A$2:$F$4,3,FALSE)+H1974*VLOOKUP(E1974,WEIGHTS!$A$2:$F$4,4,FALSE)+I1974*VLOOKUP(E1974,WEIGHTS!$A$2:$F$4,5,FALSE)+J1974*VLOOKUP(E1974,WEIGHTS!$A$2:$F$4,6,FALSE))</f>
        <v/>
      </c>
      <c r="N1974" s="2" t="str">
        <f t="shared" si="4"/>
        <v/>
      </c>
    </row>
    <row r="1975" ht="15.75" customHeight="1">
      <c r="A1975" s="3"/>
      <c r="B1975" s="2" t="str">
        <f t="shared" si="1"/>
        <v/>
      </c>
      <c r="E1975" s="2"/>
      <c r="F1975" s="2"/>
      <c r="G1975" s="2"/>
      <c r="H1975" s="2"/>
      <c r="I1975" s="2"/>
      <c r="J1975" s="2"/>
      <c r="K1975" s="2" t="str">
        <f t="shared" si="2"/>
        <v/>
      </c>
      <c r="L1975" s="2" t="str">
        <f t="shared" si="3"/>
        <v>No</v>
      </c>
      <c r="M1975" s="2" t="str">
        <f>IF(K1975="","",F1975*VLOOKUP(E1975,WEIGHTS!$A$2:$F$4,2,FALSE)+G1975*VLOOKUP(E1975,WEIGHTS!$A$2:$F$4,3,FALSE)+H1975*VLOOKUP(E1975,WEIGHTS!$A$2:$F$4,4,FALSE)+I1975*VLOOKUP(E1975,WEIGHTS!$A$2:$F$4,5,FALSE)+J1975*VLOOKUP(E1975,WEIGHTS!$A$2:$F$4,6,FALSE))</f>
        <v/>
      </c>
      <c r="N1975" s="2" t="str">
        <f t="shared" si="4"/>
        <v/>
      </c>
    </row>
    <row r="1976" ht="15.75" customHeight="1">
      <c r="A1976" s="3"/>
      <c r="B1976" s="2" t="str">
        <f t="shared" si="1"/>
        <v/>
      </c>
      <c r="E1976" s="2"/>
      <c r="F1976" s="2"/>
      <c r="G1976" s="2"/>
      <c r="H1976" s="2"/>
      <c r="I1976" s="2"/>
      <c r="J1976" s="2"/>
      <c r="K1976" s="2" t="str">
        <f t="shared" si="2"/>
        <v/>
      </c>
      <c r="L1976" s="2" t="str">
        <f t="shared" si="3"/>
        <v>No</v>
      </c>
      <c r="M1976" s="2" t="str">
        <f>IF(K1976="","",F1976*VLOOKUP(E1976,WEIGHTS!$A$2:$F$4,2,FALSE)+G1976*VLOOKUP(E1976,WEIGHTS!$A$2:$F$4,3,FALSE)+H1976*VLOOKUP(E1976,WEIGHTS!$A$2:$F$4,4,FALSE)+I1976*VLOOKUP(E1976,WEIGHTS!$A$2:$F$4,5,FALSE)+J1976*VLOOKUP(E1976,WEIGHTS!$A$2:$F$4,6,FALSE))</f>
        <v/>
      </c>
      <c r="N1976" s="2" t="str">
        <f t="shared" si="4"/>
        <v/>
      </c>
    </row>
    <row r="1977" ht="15.75" customHeight="1">
      <c r="A1977" s="3"/>
      <c r="B1977" s="2" t="str">
        <f t="shared" si="1"/>
        <v/>
      </c>
      <c r="E1977" s="2"/>
      <c r="F1977" s="2"/>
      <c r="G1977" s="2"/>
      <c r="H1977" s="2"/>
      <c r="I1977" s="2"/>
      <c r="J1977" s="2"/>
      <c r="K1977" s="2" t="str">
        <f t="shared" si="2"/>
        <v/>
      </c>
      <c r="L1977" s="2" t="str">
        <f t="shared" si="3"/>
        <v>No</v>
      </c>
      <c r="M1977" s="2" t="str">
        <f>IF(K1977="","",F1977*VLOOKUP(E1977,WEIGHTS!$A$2:$F$4,2,FALSE)+G1977*VLOOKUP(E1977,WEIGHTS!$A$2:$F$4,3,FALSE)+H1977*VLOOKUP(E1977,WEIGHTS!$A$2:$F$4,4,FALSE)+I1977*VLOOKUP(E1977,WEIGHTS!$A$2:$F$4,5,FALSE)+J1977*VLOOKUP(E1977,WEIGHTS!$A$2:$F$4,6,FALSE))</f>
        <v/>
      </c>
      <c r="N1977" s="2" t="str">
        <f t="shared" si="4"/>
        <v/>
      </c>
    </row>
    <row r="1978" ht="15.75" customHeight="1">
      <c r="A1978" s="3"/>
      <c r="B1978" s="2" t="str">
        <f t="shared" si="1"/>
        <v/>
      </c>
      <c r="E1978" s="2"/>
      <c r="F1978" s="2"/>
      <c r="G1978" s="2"/>
      <c r="H1978" s="2"/>
      <c r="I1978" s="2"/>
      <c r="J1978" s="2"/>
      <c r="K1978" s="2" t="str">
        <f t="shared" si="2"/>
        <v/>
      </c>
      <c r="L1978" s="2" t="str">
        <f t="shared" si="3"/>
        <v>No</v>
      </c>
      <c r="M1978" s="2" t="str">
        <f>IF(K1978="","",F1978*VLOOKUP(E1978,WEIGHTS!$A$2:$F$4,2,FALSE)+G1978*VLOOKUP(E1978,WEIGHTS!$A$2:$F$4,3,FALSE)+H1978*VLOOKUP(E1978,WEIGHTS!$A$2:$F$4,4,FALSE)+I1978*VLOOKUP(E1978,WEIGHTS!$A$2:$F$4,5,FALSE)+J1978*VLOOKUP(E1978,WEIGHTS!$A$2:$F$4,6,FALSE))</f>
        <v/>
      </c>
      <c r="N1978" s="2" t="str">
        <f t="shared" si="4"/>
        <v/>
      </c>
    </row>
    <row r="1979" ht="15.75" customHeight="1">
      <c r="A1979" s="3"/>
      <c r="B1979" s="2" t="str">
        <f t="shared" si="1"/>
        <v/>
      </c>
      <c r="E1979" s="2"/>
      <c r="F1979" s="2"/>
      <c r="G1979" s="2"/>
      <c r="H1979" s="2"/>
      <c r="I1979" s="2"/>
      <c r="J1979" s="2"/>
      <c r="K1979" s="2" t="str">
        <f t="shared" si="2"/>
        <v/>
      </c>
      <c r="L1979" s="2" t="str">
        <f t="shared" si="3"/>
        <v>No</v>
      </c>
      <c r="M1979" s="2" t="str">
        <f>IF(K1979="","",F1979*VLOOKUP(E1979,WEIGHTS!$A$2:$F$4,2,FALSE)+G1979*VLOOKUP(E1979,WEIGHTS!$A$2:$F$4,3,FALSE)+H1979*VLOOKUP(E1979,WEIGHTS!$A$2:$F$4,4,FALSE)+I1979*VLOOKUP(E1979,WEIGHTS!$A$2:$F$4,5,FALSE)+J1979*VLOOKUP(E1979,WEIGHTS!$A$2:$F$4,6,FALSE))</f>
        <v/>
      </c>
      <c r="N1979" s="2" t="str">
        <f t="shared" si="4"/>
        <v/>
      </c>
    </row>
    <row r="1980" ht="15.75" customHeight="1">
      <c r="A1980" s="3"/>
      <c r="B1980" s="2" t="str">
        <f t="shared" si="1"/>
        <v/>
      </c>
      <c r="E1980" s="2"/>
      <c r="F1980" s="2"/>
      <c r="G1980" s="2"/>
      <c r="H1980" s="2"/>
      <c r="I1980" s="2"/>
      <c r="J1980" s="2"/>
      <c r="K1980" s="2" t="str">
        <f t="shared" si="2"/>
        <v/>
      </c>
      <c r="L1980" s="2" t="str">
        <f t="shared" si="3"/>
        <v>No</v>
      </c>
      <c r="M1980" s="2" t="str">
        <f>IF(K1980="","",F1980*VLOOKUP(E1980,WEIGHTS!$A$2:$F$4,2,FALSE)+G1980*VLOOKUP(E1980,WEIGHTS!$A$2:$F$4,3,FALSE)+H1980*VLOOKUP(E1980,WEIGHTS!$A$2:$F$4,4,FALSE)+I1980*VLOOKUP(E1980,WEIGHTS!$A$2:$F$4,5,FALSE)+J1980*VLOOKUP(E1980,WEIGHTS!$A$2:$F$4,6,FALSE))</f>
        <v/>
      </c>
      <c r="N1980" s="2" t="str">
        <f t="shared" si="4"/>
        <v/>
      </c>
    </row>
    <row r="1981" ht="15.75" customHeight="1">
      <c r="A1981" s="3"/>
      <c r="B1981" s="2" t="str">
        <f t="shared" si="1"/>
        <v/>
      </c>
      <c r="E1981" s="2"/>
      <c r="F1981" s="2"/>
      <c r="G1981" s="2"/>
      <c r="H1981" s="2"/>
      <c r="I1981" s="2"/>
      <c r="J1981" s="2"/>
      <c r="K1981" s="2" t="str">
        <f t="shared" si="2"/>
        <v/>
      </c>
      <c r="L1981" s="2" t="str">
        <f t="shared" si="3"/>
        <v>No</v>
      </c>
      <c r="M1981" s="2" t="str">
        <f>IF(K1981="","",F1981*VLOOKUP(E1981,WEIGHTS!$A$2:$F$4,2,FALSE)+G1981*VLOOKUP(E1981,WEIGHTS!$A$2:$F$4,3,FALSE)+H1981*VLOOKUP(E1981,WEIGHTS!$A$2:$F$4,4,FALSE)+I1981*VLOOKUP(E1981,WEIGHTS!$A$2:$F$4,5,FALSE)+J1981*VLOOKUP(E1981,WEIGHTS!$A$2:$F$4,6,FALSE))</f>
        <v/>
      </c>
      <c r="N1981" s="2" t="str">
        <f t="shared" si="4"/>
        <v/>
      </c>
    </row>
    <row r="1982" ht="15.75" customHeight="1">
      <c r="A1982" s="3"/>
      <c r="B1982" s="2" t="str">
        <f t="shared" si="1"/>
        <v/>
      </c>
      <c r="E1982" s="2"/>
      <c r="F1982" s="2"/>
      <c r="G1982" s="2"/>
      <c r="H1982" s="2"/>
      <c r="I1982" s="2"/>
      <c r="J1982" s="2"/>
      <c r="K1982" s="2" t="str">
        <f t="shared" si="2"/>
        <v/>
      </c>
      <c r="L1982" s="2" t="str">
        <f t="shared" si="3"/>
        <v>No</v>
      </c>
      <c r="M1982" s="2" t="str">
        <f>IF(K1982="","",F1982*VLOOKUP(E1982,WEIGHTS!$A$2:$F$4,2,FALSE)+G1982*VLOOKUP(E1982,WEIGHTS!$A$2:$F$4,3,FALSE)+H1982*VLOOKUP(E1982,WEIGHTS!$A$2:$F$4,4,FALSE)+I1982*VLOOKUP(E1982,WEIGHTS!$A$2:$F$4,5,FALSE)+J1982*VLOOKUP(E1982,WEIGHTS!$A$2:$F$4,6,FALSE))</f>
        <v/>
      </c>
      <c r="N1982" s="2" t="str">
        <f t="shared" si="4"/>
        <v/>
      </c>
    </row>
    <row r="1983" ht="15.75" customHeight="1">
      <c r="A1983" s="3"/>
      <c r="B1983" s="2" t="str">
        <f t="shared" si="1"/>
        <v/>
      </c>
      <c r="E1983" s="2"/>
      <c r="F1983" s="2"/>
      <c r="G1983" s="2"/>
      <c r="H1983" s="2"/>
      <c r="I1983" s="2"/>
      <c r="J1983" s="2"/>
      <c r="K1983" s="2" t="str">
        <f t="shared" si="2"/>
        <v/>
      </c>
      <c r="L1983" s="2" t="str">
        <f t="shared" si="3"/>
        <v>No</v>
      </c>
      <c r="M1983" s="2" t="str">
        <f>IF(K1983="","",F1983*VLOOKUP(E1983,WEIGHTS!$A$2:$F$4,2,FALSE)+G1983*VLOOKUP(E1983,WEIGHTS!$A$2:$F$4,3,FALSE)+H1983*VLOOKUP(E1983,WEIGHTS!$A$2:$F$4,4,FALSE)+I1983*VLOOKUP(E1983,WEIGHTS!$A$2:$F$4,5,FALSE)+J1983*VLOOKUP(E1983,WEIGHTS!$A$2:$F$4,6,FALSE))</f>
        <v/>
      </c>
      <c r="N1983" s="2" t="str">
        <f t="shared" si="4"/>
        <v/>
      </c>
    </row>
    <row r="1984" ht="15.75" customHeight="1">
      <c r="A1984" s="3"/>
      <c r="B1984" s="2" t="str">
        <f t="shared" si="1"/>
        <v/>
      </c>
      <c r="E1984" s="2"/>
      <c r="F1984" s="2"/>
      <c r="G1984" s="2"/>
      <c r="H1984" s="2"/>
      <c r="I1984" s="2"/>
      <c r="J1984" s="2"/>
      <c r="K1984" s="2" t="str">
        <f t="shared" si="2"/>
        <v/>
      </c>
      <c r="L1984" s="2" t="str">
        <f t="shared" si="3"/>
        <v>No</v>
      </c>
      <c r="M1984" s="2" t="str">
        <f>IF(K1984="","",F1984*VLOOKUP(E1984,WEIGHTS!$A$2:$F$4,2,FALSE)+G1984*VLOOKUP(E1984,WEIGHTS!$A$2:$F$4,3,FALSE)+H1984*VLOOKUP(E1984,WEIGHTS!$A$2:$F$4,4,FALSE)+I1984*VLOOKUP(E1984,WEIGHTS!$A$2:$F$4,5,FALSE)+J1984*VLOOKUP(E1984,WEIGHTS!$A$2:$F$4,6,FALSE))</f>
        <v/>
      </c>
      <c r="N1984" s="2" t="str">
        <f t="shared" si="4"/>
        <v/>
      </c>
    </row>
    <row r="1985" ht="15.75" customHeight="1">
      <c r="A1985" s="3"/>
      <c r="B1985" s="2" t="str">
        <f t="shared" si="1"/>
        <v/>
      </c>
      <c r="E1985" s="2"/>
      <c r="F1985" s="2"/>
      <c r="G1985" s="2"/>
      <c r="H1985" s="2"/>
      <c r="I1985" s="2"/>
      <c r="J1985" s="2"/>
      <c r="K1985" s="2" t="str">
        <f t="shared" si="2"/>
        <v/>
      </c>
      <c r="L1985" s="2" t="str">
        <f t="shared" si="3"/>
        <v>No</v>
      </c>
      <c r="M1985" s="2" t="str">
        <f>IF(K1985="","",F1985*VLOOKUP(E1985,WEIGHTS!$A$2:$F$4,2,FALSE)+G1985*VLOOKUP(E1985,WEIGHTS!$A$2:$F$4,3,FALSE)+H1985*VLOOKUP(E1985,WEIGHTS!$A$2:$F$4,4,FALSE)+I1985*VLOOKUP(E1985,WEIGHTS!$A$2:$F$4,5,FALSE)+J1985*VLOOKUP(E1985,WEIGHTS!$A$2:$F$4,6,FALSE))</f>
        <v/>
      </c>
      <c r="N1985" s="2" t="str">
        <f t="shared" si="4"/>
        <v/>
      </c>
    </row>
    <row r="1986" ht="15.75" customHeight="1">
      <c r="A1986" s="3"/>
      <c r="B1986" s="2" t="str">
        <f t="shared" si="1"/>
        <v/>
      </c>
      <c r="E1986" s="2"/>
      <c r="F1986" s="2"/>
      <c r="G1986" s="2"/>
      <c r="H1986" s="2"/>
      <c r="I1986" s="2"/>
      <c r="J1986" s="2"/>
      <c r="K1986" s="2" t="str">
        <f t="shared" si="2"/>
        <v/>
      </c>
      <c r="L1986" s="2" t="str">
        <f t="shared" si="3"/>
        <v>No</v>
      </c>
      <c r="M1986" s="2" t="str">
        <f>IF(K1986="","",F1986*VLOOKUP(E1986,WEIGHTS!$A$2:$F$4,2,FALSE)+G1986*VLOOKUP(E1986,WEIGHTS!$A$2:$F$4,3,FALSE)+H1986*VLOOKUP(E1986,WEIGHTS!$A$2:$F$4,4,FALSE)+I1986*VLOOKUP(E1986,WEIGHTS!$A$2:$F$4,5,FALSE)+J1986*VLOOKUP(E1986,WEIGHTS!$A$2:$F$4,6,FALSE))</f>
        <v/>
      </c>
      <c r="N1986" s="2" t="str">
        <f t="shared" si="4"/>
        <v/>
      </c>
    </row>
    <row r="1987" ht="15.75" customHeight="1">
      <c r="A1987" s="3"/>
      <c r="B1987" s="2" t="str">
        <f t="shared" si="1"/>
        <v/>
      </c>
      <c r="E1987" s="2"/>
      <c r="F1987" s="2"/>
      <c r="G1987" s="2"/>
      <c r="H1987" s="2"/>
      <c r="I1987" s="2"/>
      <c r="J1987" s="2"/>
      <c r="K1987" s="2" t="str">
        <f t="shared" si="2"/>
        <v/>
      </c>
      <c r="L1987" s="2" t="str">
        <f t="shared" si="3"/>
        <v>No</v>
      </c>
      <c r="M1987" s="2" t="str">
        <f>IF(K1987="","",F1987*VLOOKUP(E1987,WEIGHTS!$A$2:$F$4,2,FALSE)+G1987*VLOOKUP(E1987,WEIGHTS!$A$2:$F$4,3,FALSE)+H1987*VLOOKUP(E1987,WEIGHTS!$A$2:$F$4,4,FALSE)+I1987*VLOOKUP(E1987,WEIGHTS!$A$2:$F$4,5,FALSE)+J1987*VLOOKUP(E1987,WEIGHTS!$A$2:$F$4,6,FALSE))</f>
        <v/>
      </c>
      <c r="N1987" s="2" t="str">
        <f t="shared" si="4"/>
        <v/>
      </c>
    </row>
    <row r="1988" ht="15.75" customHeight="1">
      <c r="A1988" s="3"/>
      <c r="B1988" s="2" t="str">
        <f t="shared" si="1"/>
        <v/>
      </c>
      <c r="E1988" s="2"/>
      <c r="F1988" s="2"/>
      <c r="G1988" s="2"/>
      <c r="H1988" s="2"/>
      <c r="I1988" s="2"/>
      <c r="J1988" s="2"/>
      <c r="K1988" s="2" t="str">
        <f t="shared" si="2"/>
        <v/>
      </c>
      <c r="L1988" s="2" t="str">
        <f t="shared" si="3"/>
        <v>No</v>
      </c>
      <c r="M1988" s="2" t="str">
        <f>IF(K1988="","",F1988*VLOOKUP(E1988,WEIGHTS!$A$2:$F$4,2,FALSE)+G1988*VLOOKUP(E1988,WEIGHTS!$A$2:$F$4,3,FALSE)+H1988*VLOOKUP(E1988,WEIGHTS!$A$2:$F$4,4,FALSE)+I1988*VLOOKUP(E1988,WEIGHTS!$A$2:$F$4,5,FALSE)+J1988*VLOOKUP(E1988,WEIGHTS!$A$2:$F$4,6,FALSE))</f>
        <v/>
      </c>
      <c r="N1988" s="2" t="str">
        <f t="shared" si="4"/>
        <v/>
      </c>
    </row>
    <row r="1989" ht="15.75" customHeight="1">
      <c r="A1989" s="3"/>
      <c r="B1989" s="2" t="str">
        <f t="shared" si="1"/>
        <v/>
      </c>
      <c r="E1989" s="2"/>
      <c r="F1989" s="2"/>
      <c r="G1989" s="2"/>
      <c r="H1989" s="2"/>
      <c r="I1989" s="2"/>
      <c r="J1989" s="2"/>
      <c r="K1989" s="2" t="str">
        <f t="shared" si="2"/>
        <v/>
      </c>
      <c r="L1989" s="2" t="str">
        <f t="shared" si="3"/>
        <v>No</v>
      </c>
      <c r="M1989" s="2" t="str">
        <f>IF(K1989="","",F1989*VLOOKUP(E1989,WEIGHTS!$A$2:$F$4,2,FALSE)+G1989*VLOOKUP(E1989,WEIGHTS!$A$2:$F$4,3,FALSE)+H1989*VLOOKUP(E1989,WEIGHTS!$A$2:$F$4,4,FALSE)+I1989*VLOOKUP(E1989,WEIGHTS!$A$2:$F$4,5,FALSE)+J1989*VLOOKUP(E1989,WEIGHTS!$A$2:$F$4,6,FALSE))</f>
        <v/>
      </c>
      <c r="N1989" s="2" t="str">
        <f t="shared" si="4"/>
        <v/>
      </c>
    </row>
    <row r="1990" ht="15.75" customHeight="1">
      <c r="A1990" s="3"/>
      <c r="B1990" s="2" t="str">
        <f t="shared" si="1"/>
        <v/>
      </c>
      <c r="E1990" s="2"/>
      <c r="F1990" s="2"/>
      <c r="G1990" s="2"/>
      <c r="H1990" s="2"/>
      <c r="I1990" s="2"/>
      <c r="J1990" s="2"/>
      <c r="K1990" s="2" t="str">
        <f t="shared" si="2"/>
        <v/>
      </c>
      <c r="L1990" s="2" t="str">
        <f t="shared" si="3"/>
        <v>No</v>
      </c>
      <c r="M1990" s="2" t="str">
        <f>IF(K1990="","",F1990*VLOOKUP(E1990,WEIGHTS!$A$2:$F$4,2,FALSE)+G1990*VLOOKUP(E1990,WEIGHTS!$A$2:$F$4,3,FALSE)+H1990*VLOOKUP(E1990,WEIGHTS!$A$2:$F$4,4,FALSE)+I1990*VLOOKUP(E1990,WEIGHTS!$A$2:$F$4,5,FALSE)+J1990*VLOOKUP(E1990,WEIGHTS!$A$2:$F$4,6,FALSE))</f>
        <v/>
      </c>
      <c r="N1990" s="2" t="str">
        <f t="shared" si="4"/>
        <v/>
      </c>
    </row>
    <row r="1991" ht="15.75" customHeight="1">
      <c r="A1991" s="3"/>
      <c r="B1991" s="2" t="str">
        <f t="shared" si="1"/>
        <v/>
      </c>
      <c r="E1991" s="2"/>
      <c r="F1991" s="2"/>
      <c r="G1991" s="2"/>
      <c r="H1991" s="2"/>
      <c r="I1991" s="2"/>
      <c r="J1991" s="2"/>
      <c r="K1991" s="2" t="str">
        <f t="shared" si="2"/>
        <v/>
      </c>
      <c r="L1991" s="2" t="str">
        <f t="shared" si="3"/>
        <v>No</v>
      </c>
      <c r="M1991" s="2" t="str">
        <f>IF(K1991="","",F1991*VLOOKUP(E1991,WEIGHTS!$A$2:$F$4,2,FALSE)+G1991*VLOOKUP(E1991,WEIGHTS!$A$2:$F$4,3,FALSE)+H1991*VLOOKUP(E1991,WEIGHTS!$A$2:$F$4,4,FALSE)+I1991*VLOOKUP(E1991,WEIGHTS!$A$2:$F$4,5,FALSE)+J1991*VLOOKUP(E1991,WEIGHTS!$A$2:$F$4,6,FALSE))</f>
        <v/>
      </c>
      <c r="N1991" s="2" t="str">
        <f t="shared" si="4"/>
        <v/>
      </c>
    </row>
    <row r="1992" ht="15.75" customHeight="1">
      <c r="A1992" s="3"/>
      <c r="B1992" s="2" t="str">
        <f t="shared" si="1"/>
        <v/>
      </c>
      <c r="E1992" s="2"/>
      <c r="F1992" s="2"/>
      <c r="G1992" s="2"/>
      <c r="H1992" s="2"/>
      <c r="I1992" s="2"/>
      <c r="J1992" s="2"/>
      <c r="K1992" s="2" t="str">
        <f t="shared" si="2"/>
        <v/>
      </c>
      <c r="L1992" s="2" t="str">
        <f t="shared" si="3"/>
        <v>No</v>
      </c>
      <c r="M1992" s="2" t="str">
        <f>IF(K1992="","",F1992*VLOOKUP(E1992,WEIGHTS!$A$2:$F$4,2,FALSE)+G1992*VLOOKUP(E1992,WEIGHTS!$A$2:$F$4,3,FALSE)+H1992*VLOOKUP(E1992,WEIGHTS!$A$2:$F$4,4,FALSE)+I1992*VLOOKUP(E1992,WEIGHTS!$A$2:$F$4,5,FALSE)+J1992*VLOOKUP(E1992,WEIGHTS!$A$2:$F$4,6,FALSE))</f>
        <v/>
      </c>
      <c r="N1992" s="2" t="str">
        <f t="shared" si="4"/>
        <v/>
      </c>
    </row>
    <row r="1993" ht="15.75" customHeight="1">
      <c r="A1993" s="3"/>
      <c r="B1993" s="2" t="str">
        <f t="shared" si="1"/>
        <v/>
      </c>
      <c r="E1993" s="2"/>
      <c r="F1993" s="2"/>
      <c r="G1993" s="2"/>
      <c r="H1993" s="2"/>
      <c r="I1993" s="2"/>
      <c r="J1993" s="2"/>
      <c r="K1993" s="2" t="str">
        <f t="shared" si="2"/>
        <v/>
      </c>
      <c r="L1993" s="2" t="str">
        <f t="shared" si="3"/>
        <v>No</v>
      </c>
      <c r="M1993" s="2" t="str">
        <f>IF(K1993="","",F1993*VLOOKUP(E1993,WEIGHTS!$A$2:$F$4,2,FALSE)+G1993*VLOOKUP(E1993,WEIGHTS!$A$2:$F$4,3,FALSE)+H1993*VLOOKUP(E1993,WEIGHTS!$A$2:$F$4,4,FALSE)+I1993*VLOOKUP(E1993,WEIGHTS!$A$2:$F$4,5,FALSE)+J1993*VLOOKUP(E1993,WEIGHTS!$A$2:$F$4,6,FALSE))</f>
        <v/>
      </c>
      <c r="N1993" s="2" t="str">
        <f t="shared" si="4"/>
        <v/>
      </c>
    </row>
    <row r="1994" ht="15.75" customHeight="1">
      <c r="A1994" s="3"/>
      <c r="B1994" s="2" t="str">
        <f t="shared" si="1"/>
        <v/>
      </c>
      <c r="E1994" s="2"/>
      <c r="F1994" s="2"/>
      <c r="G1994" s="2"/>
      <c r="H1994" s="2"/>
      <c r="I1994" s="2"/>
      <c r="J1994" s="2"/>
      <c r="K1994" s="2" t="str">
        <f t="shared" si="2"/>
        <v/>
      </c>
      <c r="L1994" s="2" t="str">
        <f t="shared" si="3"/>
        <v>No</v>
      </c>
      <c r="M1994" s="2" t="str">
        <f>IF(K1994="","",F1994*VLOOKUP(E1994,WEIGHTS!$A$2:$F$4,2,FALSE)+G1994*VLOOKUP(E1994,WEIGHTS!$A$2:$F$4,3,FALSE)+H1994*VLOOKUP(E1994,WEIGHTS!$A$2:$F$4,4,FALSE)+I1994*VLOOKUP(E1994,WEIGHTS!$A$2:$F$4,5,FALSE)+J1994*VLOOKUP(E1994,WEIGHTS!$A$2:$F$4,6,FALSE))</f>
        <v/>
      </c>
      <c r="N1994" s="2" t="str">
        <f t="shared" si="4"/>
        <v/>
      </c>
    </row>
    <row r="1995" ht="15.75" customHeight="1">
      <c r="A1995" s="3"/>
      <c r="B1995" s="2" t="str">
        <f t="shared" si="1"/>
        <v/>
      </c>
      <c r="E1995" s="2"/>
      <c r="F1995" s="2"/>
      <c r="G1995" s="2"/>
      <c r="H1995" s="2"/>
      <c r="I1995" s="2"/>
      <c r="J1995" s="2"/>
      <c r="K1995" s="2" t="str">
        <f t="shared" si="2"/>
        <v/>
      </c>
      <c r="L1995" s="2" t="str">
        <f t="shared" si="3"/>
        <v>No</v>
      </c>
      <c r="M1995" s="2" t="str">
        <f>IF(K1995="","",F1995*VLOOKUP(E1995,WEIGHTS!$A$2:$F$4,2,FALSE)+G1995*VLOOKUP(E1995,WEIGHTS!$A$2:$F$4,3,FALSE)+H1995*VLOOKUP(E1995,WEIGHTS!$A$2:$F$4,4,FALSE)+I1995*VLOOKUP(E1995,WEIGHTS!$A$2:$F$4,5,FALSE)+J1995*VLOOKUP(E1995,WEIGHTS!$A$2:$F$4,6,FALSE))</f>
        <v/>
      </c>
      <c r="N1995" s="2" t="str">
        <f t="shared" si="4"/>
        <v/>
      </c>
    </row>
    <row r="1996" ht="15.75" customHeight="1">
      <c r="A1996" s="3"/>
      <c r="B1996" s="2" t="str">
        <f t="shared" si="1"/>
        <v/>
      </c>
      <c r="E1996" s="2"/>
      <c r="F1996" s="2"/>
      <c r="G1996" s="2"/>
      <c r="H1996" s="2"/>
      <c r="I1996" s="2"/>
      <c r="J1996" s="2"/>
      <c r="K1996" s="2" t="str">
        <f t="shared" si="2"/>
        <v/>
      </c>
      <c r="L1996" s="2" t="str">
        <f t="shared" si="3"/>
        <v>No</v>
      </c>
      <c r="M1996" s="2" t="str">
        <f>IF(K1996="","",F1996*VLOOKUP(E1996,WEIGHTS!$A$2:$F$4,2,FALSE)+G1996*VLOOKUP(E1996,WEIGHTS!$A$2:$F$4,3,FALSE)+H1996*VLOOKUP(E1996,WEIGHTS!$A$2:$F$4,4,FALSE)+I1996*VLOOKUP(E1996,WEIGHTS!$A$2:$F$4,5,FALSE)+J1996*VLOOKUP(E1996,WEIGHTS!$A$2:$F$4,6,FALSE))</f>
        <v/>
      </c>
      <c r="N1996" s="2" t="str">
        <f t="shared" si="4"/>
        <v/>
      </c>
    </row>
    <row r="1997" ht="15.75" customHeight="1">
      <c r="A1997" s="3"/>
      <c r="B1997" s="2" t="str">
        <f t="shared" si="1"/>
        <v/>
      </c>
      <c r="E1997" s="2"/>
      <c r="F1997" s="2"/>
      <c r="G1997" s="2"/>
      <c r="H1997" s="2"/>
      <c r="I1997" s="2"/>
      <c r="J1997" s="2"/>
      <c r="K1997" s="2" t="str">
        <f t="shared" si="2"/>
        <v/>
      </c>
      <c r="L1997" s="2" t="str">
        <f t="shared" si="3"/>
        <v>No</v>
      </c>
      <c r="M1997" s="2" t="str">
        <f>IF(K1997="","",F1997*VLOOKUP(E1997,WEIGHTS!$A$2:$F$4,2,FALSE)+G1997*VLOOKUP(E1997,WEIGHTS!$A$2:$F$4,3,FALSE)+H1997*VLOOKUP(E1997,WEIGHTS!$A$2:$F$4,4,FALSE)+I1997*VLOOKUP(E1997,WEIGHTS!$A$2:$F$4,5,FALSE)+J1997*VLOOKUP(E1997,WEIGHTS!$A$2:$F$4,6,FALSE))</f>
        <v/>
      </c>
      <c r="N1997" s="2" t="str">
        <f t="shared" si="4"/>
        <v/>
      </c>
    </row>
    <row r="1998" ht="15.75" customHeight="1">
      <c r="A1998" s="3"/>
      <c r="B1998" s="2" t="str">
        <f t="shared" si="1"/>
        <v/>
      </c>
      <c r="E1998" s="2"/>
      <c r="F1998" s="2"/>
      <c r="G1998" s="2"/>
      <c r="H1998" s="2"/>
      <c r="I1998" s="2"/>
      <c r="J1998" s="2"/>
      <c r="K1998" s="2" t="str">
        <f t="shared" si="2"/>
        <v/>
      </c>
      <c r="L1998" s="2" t="str">
        <f t="shared" si="3"/>
        <v>No</v>
      </c>
      <c r="M1998" s="2" t="str">
        <f>IF(K1998="","",F1998*VLOOKUP(E1998,WEIGHTS!$A$2:$F$4,2,FALSE)+G1998*VLOOKUP(E1998,WEIGHTS!$A$2:$F$4,3,FALSE)+H1998*VLOOKUP(E1998,WEIGHTS!$A$2:$F$4,4,FALSE)+I1998*VLOOKUP(E1998,WEIGHTS!$A$2:$F$4,5,FALSE)+J1998*VLOOKUP(E1998,WEIGHTS!$A$2:$F$4,6,FALSE))</f>
        <v/>
      </c>
      <c r="N1998" s="2" t="str">
        <f t="shared" si="4"/>
        <v/>
      </c>
    </row>
    <row r="1999" ht="15.75" customHeight="1">
      <c r="A1999" s="3"/>
      <c r="B1999" s="2" t="str">
        <f t="shared" si="1"/>
        <v/>
      </c>
      <c r="E1999" s="2"/>
      <c r="F1999" s="2"/>
      <c r="G1999" s="2"/>
      <c r="H1999" s="2"/>
      <c r="I1999" s="2"/>
      <c r="J1999" s="2"/>
      <c r="K1999" s="2" t="str">
        <f t="shared" si="2"/>
        <v/>
      </c>
      <c r="L1999" s="2" t="str">
        <f t="shared" si="3"/>
        <v>No</v>
      </c>
      <c r="M1999" s="2" t="str">
        <f>IF(K1999="","",F1999*VLOOKUP(E1999,WEIGHTS!$A$2:$F$4,2,FALSE)+G1999*VLOOKUP(E1999,WEIGHTS!$A$2:$F$4,3,FALSE)+H1999*VLOOKUP(E1999,WEIGHTS!$A$2:$F$4,4,FALSE)+I1999*VLOOKUP(E1999,WEIGHTS!$A$2:$F$4,5,FALSE)+J1999*VLOOKUP(E1999,WEIGHTS!$A$2:$F$4,6,FALSE))</f>
        <v/>
      </c>
      <c r="N1999" s="2" t="str">
        <f t="shared" si="4"/>
        <v/>
      </c>
    </row>
    <row r="2000" ht="15.75" customHeight="1">
      <c r="A2000" s="3"/>
      <c r="B2000" s="2" t="str">
        <f t="shared" si="1"/>
        <v/>
      </c>
      <c r="E2000" s="2"/>
      <c r="F2000" s="2"/>
      <c r="G2000" s="2"/>
      <c r="H2000" s="2"/>
      <c r="I2000" s="2"/>
      <c r="J2000" s="2"/>
      <c r="K2000" s="2" t="str">
        <f t="shared" si="2"/>
        <v/>
      </c>
      <c r="L2000" s="2" t="str">
        <f t="shared" si="3"/>
        <v>No</v>
      </c>
      <c r="M2000" s="2" t="str">
        <f>IF(K2000="","",F2000*VLOOKUP(E2000,WEIGHTS!$A$2:$F$4,2,FALSE)+G2000*VLOOKUP(E2000,WEIGHTS!$A$2:$F$4,3,FALSE)+H2000*VLOOKUP(E2000,WEIGHTS!$A$2:$F$4,4,FALSE)+I2000*VLOOKUP(E2000,WEIGHTS!$A$2:$F$4,5,FALSE)+J2000*VLOOKUP(E2000,WEIGHTS!$A$2:$F$4,6,FALSE))</f>
        <v/>
      </c>
      <c r="N2000" s="2" t="str">
        <f t="shared" si="4"/>
        <v/>
      </c>
    </row>
  </sheetData>
  <conditionalFormatting sqref="N2:N2000">
    <cfRule type="expression" dxfId="0" priority="1">
      <formula>$N2="CRITICAL FAIL"</formula>
    </cfRule>
  </conditionalFormatting>
  <conditionalFormatting sqref="N2:N2000">
    <cfRule type="expression" dxfId="1" priority="2">
      <formula>$N2="LOW SCORE"</formula>
    </cfRule>
  </conditionalFormatting>
  <dataValidations>
    <dataValidation type="decimal" allowBlank="1" sqref="F2:J2000">
      <formula1>0.0</formula1>
      <formula2>4.0</formula2>
    </dataValidation>
    <dataValidation type="list" allowBlank="1" sqref="E2:E2000">
      <formula1>"Sales,Product,Technical"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6" width="12.0"/>
    <col customWidth="1" min="7" max="26" width="8.71"/>
  </cols>
  <sheetData>
    <row r="1" ht="21.75" customHeight="1">
      <c r="A1" s="1" t="s">
        <v>2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2" t="s">
        <v>19</v>
      </c>
      <c r="B2" s="4">
        <v>0.25</v>
      </c>
      <c r="C2" s="4">
        <v>0.3</v>
      </c>
      <c r="D2" s="4">
        <v>0.25</v>
      </c>
      <c r="E2" s="4">
        <v>0.05</v>
      </c>
      <c r="F2" s="4">
        <v>0.15</v>
      </c>
    </row>
    <row r="3">
      <c r="A3" s="2" t="s">
        <v>20</v>
      </c>
      <c r="B3" s="4">
        <v>0.3</v>
      </c>
      <c r="C3" s="4">
        <v>0.15</v>
      </c>
      <c r="D3" s="4">
        <v>0.2</v>
      </c>
      <c r="E3" s="4">
        <v>0.1</v>
      </c>
      <c r="F3" s="4">
        <v>0.25</v>
      </c>
    </row>
    <row r="4">
      <c r="A4" s="2" t="s">
        <v>21</v>
      </c>
      <c r="B4" s="4">
        <v>0.35</v>
      </c>
      <c r="C4" s="4">
        <v>0.1</v>
      </c>
      <c r="D4" s="4">
        <v>0.15</v>
      </c>
      <c r="E4" s="4">
        <v>0.3</v>
      </c>
      <c r="F4" s="4">
        <v>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4.0"/>
    <col customWidth="1" min="5" max="5" width="16.0"/>
    <col customWidth="1" min="6" max="6" width="20.0"/>
    <col customWidth="1" min="7" max="26" width="8.71"/>
  </cols>
  <sheetData>
    <row r="1" ht="21.75" customHeight="1">
      <c r="A1" s="1" t="s">
        <v>0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B2" s="2" t="str">
        <f>IF(A2="","",VLOOKUP(A2,ROSTER!$A$2:$F$500,3,FALSE))</f>
        <v/>
      </c>
      <c r="C2" s="2" t="str">
        <f>IF(A2="","",COUNTIF(CARD_LOG!$C:$C,A2))</f>
        <v/>
      </c>
      <c r="D2" s="4" t="str">
        <f>IF(A2="","",IFERROR(AVERAGEIF(CARD_LOG!$C:$C,A2,CARD_LOG!$M:$M),""))</f>
        <v/>
      </c>
      <c r="E2" s="2" t="str">
        <f>IF(A2="","",IF(COUNTIFS(CARD_LOG!$C:$C,A2,CARD_LOG!$L:$L,"Yes",CARD_LOG!$K:$K,"&lt;14")&gt;0,"No","Yes"))</f>
        <v/>
      </c>
      <c r="F2" s="2" t="str">
        <f t="shared" ref="F2:F501" si="1">IF(A2="","",IF(AND(E2="Yes",D2&gt;=18),"Advanced",IF(AND(E2="Yes",D2&gt;=16),"Operational","Remediation")))</f>
        <v/>
      </c>
    </row>
    <row r="3">
      <c r="B3" s="2" t="str">
        <f>IF(A3="","",VLOOKUP(A3,ROSTER!$A$2:$F$500,3,FALSE))</f>
        <v/>
      </c>
      <c r="C3" s="2" t="str">
        <f>IF(A3="","",COUNTIF(CARD_LOG!$C:$C,A3))</f>
        <v/>
      </c>
      <c r="D3" s="4" t="str">
        <f>IF(A3="","",IFERROR(AVERAGEIF(CARD_LOG!$C:$C,A3,CARD_LOG!$M:$M),""))</f>
        <v/>
      </c>
      <c r="E3" s="2" t="str">
        <f>IF(A3="","",IF(COUNTIFS(CARD_LOG!$C:$C,A3,CARD_LOG!$L:$L,"Yes",CARD_LOG!$K:$K,"&lt;14")&gt;0,"No","Yes"))</f>
        <v/>
      </c>
      <c r="F3" s="2" t="str">
        <f t="shared" si="1"/>
        <v/>
      </c>
    </row>
    <row r="4">
      <c r="B4" s="2" t="str">
        <f>IF(A4="","",VLOOKUP(A4,ROSTER!$A$2:$F$500,3,FALSE))</f>
        <v/>
      </c>
      <c r="C4" s="2" t="str">
        <f>IF(A4="","",COUNTIF(CARD_LOG!$C:$C,A4))</f>
        <v/>
      </c>
      <c r="D4" s="4" t="str">
        <f>IF(A4="","",IFERROR(AVERAGEIF(CARD_LOG!$C:$C,A4,CARD_LOG!$M:$M),""))</f>
        <v/>
      </c>
      <c r="E4" s="2" t="str">
        <f>IF(A4="","",IF(COUNTIFS(CARD_LOG!$C:$C,A4,CARD_LOG!$L:$L,"Yes",CARD_LOG!$K:$K,"&lt;14")&gt;0,"No","Yes"))</f>
        <v/>
      </c>
      <c r="F4" s="2" t="str">
        <f t="shared" si="1"/>
        <v/>
      </c>
    </row>
    <row r="5">
      <c r="B5" s="2" t="str">
        <f>IF(A5="","",VLOOKUP(A5,ROSTER!$A$2:$F$500,3,FALSE))</f>
        <v/>
      </c>
      <c r="C5" s="2" t="str">
        <f>IF(A5="","",COUNTIF(CARD_LOG!$C:$C,A5))</f>
        <v/>
      </c>
      <c r="D5" s="4" t="str">
        <f>IF(A5="","",IFERROR(AVERAGEIF(CARD_LOG!$C:$C,A5,CARD_LOG!$M:$M),""))</f>
        <v/>
      </c>
      <c r="E5" s="2" t="str">
        <f>IF(A5="","",IF(COUNTIFS(CARD_LOG!$C:$C,A5,CARD_LOG!$L:$L,"Yes",CARD_LOG!$K:$K,"&lt;14")&gt;0,"No","Yes"))</f>
        <v/>
      </c>
      <c r="F5" s="2" t="str">
        <f t="shared" si="1"/>
        <v/>
      </c>
    </row>
    <row r="6">
      <c r="B6" s="2" t="str">
        <f>IF(A6="","",VLOOKUP(A6,ROSTER!$A$2:$F$500,3,FALSE))</f>
        <v/>
      </c>
      <c r="C6" s="2" t="str">
        <f>IF(A6="","",COUNTIF(CARD_LOG!$C:$C,A6))</f>
        <v/>
      </c>
      <c r="D6" s="4" t="str">
        <f>IF(A6="","",IFERROR(AVERAGEIF(CARD_LOG!$C:$C,A6,CARD_LOG!$M:$M),""))</f>
        <v/>
      </c>
      <c r="E6" s="2" t="str">
        <f>IF(A6="","",IF(COUNTIFS(CARD_LOG!$C:$C,A6,CARD_LOG!$L:$L,"Yes",CARD_LOG!$K:$K,"&lt;14")&gt;0,"No","Yes"))</f>
        <v/>
      </c>
      <c r="F6" s="2" t="str">
        <f t="shared" si="1"/>
        <v/>
      </c>
    </row>
    <row r="7">
      <c r="B7" s="2" t="str">
        <f>IF(A7="","",VLOOKUP(A7,ROSTER!$A$2:$F$500,3,FALSE))</f>
        <v/>
      </c>
      <c r="C7" s="2" t="str">
        <f>IF(A7="","",COUNTIF(CARD_LOG!$C:$C,A7))</f>
        <v/>
      </c>
      <c r="D7" s="4" t="str">
        <f>IF(A7="","",IFERROR(AVERAGEIF(CARD_LOG!$C:$C,A7,CARD_LOG!$M:$M),""))</f>
        <v/>
      </c>
      <c r="E7" s="2" t="str">
        <f>IF(A7="","",IF(COUNTIFS(CARD_LOG!$C:$C,A7,CARD_LOG!$L:$L,"Yes",CARD_LOG!$K:$K,"&lt;14")&gt;0,"No","Yes"))</f>
        <v/>
      </c>
      <c r="F7" s="2" t="str">
        <f t="shared" si="1"/>
        <v/>
      </c>
    </row>
    <row r="8">
      <c r="B8" s="2" t="str">
        <f>IF(A8="","",VLOOKUP(A8,ROSTER!$A$2:$F$500,3,FALSE))</f>
        <v/>
      </c>
      <c r="C8" s="2" t="str">
        <f>IF(A8="","",COUNTIF(CARD_LOG!$C:$C,A8))</f>
        <v/>
      </c>
      <c r="D8" s="4" t="str">
        <f>IF(A8="","",IFERROR(AVERAGEIF(CARD_LOG!$C:$C,A8,CARD_LOG!$M:$M),""))</f>
        <v/>
      </c>
      <c r="E8" s="2" t="str">
        <f>IF(A8="","",IF(COUNTIFS(CARD_LOG!$C:$C,A8,CARD_LOG!$L:$L,"Yes",CARD_LOG!$K:$K,"&lt;14")&gt;0,"No","Yes"))</f>
        <v/>
      </c>
      <c r="F8" s="2" t="str">
        <f t="shared" si="1"/>
        <v/>
      </c>
    </row>
    <row r="9">
      <c r="B9" s="2" t="str">
        <f>IF(A9="","",VLOOKUP(A9,ROSTER!$A$2:$F$500,3,FALSE))</f>
        <v/>
      </c>
      <c r="C9" s="2" t="str">
        <f>IF(A9="","",COUNTIF(CARD_LOG!$C:$C,A9))</f>
        <v/>
      </c>
      <c r="D9" s="4" t="str">
        <f>IF(A9="","",IFERROR(AVERAGEIF(CARD_LOG!$C:$C,A9,CARD_LOG!$M:$M),""))</f>
        <v/>
      </c>
      <c r="E9" s="2" t="str">
        <f>IF(A9="","",IF(COUNTIFS(CARD_LOG!$C:$C,A9,CARD_LOG!$L:$L,"Yes",CARD_LOG!$K:$K,"&lt;14")&gt;0,"No","Yes"))</f>
        <v/>
      </c>
      <c r="F9" s="2" t="str">
        <f t="shared" si="1"/>
        <v/>
      </c>
    </row>
    <row r="10">
      <c r="B10" s="2" t="str">
        <f>IF(A10="","",VLOOKUP(A10,ROSTER!$A$2:$F$500,3,FALSE))</f>
        <v/>
      </c>
      <c r="C10" s="2" t="str">
        <f>IF(A10="","",COUNTIF(CARD_LOG!$C:$C,A10))</f>
        <v/>
      </c>
      <c r="D10" s="4" t="str">
        <f>IF(A10="","",IFERROR(AVERAGEIF(CARD_LOG!$C:$C,A10,CARD_LOG!$M:$M),""))</f>
        <v/>
      </c>
      <c r="E10" s="2" t="str">
        <f>IF(A10="","",IF(COUNTIFS(CARD_LOG!$C:$C,A10,CARD_LOG!$L:$L,"Yes",CARD_LOG!$K:$K,"&lt;14")&gt;0,"No","Yes"))</f>
        <v/>
      </c>
      <c r="F10" s="2" t="str">
        <f t="shared" si="1"/>
        <v/>
      </c>
    </row>
    <row r="11">
      <c r="B11" s="2" t="str">
        <f>IF(A11="","",VLOOKUP(A11,ROSTER!$A$2:$F$500,3,FALSE))</f>
        <v/>
      </c>
      <c r="C11" s="2" t="str">
        <f>IF(A11="","",COUNTIF(CARD_LOG!$C:$C,A11))</f>
        <v/>
      </c>
      <c r="D11" s="4" t="str">
        <f>IF(A11="","",IFERROR(AVERAGEIF(CARD_LOG!$C:$C,A11,CARD_LOG!$M:$M),""))</f>
        <v/>
      </c>
      <c r="E11" s="2" t="str">
        <f>IF(A11="","",IF(COUNTIFS(CARD_LOG!$C:$C,A11,CARD_LOG!$L:$L,"Yes",CARD_LOG!$K:$K,"&lt;14")&gt;0,"No","Yes"))</f>
        <v/>
      </c>
      <c r="F11" s="2" t="str">
        <f t="shared" si="1"/>
        <v/>
      </c>
    </row>
    <row r="12">
      <c r="B12" s="2" t="str">
        <f>IF(A12="","",VLOOKUP(A12,ROSTER!$A$2:$F$500,3,FALSE))</f>
        <v/>
      </c>
      <c r="C12" s="2" t="str">
        <f>IF(A12="","",COUNTIF(CARD_LOG!$C:$C,A12))</f>
        <v/>
      </c>
      <c r="D12" s="4" t="str">
        <f>IF(A12="","",IFERROR(AVERAGEIF(CARD_LOG!$C:$C,A12,CARD_LOG!$M:$M),""))</f>
        <v/>
      </c>
      <c r="E12" s="2" t="str">
        <f>IF(A12="","",IF(COUNTIFS(CARD_LOG!$C:$C,A12,CARD_LOG!$L:$L,"Yes",CARD_LOG!$K:$K,"&lt;14")&gt;0,"No","Yes"))</f>
        <v/>
      </c>
      <c r="F12" s="2" t="str">
        <f t="shared" si="1"/>
        <v/>
      </c>
    </row>
    <row r="13">
      <c r="B13" s="2" t="str">
        <f>IF(A13="","",VLOOKUP(A13,ROSTER!$A$2:$F$500,3,FALSE))</f>
        <v/>
      </c>
      <c r="C13" s="2" t="str">
        <f>IF(A13="","",COUNTIF(CARD_LOG!$C:$C,A13))</f>
        <v/>
      </c>
      <c r="D13" s="4" t="str">
        <f>IF(A13="","",IFERROR(AVERAGEIF(CARD_LOG!$C:$C,A13,CARD_LOG!$M:$M),""))</f>
        <v/>
      </c>
      <c r="E13" s="2" t="str">
        <f>IF(A13="","",IF(COUNTIFS(CARD_LOG!$C:$C,A13,CARD_LOG!$L:$L,"Yes",CARD_LOG!$K:$K,"&lt;14")&gt;0,"No","Yes"))</f>
        <v/>
      </c>
      <c r="F13" s="2" t="str">
        <f t="shared" si="1"/>
        <v/>
      </c>
    </row>
    <row r="14">
      <c r="B14" s="2" t="str">
        <f>IF(A14="","",VLOOKUP(A14,ROSTER!$A$2:$F$500,3,FALSE))</f>
        <v/>
      </c>
      <c r="C14" s="2" t="str">
        <f>IF(A14="","",COUNTIF(CARD_LOG!$C:$C,A14))</f>
        <v/>
      </c>
      <c r="D14" s="4" t="str">
        <f>IF(A14="","",IFERROR(AVERAGEIF(CARD_LOG!$C:$C,A14,CARD_LOG!$M:$M),""))</f>
        <v/>
      </c>
      <c r="E14" s="2" t="str">
        <f>IF(A14="","",IF(COUNTIFS(CARD_LOG!$C:$C,A14,CARD_LOG!$L:$L,"Yes",CARD_LOG!$K:$K,"&lt;14")&gt;0,"No","Yes"))</f>
        <v/>
      </c>
      <c r="F14" s="2" t="str">
        <f t="shared" si="1"/>
        <v/>
      </c>
    </row>
    <row r="15">
      <c r="B15" s="2" t="str">
        <f>IF(A15="","",VLOOKUP(A15,ROSTER!$A$2:$F$500,3,FALSE))</f>
        <v/>
      </c>
      <c r="C15" s="2" t="str">
        <f>IF(A15="","",COUNTIF(CARD_LOG!$C:$C,A15))</f>
        <v/>
      </c>
      <c r="D15" s="4" t="str">
        <f>IF(A15="","",IFERROR(AVERAGEIF(CARD_LOG!$C:$C,A15,CARD_LOG!$M:$M),""))</f>
        <v/>
      </c>
      <c r="E15" s="2" t="str">
        <f>IF(A15="","",IF(COUNTIFS(CARD_LOG!$C:$C,A15,CARD_LOG!$L:$L,"Yes",CARD_LOG!$K:$K,"&lt;14")&gt;0,"No","Yes"))</f>
        <v/>
      </c>
      <c r="F15" s="2" t="str">
        <f t="shared" si="1"/>
        <v/>
      </c>
    </row>
    <row r="16">
      <c r="B16" s="2" t="str">
        <f>IF(A16="","",VLOOKUP(A16,ROSTER!$A$2:$F$500,3,FALSE))</f>
        <v/>
      </c>
      <c r="C16" s="2" t="str">
        <f>IF(A16="","",COUNTIF(CARD_LOG!$C:$C,A16))</f>
        <v/>
      </c>
      <c r="D16" s="4" t="str">
        <f>IF(A16="","",IFERROR(AVERAGEIF(CARD_LOG!$C:$C,A16,CARD_LOG!$M:$M),""))</f>
        <v/>
      </c>
      <c r="E16" s="2" t="str">
        <f>IF(A16="","",IF(COUNTIFS(CARD_LOG!$C:$C,A16,CARD_LOG!$L:$L,"Yes",CARD_LOG!$K:$K,"&lt;14")&gt;0,"No","Yes"))</f>
        <v/>
      </c>
      <c r="F16" s="2" t="str">
        <f t="shared" si="1"/>
        <v/>
      </c>
    </row>
    <row r="17">
      <c r="B17" s="2" t="str">
        <f>IF(A17="","",VLOOKUP(A17,ROSTER!$A$2:$F$500,3,FALSE))</f>
        <v/>
      </c>
      <c r="C17" s="2" t="str">
        <f>IF(A17="","",COUNTIF(CARD_LOG!$C:$C,A17))</f>
        <v/>
      </c>
      <c r="D17" s="4" t="str">
        <f>IF(A17="","",IFERROR(AVERAGEIF(CARD_LOG!$C:$C,A17,CARD_LOG!$M:$M),""))</f>
        <v/>
      </c>
      <c r="E17" s="2" t="str">
        <f>IF(A17="","",IF(COUNTIFS(CARD_LOG!$C:$C,A17,CARD_LOG!$L:$L,"Yes",CARD_LOG!$K:$K,"&lt;14")&gt;0,"No","Yes"))</f>
        <v/>
      </c>
      <c r="F17" s="2" t="str">
        <f t="shared" si="1"/>
        <v/>
      </c>
    </row>
    <row r="18">
      <c r="B18" s="2" t="str">
        <f>IF(A18="","",VLOOKUP(A18,ROSTER!$A$2:$F$500,3,FALSE))</f>
        <v/>
      </c>
      <c r="C18" s="2" t="str">
        <f>IF(A18="","",COUNTIF(CARD_LOG!$C:$C,A18))</f>
        <v/>
      </c>
      <c r="D18" s="4" t="str">
        <f>IF(A18="","",IFERROR(AVERAGEIF(CARD_LOG!$C:$C,A18,CARD_LOG!$M:$M),""))</f>
        <v/>
      </c>
      <c r="E18" s="2" t="str">
        <f>IF(A18="","",IF(COUNTIFS(CARD_LOG!$C:$C,A18,CARD_LOG!$L:$L,"Yes",CARD_LOG!$K:$K,"&lt;14")&gt;0,"No","Yes"))</f>
        <v/>
      </c>
      <c r="F18" s="2" t="str">
        <f t="shared" si="1"/>
        <v/>
      </c>
    </row>
    <row r="19">
      <c r="B19" s="2" t="str">
        <f>IF(A19="","",VLOOKUP(A19,ROSTER!$A$2:$F$500,3,FALSE))</f>
        <v/>
      </c>
      <c r="C19" s="2" t="str">
        <f>IF(A19="","",COUNTIF(CARD_LOG!$C:$C,A19))</f>
        <v/>
      </c>
      <c r="D19" s="4" t="str">
        <f>IF(A19="","",IFERROR(AVERAGEIF(CARD_LOG!$C:$C,A19,CARD_LOG!$M:$M),""))</f>
        <v/>
      </c>
      <c r="E19" s="2" t="str">
        <f>IF(A19="","",IF(COUNTIFS(CARD_LOG!$C:$C,A19,CARD_LOG!$L:$L,"Yes",CARD_LOG!$K:$K,"&lt;14")&gt;0,"No","Yes"))</f>
        <v/>
      </c>
      <c r="F19" s="2" t="str">
        <f t="shared" si="1"/>
        <v/>
      </c>
    </row>
    <row r="20">
      <c r="B20" s="2" t="str">
        <f>IF(A20="","",VLOOKUP(A20,ROSTER!$A$2:$F$500,3,FALSE))</f>
        <v/>
      </c>
      <c r="C20" s="2" t="str">
        <f>IF(A20="","",COUNTIF(CARD_LOG!$C:$C,A20))</f>
        <v/>
      </c>
      <c r="D20" s="4" t="str">
        <f>IF(A20="","",IFERROR(AVERAGEIF(CARD_LOG!$C:$C,A20,CARD_LOG!$M:$M),""))</f>
        <v/>
      </c>
      <c r="E20" s="2" t="str">
        <f>IF(A20="","",IF(COUNTIFS(CARD_LOG!$C:$C,A20,CARD_LOG!$L:$L,"Yes",CARD_LOG!$K:$K,"&lt;14")&gt;0,"No","Yes"))</f>
        <v/>
      </c>
      <c r="F20" s="2" t="str">
        <f t="shared" si="1"/>
        <v/>
      </c>
    </row>
    <row r="21" ht="15.75" customHeight="1">
      <c r="B21" s="2" t="str">
        <f>IF(A21="","",VLOOKUP(A21,ROSTER!$A$2:$F$500,3,FALSE))</f>
        <v/>
      </c>
      <c r="C21" s="2" t="str">
        <f>IF(A21="","",COUNTIF(CARD_LOG!$C:$C,A21))</f>
        <v/>
      </c>
      <c r="D21" s="4" t="str">
        <f>IF(A21="","",IFERROR(AVERAGEIF(CARD_LOG!$C:$C,A21,CARD_LOG!$M:$M),""))</f>
        <v/>
      </c>
      <c r="E21" s="2" t="str">
        <f>IF(A21="","",IF(COUNTIFS(CARD_LOG!$C:$C,A21,CARD_LOG!$L:$L,"Yes",CARD_LOG!$K:$K,"&lt;14")&gt;0,"No","Yes"))</f>
        <v/>
      </c>
      <c r="F21" s="2" t="str">
        <f t="shared" si="1"/>
        <v/>
      </c>
    </row>
    <row r="22" ht="15.75" customHeight="1">
      <c r="B22" s="2" t="str">
        <f>IF(A22="","",VLOOKUP(A22,ROSTER!$A$2:$F$500,3,FALSE))</f>
        <v/>
      </c>
      <c r="C22" s="2" t="str">
        <f>IF(A22="","",COUNTIF(CARD_LOG!$C:$C,A22))</f>
        <v/>
      </c>
      <c r="D22" s="4" t="str">
        <f>IF(A22="","",IFERROR(AVERAGEIF(CARD_LOG!$C:$C,A22,CARD_LOG!$M:$M),""))</f>
        <v/>
      </c>
      <c r="E22" s="2" t="str">
        <f>IF(A22="","",IF(COUNTIFS(CARD_LOG!$C:$C,A22,CARD_LOG!$L:$L,"Yes",CARD_LOG!$K:$K,"&lt;14")&gt;0,"No","Yes"))</f>
        <v/>
      </c>
      <c r="F22" s="2" t="str">
        <f t="shared" si="1"/>
        <v/>
      </c>
    </row>
    <row r="23" ht="15.75" customHeight="1">
      <c r="B23" s="2" t="str">
        <f>IF(A23="","",VLOOKUP(A23,ROSTER!$A$2:$F$500,3,FALSE))</f>
        <v/>
      </c>
      <c r="C23" s="2" t="str">
        <f>IF(A23="","",COUNTIF(CARD_LOG!$C:$C,A23))</f>
        <v/>
      </c>
      <c r="D23" s="4" t="str">
        <f>IF(A23="","",IFERROR(AVERAGEIF(CARD_LOG!$C:$C,A23,CARD_LOG!$M:$M),""))</f>
        <v/>
      </c>
      <c r="E23" s="2" t="str">
        <f>IF(A23="","",IF(COUNTIFS(CARD_LOG!$C:$C,A23,CARD_LOG!$L:$L,"Yes",CARD_LOG!$K:$K,"&lt;14")&gt;0,"No","Yes"))</f>
        <v/>
      </c>
      <c r="F23" s="2" t="str">
        <f t="shared" si="1"/>
        <v/>
      </c>
    </row>
    <row r="24" ht="15.75" customHeight="1">
      <c r="B24" s="2" t="str">
        <f>IF(A24="","",VLOOKUP(A24,ROSTER!$A$2:$F$500,3,FALSE))</f>
        <v/>
      </c>
      <c r="C24" s="2" t="str">
        <f>IF(A24="","",COUNTIF(CARD_LOG!$C:$C,A24))</f>
        <v/>
      </c>
      <c r="D24" s="4" t="str">
        <f>IF(A24="","",IFERROR(AVERAGEIF(CARD_LOG!$C:$C,A24,CARD_LOG!$M:$M),""))</f>
        <v/>
      </c>
      <c r="E24" s="2" t="str">
        <f>IF(A24="","",IF(COUNTIFS(CARD_LOG!$C:$C,A24,CARD_LOG!$L:$L,"Yes",CARD_LOG!$K:$K,"&lt;14")&gt;0,"No","Yes"))</f>
        <v/>
      </c>
      <c r="F24" s="2" t="str">
        <f t="shared" si="1"/>
        <v/>
      </c>
    </row>
    <row r="25" ht="15.75" customHeight="1">
      <c r="B25" s="2" t="str">
        <f>IF(A25="","",VLOOKUP(A25,ROSTER!$A$2:$F$500,3,FALSE))</f>
        <v/>
      </c>
      <c r="C25" s="2" t="str">
        <f>IF(A25="","",COUNTIF(CARD_LOG!$C:$C,A25))</f>
        <v/>
      </c>
      <c r="D25" s="4" t="str">
        <f>IF(A25="","",IFERROR(AVERAGEIF(CARD_LOG!$C:$C,A25,CARD_LOG!$M:$M),""))</f>
        <v/>
      </c>
      <c r="E25" s="2" t="str">
        <f>IF(A25="","",IF(COUNTIFS(CARD_LOG!$C:$C,A25,CARD_LOG!$L:$L,"Yes",CARD_LOG!$K:$K,"&lt;14")&gt;0,"No","Yes"))</f>
        <v/>
      </c>
      <c r="F25" s="2" t="str">
        <f t="shared" si="1"/>
        <v/>
      </c>
    </row>
    <row r="26" ht="15.75" customHeight="1">
      <c r="B26" s="2" t="str">
        <f>IF(A26="","",VLOOKUP(A26,ROSTER!$A$2:$F$500,3,FALSE))</f>
        <v/>
      </c>
      <c r="C26" s="2" t="str">
        <f>IF(A26="","",COUNTIF(CARD_LOG!$C:$C,A26))</f>
        <v/>
      </c>
      <c r="D26" s="4" t="str">
        <f>IF(A26="","",IFERROR(AVERAGEIF(CARD_LOG!$C:$C,A26,CARD_LOG!$M:$M),""))</f>
        <v/>
      </c>
      <c r="E26" s="2" t="str">
        <f>IF(A26="","",IF(COUNTIFS(CARD_LOG!$C:$C,A26,CARD_LOG!$L:$L,"Yes",CARD_LOG!$K:$K,"&lt;14")&gt;0,"No","Yes"))</f>
        <v/>
      </c>
      <c r="F26" s="2" t="str">
        <f t="shared" si="1"/>
        <v/>
      </c>
    </row>
    <row r="27" ht="15.75" customHeight="1">
      <c r="B27" s="2" t="str">
        <f>IF(A27="","",VLOOKUP(A27,ROSTER!$A$2:$F$500,3,FALSE))</f>
        <v/>
      </c>
      <c r="C27" s="2" t="str">
        <f>IF(A27="","",COUNTIF(CARD_LOG!$C:$C,A27))</f>
        <v/>
      </c>
      <c r="D27" s="4" t="str">
        <f>IF(A27="","",IFERROR(AVERAGEIF(CARD_LOG!$C:$C,A27,CARD_LOG!$M:$M),""))</f>
        <v/>
      </c>
      <c r="E27" s="2" t="str">
        <f>IF(A27="","",IF(COUNTIFS(CARD_LOG!$C:$C,A27,CARD_LOG!$L:$L,"Yes",CARD_LOG!$K:$K,"&lt;14")&gt;0,"No","Yes"))</f>
        <v/>
      </c>
      <c r="F27" s="2" t="str">
        <f t="shared" si="1"/>
        <v/>
      </c>
    </row>
    <row r="28" ht="15.75" customHeight="1">
      <c r="B28" s="2" t="str">
        <f>IF(A28="","",VLOOKUP(A28,ROSTER!$A$2:$F$500,3,FALSE))</f>
        <v/>
      </c>
      <c r="C28" s="2" t="str">
        <f>IF(A28="","",COUNTIF(CARD_LOG!$C:$C,A28))</f>
        <v/>
      </c>
      <c r="D28" s="4" t="str">
        <f>IF(A28="","",IFERROR(AVERAGEIF(CARD_LOG!$C:$C,A28,CARD_LOG!$M:$M),""))</f>
        <v/>
      </c>
      <c r="E28" s="2" t="str">
        <f>IF(A28="","",IF(COUNTIFS(CARD_LOG!$C:$C,A28,CARD_LOG!$L:$L,"Yes",CARD_LOG!$K:$K,"&lt;14")&gt;0,"No","Yes"))</f>
        <v/>
      </c>
      <c r="F28" s="2" t="str">
        <f t="shared" si="1"/>
        <v/>
      </c>
    </row>
    <row r="29" ht="15.75" customHeight="1">
      <c r="B29" s="2" t="str">
        <f>IF(A29="","",VLOOKUP(A29,ROSTER!$A$2:$F$500,3,FALSE))</f>
        <v/>
      </c>
      <c r="C29" s="2" t="str">
        <f>IF(A29="","",COUNTIF(CARD_LOG!$C:$C,A29))</f>
        <v/>
      </c>
      <c r="D29" s="4" t="str">
        <f>IF(A29="","",IFERROR(AVERAGEIF(CARD_LOG!$C:$C,A29,CARD_LOG!$M:$M),""))</f>
        <v/>
      </c>
      <c r="E29" s="2" t="str">
        <f>IF(A29="","",IF(COUNTIFS(CARD_LOG!$C:$C,A29,CARD_LOG!$L:$L,"Yes",CARD_LOG!$K:$K,"&lt;14")&gt;0,"No","Yes"))</f>
        <v/>
      </c>
      <c r="F29" s="2" t="str">
        <f t="shared" si="1"/>
        <v/>
      </c>
    </row>
    <row r="30" ht="15.75" customHeight="1">
      <c r="B30" s="2" t="str">
        <f>IF(A30="","",VLOOKUP(A30,ROSTER!$A$2:$F$500,3,FALSE))</f>
        <v/>
      </c>
      <c r="C30" s="2" t="str">
        <f>IF(A30="","",COUNTIF(CARD_LOG!$C:$C,A30))</f>
        <v/>
      </c>
      <c r="D30" s="4" t="str">
        <f>IF(A30="","",IFERROR(AVERAGEIF(CARD_LOG!$C:$C,A30,CARD_LOG!$M:$M),""))</f>
        <v/>
      </c>
      <c r="E30" s="2" t="str">
        <f>IF(A30="","",IF(COUNTIFS(CARD_LOG!$C:$C,A30,CARD_LOG!$L:$L,"Yes",CARD_LOG!$K:$K,"&lt;14")&gt;0,"No","Yes"))</f>
        <v/>
      </c>
      <c r="F30" s="2" t="str">
        <f t="shared" si="1"/>
        <v/>
      </c>
    </row>
    <row r="31" ht="15.75" customHeight="1">
      <c r="B31" s="2" t="str">
        <f>IF(A31="","",VLOOKUP(A31,ROSTER!$A$2:$F$500,3,FALSE))</f>
        <v/>
      </c>
      <c r="C31" s="2" t="str">
        <f>IF(A31="","",COUNTIF(CARD_LOG!$C:$C,A31))</f>
        <v/>
      </c>
      <c r="D31" s="4" t="str">
        <f>IF(A31="","",IFERROR(AVERAGEIF(CARD_LOG!$C:$C,A31,CARD_LOG!$M:$M),""))</f>
        <v/>
      </c>
      <c r="E31" s="2" t="str">
        <f>IF(A31="","",IF(COUNTIFS(CARD_LOG!$C:$C,A31,CARD_LOG!$L:$L,"Yes",CARD_LOG!$K:$K,"&lt;14")&gt;0,"No","Yes"))</f>
        <v/>
      </c>
      <c r="F31" s="2" t="str">
        <f t="shared" si="1"/>
        <v/>
      </c>
    </row>
    <row r="32" ht="15.75" customHeight="1">
      <c r="B32" s="2" t="str">
        <f>IF(A32="","",VLOOKUP(A32,ROSTER!$A$2:$F$500,3,FALSE))</f>
        <v/>
      </c>
      <c r="C32" s="2" t="str">
        <f>IF(A32="","",COUNTIF(CARD_LOG!$C:$C,A32))</f>
        <v/>
      </c>
      <c r="D32" s="4" t="str">
        <f>IF(A32="","",IFERROR(AVERAGEIF(CARD_LOG!$C:$C,A32,CARD_LOG!$M:$M),""))</f>
        <v/>
      </c>
      <c r="E32" s="2" t="str">
        <f>IF(A32="","",IF(COUNTIFS(CARD_LOG!$C:$C,A32,CARD_LOG!$L:$L,"Yes",CARD_LOG!$K:$K,"&lt;14")&gt;0,"No","Yes"))</f>
        <v/>
      </c>
      <c r="F32" s="2" t="str">
        <f t="shared" si="1"/>
        <v/>
      </c>
    </row>
    <row r="33" ht="15.75" customHeight="1">
      <c r="B33" s="2" t="str">
        <f>IF(A33="","",VLOOKUP(A33,ROSTER!$A$2:$F$500,3,FALSE))</f>
        <v/>
      </c>
      <c r="C33" s="2" t="str">
        <f>IF(A33="","",COUNTIF(CARD_LOG!$C:$C,A33))</f>
        <v/>
      </c>
      <c r="D33" s="4" t="str">
        <f>IF(A33="","",IFERROR(AVERAGEIF(CARD_LOG!$C:$C,A33,CARD_LOG!$M:$M),""))</f>
        <v/>
      </c>
      <c r="E33" s="2" t="str">
        <f>IF(A33="","",IF(COUNTIFS(CARD_LOG!$C:$C,A33,CARD_LOG!$L:$L,"Yes",CARD_LOG!$K:$K,"&lt;14")&gt;0,"No","Yes"))</f>
        <v/>
      </c>
      <c r="F33" s="2" t="str">
        <f t="shared" si="1"/>
        <v/>
      </c>
    </row>
    <row r="34" ht="15.75" customHeight="1">
      <c r="B34" s="2" t="str">
        <f>IF(A34="","",VLOOKUP(A34,ROSTER!$A$2:$F$500,3,FALSE))</f>
        <v/>
      </c>
      <c r="C34" s="2" t="str">
        <f>IF(A34="","",COUNTIF(CARD_LOG!$C:$C,A34))</f>
        <v/>
      </c>
      <c r="D34" s="4" t="str">
        <f>IF(A34="","",IFERROR(AVERAGEIF(CARD_LOG!$C:$C,A34,CARD_LOG!$M:$M),""))</f>
        <v/>
      </c>
      <c r="E34" s="2" t="str">
        <f>IF(A34="","",IF(COUNTIFS(CARD_LOG!$C:$C,A34,CARD_LOG!$L:$L,"Yes",CARD_LOG!$K:$K,"&lt;14")&gt;0,"No","Yes"))</f>
        <v/>
      </c>
      <c r="F34" s="2" t="str">
        <f t="shared" si="1"/>
        <v/>
      </c>
    </row>
    <row r="35" ht="15.75" customHeight="1">
      <c r="B35" s="2" t="str">
        <f>IF(A35="","",VLOOKUP(A35,ROSTER!$A$2:$F$500,3,FALSE))</f>
        <v/>
      </c>
      <c r="C35" s="2" t="str">
        <f>IF(A35="","",COUNTIF(CARD_LOG!$C:$C,A35))</f>
        <v/>
      </c>
      <c r="D35" s="4" t="str">
        <f>IF(A35="","",IFERROR(AVERAGEIF(CARD_LOG!$C:$C,A35,CARD_LOG!$M:$M),""))</f>
        <v/>
      </c>
      <c r="E35" s="2" t="str">
        <f>IF(A35="","",IF(COUNTIFS(CARD_LOG!$C:$C,A35,CARD_LOG!$L:$L,"Yes",CARD_LOG!$K:$K,"&lt;14")&gt;0,"No","Yes"))</f>
        <v/>
      </c>
      <c r="F35" s="2" t="str">
        <f t="shared" si="1"/>
        <v/>
      </c>
    </row>
    <row r="36" ht="15.75" customHeight="1">
      <c r="B36" s="2" t="str">
        <f>IF(A36="","",VLOOKUP(A36,ROSTER!$A$2:$F$500,3,FALSE))</f>
        <v/>
      </c>
      <c r="C36" s="2" t="str">
        <f>IF(A36="","",COUNTIF(CARD_LOG!$C:$C,A36))</f>
        <v/>
      </c>
      <c r="D36" s="4" t="str">
        <f>IF(A36="","",IFERROR(AVERAGEIF(CARD_LOG!$C:$C,A36,CARD_LOG!$M:$M),""))</f>
        <v/>
      </c>
      <c r="E36" s="2" t="str">
        <f>IF(A36="","",IF(COUNTIFS(CARD_LOG!$C:$C,A36,CARD_LOG!$L:$L,"Yes",CARD_LOG!$K:$K,"&lt;14")&gt;0,"No","Yes"))</f>
        <v/>
      </c>
      <c r="F36" s="2" t="str">
        <f t="shared" si="1"/>
        <v/>
      </c>
    </row>
    <row r="37" ht="15.75" customHeight="1">
      <c r="B37" s="2" t="str">
        <f>IF(A37="","",VLOOKUP(A37,ROSTER!$A$2:$F$500,3,FALSE))</f>
        <v/>
      </c>
      <c r="C37" s="2" t="str">
        <f>IF(A37="","",COUNTIF(CARD_LOG!$C:$C,A37))</f>
        <v/>
      </c>
      <c r="D37" s="4" t="str">
        <f>IF(A37="","",IFERROR(AVERAGEIF(CARD_LOG!$C:$C,A37,CARD_LOG!$M:$M),""))</f>
        <v/>
      </c>
      <c r="E37" s="2" t="str">
        <f>IF(A37="","",IF(COUNTIFS(CARD_LOG!$C:$C,A37,CARD_LOG!$L:$L,"Yes",CARD_LOG!$K:$K,"&lt;14")&gt;0,"No","Yes"))</f>
        <v/>
      </c>
      <c r="F37" s="2" t="str">
        <f t="shared" si="1"/>
        <v/>
      </c>
    </row>
    <row r="38" ht="15.75" customHeight="1">
      <c r="B38" s="2" t="str">
        <f>IF(A38="","",VLOOKUP(A38,ROSTER!$A$2:$F$500,3,FALSE))</f>
        <v/>
      </c>
      <c r="C38" s="2" t="str">
        <f>IF(A38="","",COUNTIF(CARD_LOG!$C:$C,A38))</f>
        <v/>
      </c>
      <c r="D38" s="4" t="str">
        <f>IF(A38="","",IFERROR(AVERAGEIF(CARD_LOG!$C:$C,A38,CARD_LOG!$M:$M),""))</f>
        <v/>
      </c>
      <c r="E38" s="2" t="str">
        <f>IF(A38="","",IF(COUNTIFS(CARD_LOG!$C:$C,A38,CARD_LOG!$L:$L,"Yes",CARD_LOG!$K:$K,"&lt;14")&gt;0,"No","Yes"))</f>
        <v/>
      </c>
      <c r="F38" s="2" t="str">
        <f t="shared" si="1"/>
        <v/>
      </c>
    </row>
    <row r="39" ht="15.75" customHeight="1">
      <c r="B39" s="2" t="str">
        <f>IF(A39="","",VLOOKUP(A39,ROSTER!$A$2:$F$500,3,FALSE))</f>
        <v/>
      </c>
      <c r="C39" s="2" t="str">
        <f>IF(A39="","",COUNTIF(CARD_LOG!$C:$C,A39))</f>
        <v/>
      </c>
      <c r="D39" s="4" t="str">
        <f>IF(A39="","",IFERROR(AVERAGEIF(CARD_LOG!$C:$C,A39,CARD_LOG!$M:$M),""))</f>
        <v/>
      </c>
      <c r="E39" s="2" t="str">
        <f>IF(A39="","",IF(COUNTIFS(CARD_LOG!$C:$C,A39,CARD_LOG!$L:$L,"Yes",CARD_LOG!$K:$K,"&lt;14")&gt;0,"No","Yes"))</f>
        <v/>
      </c>
      <c r="F39" s="2" t="str">
        <f t="shared" si="1"/>
        <v/>
      </c>
    </row>
    <row r="40" ht="15.75" customHeight="1">
      <c r="B40" s="2" t="str">
        <f>IF(A40="","",VLOOKUP(A40,ROSTER!$A$2:$F$500,3,FALSE))</f>
        <v/>
      </c>
      <c r="C40" s="2" t="str">
        <f>IF(A40="","",COUNTIF(CARD_LOG!$C:$C,A40))</f>
        <v/>
      </c>
      <c r="D40" s="4" t="str">
        <f>IF(A40="","",IFERROR(AVERAGEIF(CARD_LOG!$C:$C,A40,CARD_LOG!$M:$M),""))</f>
        <v/>
      </c>
      <c r="E40" s="2" t="str">
        <f>IF(A40="","",IF(COUNTIFS(CARD_LOG!$C:$C,A40,CARD_LOG!$L:$L,"Yes",CARD_LOG!$K:$K,"&lt;14")&gt;0,"No","Yes"))</f>
        <v/>
      </c>
      <c r="F40" s="2" t="str">
        <f t="shared" si="1"/>
        <v/>
      </c>
    </row>
    <row r="41" ht="15.75" customHeight="1">
      <c r="B41" s="2" t="str">
        <f>IF(A41="","",VLOOKUP(A41,ROSTER!$A$2:$F$500,3,FALSE))</f>
        <v/>
      </c>
      <c r="C41" s="2" t="str">
        <f>IF(A41="","",COUNTIF(CARD_LOG!$C:$C,A41))</f>
        <v/>
      </c>
      <c r="D41" s="4" t="str">
        <f>IF(A41="","",IFERROR(AVERAGEIF(CARD_LOG!$C:$C,A41,CARD_LOG!$M:$M),""))</f>
        <v/>
      </c>
      <c r="E41" s="2" t="str">
        <f>IF(A41="","",IF(COUNTIFS(CARD_LOG!$C:$C,A41,CARD_LOG!$L:$L,"Yes",CARD_LOG!$K:$K,"&lt;14")&gt;0,"No","Yes"))</f>
        <v/>
      </c>
      <c r="F41" s="2" t="str">
        <f t="shared" si="1"/>
        <v/>
      </c>
    </row>
    <row r="42" ht="15.75" customHeight="1">
      <c r="B42" s="2" t="str">
        <f>IF(A42="","",VLOOKUP(A42,ROSTER!$A$2:$F$500,3,FALSE))</f>
        <v/>
      </c>
      <c r="C42" s="2" t="str">
        <f>IF(A42="","",COUNTIF(CARD_LOG!$C:$C,A42))</f>
        <v/>
      </c>
      <c r="D42" s="4" t="str">
        <f>IF(A42="","",IFERROR(AVERAGEIF(CARD_LOG!$C:$C,A42,CARD_LOG!$M:$M),""))</f>
        <v/>
      </c>
      <c r="E42" s="2" t="str">
        <f>IF(A42="","",IF(COUNTIFS(CARD_LOG!$C:$C,A42,CARD_LOG!$L:$L,"Yes",CARD_LOG!$K:$K,"&lt;14")&gt;0,"No","Yes"))</f>
        <v/>
      </c>
      <c r="F42" s="2" t="str">
        <f t="shared" si="1"/>
        <v/>
      </c>
    </row>
    <row r="43" ht="15.75" customHeight="1">
      <c r="B43" s="2" t="str">
        <f>IF(A43="","",VLOOKUP(A43,ROSTER!$A$2:$F$500,3,FALSE))</f>
        <v/>
      </c>
      <c r="C43" s="2" t="str">
        <f>IF(A43="","",COUNTIF(CARD_LOG!$C:$C,A43))</f>
        <v/>
      </c>
      <c r="D43" s="4" t="str">
        <f>IF(A43="","",IFERROR(AVERAGEIF(CARD_LOG!$C:$C,A43,CARD_LOG!$M:$M),""))</f>
        <v/>
      </c>
      <c r="E43" s="2" t="str">
        <f>IF(A43="","",IF(COUNTIFS(CARD_LOG!$C:$C,A43,CARD_LOG!$L:$L,"Yes",CARD_LOG!$K:$K,"&lt;14")&gt;0,"No","Yes"))</f>
        <v/>
      </c>
      <c r="F43" s="2" t="str">
        <f t="shared" si="1"/>
        <v/>
      </c>
    </row>
    <row r="44" ht="15.75" customHeight="1">
      <c r="B44" s="2" t="str">
        <f>IF(A44="","",VLOOKUP(A44,ROSTER!$A$2:$F$500,3,FALSE))</f>
        <v/>
      </c>
      <c r="C44" s="2" t="str">
        <f>IF(A44="","",COUNTIF(CARD_LOG!$C:$C,A44))</f>
        <v/>
      </c>
      <c r="D44" s="4" t="str">
        <f>IF(A44="","",IFERROR(AVERAGEIF(CARD_LOG!$C:$C,A44,CARD_LOG!$M:$M),""))</f>
        <v/>
      </c>
      <c r="E44" s="2" t="str">
        <f>IF(A44="","",IF(COUNTIFS(CARD_LOG!$C:$C,A44,CARD_LOG!$L:$L,"Yes",CARD_LOG!$K:$K,"&lt;14")&gt;0,"No","Yes"))</f>
        <v/>
      </c>
      <c r="F44" s="2" t="str">
        <f t="shared" si="1"/>
        <v/>
      </c>
    </row>
    <row r="45" ht="15.75" customHeight="1">
      <c r="B45" s="2" t="str">
        <f>IF(A45="","",VLOOKUP(A45,ROSTER!$A$2:$F$500,3,FALSE))</f>
        <v/>
      </c>
      <c r="C45" s="2" t="str">
        <f>IF(A45="","",COUNTIF(CARD_LOG!$C:$C,A45))</f>
        <v/>
      </c>
      <c r="D45" s="4" t="str">
        <f>IF(A45="","",IFERROR(AVERAGEIF(CARD_LOG!$C:$C,A45,CARD_LOG!$M:$M),""))</f>
        <v/>
      </c>
      <c r="E45" s="2" t="str">
        <f>IF(A45="","",IF(COUNTIFS(CARD_LOG!$C:$C,A45,CARD_LOG!$L:$L,"Yes",CARD_LOG!$K:$K,"&lt;14")&gt;0,"No","Yes"))</f>
        <v/>
      </c>
      <c r="F45" s="2" t="str">
        <f t="shared" si="1"/>
        <v/>
      </c>
    </row>
    <row r="46" ht="15.75" customHeight="1">
      <c r="B46" s="2" t="str">
        <f>IF(A46="","",VLOOKUP(A46,ROSTER!$A$2:$F$500,3,FALSE))</f>
        <v/>
      </c>
      <c r="C46" s="2" t="str">
        <f>IF(A46="","",COUNTIF(CARD_LOG!$C:$C,A46))</f>
        <v/>
      </c>
      <c r="D46" s="4" t="str">
        <f>IF(A46="","",IFERROR(AVERAGEIF(CARD_LOG!$C:$C,A46,CARD_LOG!$M:$M),""))</f>
        <v/>
      </c>
      <c r="E46" s="2" t="str">
        <f>IF(A46="","",IF(COUNTIFS(CARD_LOG!$C:$C,A46,CARD_LOG!$L:$L,"Yes",CARD_LOG!$K:$K,"&lt;14")&gt;0,"No","Yes"))</f>
        <v/>
      </c>
      <c r="F46" s="2" t="str">
        <f t="shared" si="1"/>
        <v/>
      </c>
    </row>
    <row r="47" ht="15.75" customHeight="1">
      <c r="B47" s="2" t="str">
        <f>IF(A47="","",VLOOKUP(A47,ROSTER!$A$2:$F$500,3,FALSE))</f>
        <v/>
      </c>
      <c r="C47" s="2" t="str">
        <f>IF(A47="","",COUNTIF(CARD_LOG!$C:$C,A47))</f>
        <v/>
      </c>
      <c r="D47" s="4" t="str">
        <f>IF(A47="","",IFERROR(AVERAGEIF(CARD_LOG!$C:$C,A47,CARD_LOG!$M:$M),""))</f>
        <v/>
      </c>
      <c r="E47" s="2" t="str">
        <f>IF(A47="","",IF(COUNTIFS(CARD_LOG!$C:$C,A47,CARD_LOG!$L:$L,"Yes",CARD_LOG!$K:$K,"&lt;14")&gt;0,"No","Yes"))</f>
        <v/>
      </c>
      <c r="F47" s="2" t="str">
        <f t="shared" si="1"/>
        <v/>
      </c>
    </row>
    <row r="48" ht="15.75" customHeight="1">
      <c r="B48" s="2" t="str">
        <f>IF(A48="","",VLOOKUP(A48,ROSTER!$A$2:$F$500,3,FALSE))</f>
        <v/>
      </c>
      <c r="C48" s="2" t="str">
        <f>IF(A48="","",COUNTIF(CARD_LOG!$C:$C,A48))</f>
        <v/>
      </c>
      <c r="D48" s="4" t="str">
        <f>IF(A48="","",IFERROR(AVERAGEIF(CARD_LOG!$C:$C,A48,CARD_LOG!$M:$M),""))</f>
        <v/>
      </c>
      <c r="E48" s="2" t="str">
        <f>IF(A48="","",IF(COUNTIFS(CARD_LOG!$C:$C,A48,CARD_LOG!$L:$L,"Yes",CARD_LOG!$K:$K,"&lt;14")&gt;0,"No","Yes"))</f>
        <v/>
      </c>
      <c r="F48" s="2" t="str">
        <f t="shared" si="1"/>
        <v/>
      </c>
    </row>
    <row r="49" ht="15.75" customHeight="1">
      <c r="B49" s="2" t="str">
        <f>IF(A49="","",VLOOKUP(A49,ROSTER!$A$2:$F$500,3,FALSE))</f>
        <v/>
      </c>
      <c r="C49" s="2" t="str">
        <f>IF(A49="","",COUNTIF(CARD_LOG!$C:$C,A49))</f>
        <v/>
      </c>
      <c r="D49" s="4" t="str">
        <f>IF(A49="","",IFERROR(AVERAGEIF(CARD_LOG!$C:$C,A49,CARD_LOG!$M:$M),""))</f>
        <v/>
      </c>
      <c r="E49" s="2" t="str">
        <f>IF(A49="","",IF(COUNTIFS(CARD_LOG!$C:$C,A49,CARD_LOG!$L:$L,"Yes",CARD_LOG!$K:$K,"&lt;14")&gt;0,"No","Yes"))</f>
        <v/>
      </c>
      <c r="F49" s="2" t="str">
        <f t="shared" si="1"/>
        <v/>
      </c>
    </row>
    <row r="50" ht="15.75" customHeight="1">
      <c r="B50" s="2" t="str">
        <f>IF(A50="","",VLOOKUP(A50,ROSTER!$A$2:$F$500,3,FALSE))</f>
        <v/>
      </c>
      <c r="C50" s="2" t="str">
        <f>IF(A50="","",COUNTIF(CARD_LOG!$C:$C,A50))</f>
        <v/>
      </c>
      <c r="D50" s="4" t="str">
        <f>IF(A50="","",IFERROR(AVERAGEIF(CARD_LOG!$C:$C,A50,CARD_LOG!$M:$M),""))</f>
        <v/>
      </c>
      <c r="E50" s="2" t="str">
        <f>IF(A50="","",IF(COUNTIFS(CARD_LOG!$C:$C,A50,CARD_LOG!$L:$L,"Yes",CARD_LOG!$K:$K,"&lt;14")&gt;0,"No","Yes"))</f>
        <v/>
      </c>
      <c r="F50" s="2" t="str">
        <f t="shared" si="1"/>
        <v/>
      </c>
    </row>
    <row r="51" ht="15.75" customHeight="1">
      <c r="B51" s="2" t="str">
        <f>IF(A51="","",VLOOKUP(A51,ROSTER!$A$2:$F$500,3,FALSE))</f>
        <v/>
      </c>
      <c r="C51" s="2" t="str">
        <f>IF(A51="","",COUNTIF(CARD_LOG!$C:$C,A51))</f>
        <v/>
      </c>
      <c r="D51" s="4" t="str">
        <f>IF(A51="","",IFERROR(AVERAGEIF(CARD_LOG!$C:$C,A51,CARD_LOG!$M:$M),""))</f>
        <v/>
      </c>
      <c r="E51" s="2" t="str">
        <f>IF(A51="","",IF(COUNTIFS(CARD_LOG!$C:$C,A51,CARD_LOG!$L:$L,"Yes",CARD_LOG!$K:$K,"&lt;14")&gt;0,"No","Yes"))</f>
        <v/>
      </c>
      <c r="F51" s="2" t="str">
        <f t="shared" si="1"/>
        <v/>
      </c>
    </row>
    <row r="52" ht="15.75" customHeight="1">
      <c r="B52" s="2" t="str">
        <f>IF(A52="","",VLOOKUP(A52,ROSTER!$A$2:$F$500,3,FALSE))</f>
        <v/>
      </c>
      <c r="C52" s="2" t="str">
        <f>IF(A52="","",COUNTIF(CARD_LOG!$C:$C,A52))</f>
        <v/>
      </c>
      <c r="D52" s="4" t="str">
        <f>IF(A52="","",IFERROR(AVERAGEIF(CARD_LOG!$C:$C,A52,CARD_LOG!$M:$M),""))</f>
        <v/>
      </c>
      <c r="E52" s="2" t="str">
        <f>IF(A52="","",IF(COUNTIFS(CARD_LOG!$C:$C,A52,CARD_LOG!$L:$L,"Yes",CARD_LOG!$K:$K,"&lt;14")&gt;0,"No","Yes"))</f>
        <v/>
      </c>
      <c r="F52" s="2" t="str">
        <f t="shared" si="1"/>
        <v/>
      </c>
    </row>
    <row r="53" ht="15.75" customHeight="1">
      <c r="B53" s="2" t="str">
        <f>IF(A53="","",VLOOKUP(A53,ROSTER!$A$2:$F$500,3,FALSE))</f>
        <v/>
      </c>
      <c r="C53" s="2" t="str">
        <f>IF(A53="","",COUNTIF(CARD_LOG!$C:$C,A53))</f>
        <v/>
      </c>
      <c r="D53" s="4" t="str">
        <f>IF(A53="","",IFERROR(AVERAGEIF(CARD_LOG!$C:$C,A53,CARD_LOG!$M:$M),""))</f>
        <v/>
      </c>
      <c r="E53" s="2" t="str">
        <f>IF(A53="","",IF(COUNTIFS(CARD_LOG!$C:$C,A53,CARD_LOG!$L:$L,"Yes",CARD_LOG!$K:$K,"&lt;14")&gt;0,"No","Yes"))</f>
        <v/>
      </c>
      <c r="F53" s="2" t="str">
        <f t="shared" si="1"/>
        <v/>
      </c>
    </row>
    <row r="54" ht="15.75" customHeight="1">
      <c r="B54" s="2" t="str">
        <f>IF(A54="","",VLOOKUP(A54,ROSTER!$A$2:$F$500,3,FALSE))</f>
        <v/>
      </c>
      <c r="C54" s="2" t="str">
        <f>IF(A54="","",COUNTIF(CARD_LOG!$C:$C,A54))</f>
        <v/>
      </c>
      <c r="D54" s="4" t="str">
        <f>IF(A54="","",IFERROR(AVERAGEIF(CARD_LOG!$C:$C,A54,CARD_LOG!$M:$M),""))</f>
        <v/>
      </c>
      <c r="E54" s="2" t="str">
        <f>IF(A54="","",IF(COUNTIFS(CARD_LOG!$C:$C,A54,CARD_LOG!$L:$L,"Yes",CARD_LOG!$K:$K,"&lt;14")&gt;0,"No","Yes"))</f>
        <v/>
      </c>
      <c r="F54" s="2" t="str">
        <f t="shared" si="1"/>
        <v/>
      </c>
    </row>
    <row r="55" ht="15.75" customHeight="1">
      <c r="B55" s="2" t="str">
        <f>IF(A55="","",VLOOKUP(A55,ROSTER!$A$2:$F$500,3,FALSE))</f>
        <v/>
      </c>
      <c r="C55" s="2" t="str">
        <f>IF(A55="","",COUNTIF(CARD_LOG!$C:$C,A55))</f>
        <v/>
      </c>
      <c r="D55" s="4" t="str">
        <f>IF(A55="","",IFERROR(AVERAGEIF(CARD_LOG!$C:$C,A55,CARD_LOG!$M:$M),""))</f>
        <v/>
      </c>
      <c r="E55" s="2" t="str">
        <f>IF(A55="","",IF(COUNTIFS(CARD_LOG!$C:$C,A55,CARD_LOG!$L:$L,"Yes",CARD_LOG!$K:$K,"&lt;14")&gt;0,"No","Yes"))</f>
        <v/>
      </c>
      <c r="F55" s="2" t="str">
        <f t="shared" si="1"/>
        <v/>
      </c>
    </row>
    <row r="56" ht="15.75" customHeight="1">
      <c r="B56" s="2" t="str">
        <f>IF(A56="","",VLOOKUP(A56,ROSTER!$A$2:$F$500,3,FALSE))</f>
        <v/>
      </c>
      <c r="C56" s="2" t="str">
        <f>IF(A56="","",COUNTIF(CARD_LOG!$C:$C,A56))</f>
        <v/>
      </c>
      <c r="D56" s="4" t="str">
        <f>IF(A56="","",IFERROR(AVERAGEIF(CARD_LOG!$C:$C,A56,CARD_LOG!$M:$M),""))</f>
        <v/>
      </c>
      <c r="E56" s="2" t="str">
        <f>IF(A56="","",IF(COUNTIFS(CARD_LOG!$C:$C,A56,CARD_LOG!$L:$L,"Yes",CARD_LOG!$K:$K,"&lt;14")&gt;0,"No","Yes"))</f>
        <v/>
      </c>
      <c r="F56" s="2" t="str">
        <f t="shared" si="1"/>
        <v/>
      </c>
    </row>
    <row r="57" ht="15.75" customHeight="1">
      <c r="B57" s="2" t="str">
        <f>IF(A57="","",VLOOKUP(A57,ROSTER!$A$2:$F$500,3,FALSE))</f>
        <v/>
      </c>
      <c r="C57" s="2" t="str">
        <f>IF(A57="","",COUNTIF(CARD_LOG!$C:$C,A57))</f>
        <v/>
      </c>
      <c r="D57" s="4" t="str">
        <f>IF(A57="","",IFERROR(AVERAGEIF(CARD_LOG!$C:$C,A57,CARD_LOG!$M:$M),""))</f>
        <v/>
      </c>
      <c r="E57" s="2" t="str">
        <f>IF(A57="","",IF(COUNTIFS(CARD_LOG!$C:$C,A57,CARD_LOG!$L:$L,"Yes",CARD_LOG!$K:$K,"&lt;14")&gt;0,"No","Yes"))</f>
        <v/>
      </c>
      <c r="F57" s="2" t="str">
        <f t="shared" si="1"/>
        <v/>
      </c>
    </row>
    <row r="58" ht="15.75" customHeight="1">
      <c r="B58" s="2" t="str">
        <f>IF(A58="","",VLOOKUP(A58,ROSTER!$A$2:$F$500,3,FALSE))</f>
        <v/>
      </c>
      <c r="C58" s="2" t="str">
        <f>IF(A58="","",COUNTIF(CARD_LOG!$C:$C,A58))</f>
        <v/>
      </c>
      <c r="D58" s="4" t="str">
        <f>IF(A58="","",IFERROR(AVERAGEIF(CARD_LOG!$C:$C,A58,CARD_LOG!$M:$M),""))</f>
        <v/>
      </c>
      <c r="E58" s="2" t="str">
        <f>IF(A58="","",IF(COUNTIFS(CARD_LOG!$C:$C,A58,CARD_LOG!$L:$L,"Yes",CARD_LOG!$K:$K,"&lt;14")&gt;0,"No","Yes"))</f>
        <v/>
      </c>
      <c r="F58" s="2" t="str">
        <f t="shared" si="1"/>
        <v/>
      </c>
    </row>
    <row r="59" ht="15.75" customHeight="1">
      <c r="B59" s="2" t="str">
        <f>IF(A59="","",VLOOKUP(A59,ROSTER!$A$2:$F$500,3,FALSE))</f>
        <v/>
      </c>
      <c r="C59" s="2" t="str">
        <f>IF(A59="","",COUNTIF(CARD_LOG!$C:$C,A59))</f>
        <v/>
      </c>
      <c r="D59" s="4" t="str">
        <f>IF(A59="","",IFERROR(AVERAGEIF(CARD_LOG!$C:$C,A59,CARD_LOG!$M:$M),""))</f>
        <v/>
      </c>
      <c r="E59" s="2" t="str">
        <f>IF(A59="","",IF(COUNTIFS(CARD_LOG!$C:$C,A59,CARD_LOG!$L:$L,"Yes",CARD_LOG!$K:$K,"&lt;14")&gt;0,"No","Yes"))</f>
        <v/>
      </c>
      <c r="F59" s="2" t="str">
        <f t="shared" si="1"/>
        <v/>
      </c>
    </row>
    <row r="60" ht="15.75" customHeight="1">
      <c r="B60" s="2" t="str">
        <f>IF(A60="","",VLOOKUP(A60,ROSTER!$A$2:$F$500,3,FALSE))</f>
        <v/>
      </c>
      <c r="C60" s="2" t="str">
        <f>IF(A60="","",COUNTIF(CARD_LOG!$C:$C,A60))</f>
        <v/>
      </c>
      <c r="D60" s="4" t="str">
        <f>IF(A60="","",IFERROR(AVERAGEIF(CARD_LOG!$C:$C,A60,CARD_LOG!$M:$M),""))</f>
        <v/>
      </c>
      <c r="E60" s="2" t="str">
        <f>IF(A60="","",IF(COUNTIFS(CARD_LOG!$C:$C,A60,CARD_LOG!$L:$L,"Yes",CARD_LOG!$K:$K,"&lt;14")&gt;0,"No","Yes"))</f>
        <v/>
      </c>
      <c r="F60" s="2" t="str">
        <f t="shared" si="1"/>
        <v/>
      </c>
    </row>
    <row r="61" ht="15.75" customHeight="1">
      <c r="B61" s="2" t="str">
        <f>IF(A61="","",VLOOKUP(A61,ROSTER!$A$2:$F$500,3,FALSE))</f>
        <v/>
      </c>
      <c r="C61" s="2" t="str">
        <f>IF(A61="","",COUNTIF(CARD_LOG!$C:$C,A61))</f>
        <v/>
      </c>
      <c r="D61" s="4" t="str">
        <f>IF(A61="","",IFERROR(AVERAGEIF(CARD_LOG!$C:$C,A61,CARD_LOG!$M:$M),""))</f>
        <v/>
      </c>
      <c r="E61" s="2" t="str">
        <f>IF(A61="","",IF(COUNTIFS(CARD_LOG!$C:$C,A61,CARD_LOG!$L:$L,"Yes",CARD_LOG!$K:$K,"&lt;14")&gt;0,"No","Yes"))</f>
        <v/>
      </c>
      <c r="F61" s="2" t="str">
        <f t="shared" si="1"/>
        <v/>
      </c>
    </row>
    <row r="62" ht="15.75" customHeight="1">
      <c r="B62" s="2" t="str">
        <f>IF(A62="","",VLOOKUP(A62,ROSTER!$A$2:$F$500,3,FALSE))</f>
        <v/>
      </c>
      <c r="C62" s="2" t="str">
        <f>IF(A62="","",COUNTIF(CARD_LOG!$C:$C,A62))</f>
        <v/>
      </c>
      <c r="D62" s="4" t="str">
        <f>IF(A62="","",IFERROR(AVERAGEIF(CARD_LOG!$C:$C,A62,CARD_LOG!$M:$M),""))</f>
        <v/>
      </c>
      <c r="E62" s="2" t="str">
        <f>IF(A62="","",IF(COUNTIFS(CARD_LOG!$C:$C,A62,CARD_LOG!$L:$L,"Yes",CARD_LOG!$K:$K,"&lt;14")&gt;0,"No","Yes"))</f>
        <v/>
      </c>
      <c r="F62" s="2" t="str">
        <f t="shared" si="1"/>
        <v/>
      </c>
    </row>
    <row r="63" ht="15.75" customHeight="1">
      <c r="B63" s="2" t="str">
        <f>IF(A63="","",VLOOKUP(A63,ROSTER!$A$2:$F$500,3,FALSE))</f>
        <v/>
      </c>
      <c r="C63" s="2" t="str">
        <f>IF(A63="","",COUNTIF(CARD_LOG!$C:$C,A63))</f>
        <v/>
      </c>
      <c r="D63" s="4" t="str">
        <f>IF(A63="","",IFERROR(AVERAGEIF(CARD_LOG!$C:$C,A63,CARD_LOG!$M:$M),""))</f>
        <v/>
      </c>
      <c r="E63" s="2" t="str">
        <f>IF(A63="","",IF(COUNTIFS(CARD_LOG!$C:$C,A63,CARD_LOG!$L:$L,"Yes",CARD_LOG!$K:$K,"&lt;14")&gt;0,"No","Yes"))</f>
        <v/>
      </c>
      <c r="F63" s="2" t="str">
        <f t="shared" si="1"/>
        <v/>
      </c>
    </row>
    <row r="64" ht="15.75" customHeight="1">
      <c r="B64" s="2" t="str">
        <f>IF(A64="","",VLOOKUP(A64,ROSTER!$A$2:$F$500,3,FALSE))</f>
        <v/>
      </c>
      <c r="C64" s="2" t="str">
        <f>IF(A64="","",COUNTIF(CARD_LOG!$C:$C,A64))</f>
        <v/>
      </c>
      <c r="D64" s="4" t="str">
        <f>IF(A64="","",IFERROR(AVERAGEIF(CARD_LOG!$C:$C,A64,CARD_LOG!$M:$M),""))</f>
        <v/>
      </c>
      <c r="E64" s="2" t="str">
        <f>IF(A64="","",IF(COUNTIFS(CARD_LOG!$C:$C,A64,CARD_LOG!$L:$L,"Yes",CARD_LOG!$K:$K,"&lt;14")&gt;0,"No","Yes"))</f>
        <v/>
      </c>
      <c r="F64" s="2" t="str">
        <f t="shared" si="1"/>
        <v/>
      </c>
    </row>
    <row r="65" ht="15.75" customHeight="1">
      <c r="B65" s="2" t="str">
        <f>IF(A65="","",VLOOKUP(A65,ROSTER!$A$2:$F$500,3,FALSE))</f>
        <v/>
      </c>
      <c r="C65" s="2" t="str">
        <f>IF(A65="","",COUNTIF(CARD_LOG!$C:$C,A65))</f>
        <v/>
      </c>
      <c r="D65" s="4" t="str">
        <f>IF(A65="","",IFERROR(AVERAGEIF(CARD_LOG!$C:$C,A65,CARD_LOG!$M:$M),""))</f>
        <v/>
      </c>
      <c r="E65" s="2" t="str">
        <f>IF(A65="","",IF(COUNTIFS(CARD_LOG!$C:$C,A65,CARD_LOG!$L:$L,"Yes",CARD_LOG!$K:$K,"&lt;14")&gt;0,"No","Yes"))</f>
        <v/>
      </c>
      <c r="F65" s="2" t="str">
        <f t="shared" si="1"/>
        <v/>
      </c>
    </row>
    <row r="66" ht="15.75" customHeight="1">
      <c r="B66" s="2" t="str">
        <f>IF(A66="","",VLOOKUP(A66,ROSTER!$A$2:$F$500,3,FALSE))</f>
        <v/>
      </c>
      <c r="C66" s="2" t="str">
        <f>IF(A66="","",COUNTIF(CARD_LOG!$C:$C,A66))</f>
        <v/>
      </c>
      <c r="D66" s="4" t="str">
        <f>IF(A66="","",IFERROR(AVERAGEIF(CARD_LOG!$C:$C,A66,CARD_LOG!$M:$M),""))</f>
        <v/>
      </c>
      <c r="E66" s="2" t="str">
        <f>IF(A66="","",IF(COUNTIFS(CARD_LOG!$C:$C,A66,CARD_LOG!$L:$L,"Yes",CARD_LOG!$K:$K,"&lt;14")&gt;0,"No","Yes"))</f>
        <v/>
      </c>
      <c r="F66" s="2" t="str">
        <f t="shared" si="1"/>
        <v/>
      </c>
    </row>
    <row r="67" ht="15.75" customHeight="1">
      <c r="B67" s="2" t="str">
        <f>IF(A67="","",VLOOKUP(A67,ROSTER!$A$2:$F$500,3,FALSE))</f>
        <v/>
      </c>
      <c r="C67" s="2" t="str">
        <f>IF(A67="","",COUNTIF(CARD_LOG!$C:$C,A67))</f>
        <v/>
      </c>
      <c r="D67" s="4" t="str">
        <f>IF(A67="","",IFERROR(AVERAGEIF(CARD_LOG!$C:$C,A67,CARD_LOG!$M:$M),""))</f>
        <v/>
      </c>
      <c r="E67" s="2" t="str">
        <f>IF(A67="","",IF(COUNTIFS(CARD_LOG!$C:$C,A67,CARD_LOG!$L:$L,"Yes",CARD_LOG!$K:$K,"&lt;14")&gt;0,"No","Yes"))</f>
        <v/>
      </c>
      <c r="F67" s="2" t="str">
        <f t="shared" si="1"/>
        <v/>
      </c>
    </row>
    <row r="68" ht="15.75" customHeight="1">
      <c r="B68" s="2" t="str">
        <f>IF(A68="","",VLOOKUP(A68,ROSTER!$A$2:$F$500,3,FALSE))</f>
        <v/>
      </c>
      <c r="C68" s="2" t="str">
        <f>IF(A68="","",COUNTIF(CARD_LOG!$C:$C,A68))</f>
        <v/>
      </c>
      <c r="D68" s="4" t="str">
        <f>IF(A68="","",IFERROR(AVERAGEIF(CARD_LOG!$C:$C,A68,CARD_LOG!$M:$M),""))</f>
        <v/>
      </c>
      <c r="E68" s="2" t="str">
        <f>IF(A68="","",IF(COUNTIFS(CARD_LOG!$C:$C,A68,CARD_LOG!$L:$L,"Yes",CARD_LOG!$K:$K,"&lt;14")&gt;0,"No","Yes"))</f>
        <v/>
      </c>
      <c r="F68" s="2" t="str">
        <f t="shared" si="1"/>
        <v/>
      </c>
    </row>
    <row r="69" ht="15.75" customHeight="1">
      <c r="B69" s="2" t="str">
        <f>IF(A69="","",VLOOKUP(A69,ROSTER!$A$2:$F$500,3,FALSE))</f>
        <v/>
      </c>
      <c r="C69" s="2" t="str">
        <f>IF(A69="","",COUNTIF(CARD_LOG!$C:$C,A69))</f>
        <v/>
      </c>
      <c r="D69" s="4" t="str">
        <f>IF(A69="","",IFERROR(AVERAGEIF(CARD_LOG!$C:$C,A69,CARD_LOG!$M:$M),""))</f>
        <v/>
      </c>
      <c r="E69" s="2" t="str">
        <f>IF(A69="","",IF(COUNTIFS(CARD_LOG!$C:$C,A69,CARD_LOG!$L:$L,"Yes",CARD_LOG!$K:$K,"&lt;14")&gt;0,"No","Yes"))</f>
        <v/>
      </c>
      <c r="F69" s="2" t="str">
        <f t="shared" si="1"/>
        <v/>
      </c>
    </row>
    <row r="70" ht="15.75" customHeight="1">
      <c r="B70" s="2" t="str">
        <f>IF(A70="","",VLOOKUP(A70,ROSTER!$A$2:$F$500,3,FALSE))</f>
        <v/>
      </c>
      <c r="C70" s="2" t="str">
        <f>IF(A70="","",COUNTIF(CARD_LOG!$C:$C,A70))</f>
        <v/>
      </c>
      <c r="D70" s="4" t="str">
        <f>IF(A70="","",IFERROR(AVERAGEIF(CARD_LOG!$C:$C,A70,CARD_LOG!$M:$M),""))</f>
        <v/>
      </c>
      <c r="E70" s="2" t="str">
        <f>IF(A70="","",IF(COUNTIFS(CARD_LOG!$C:$C,A70,CARD_LOG!$L:$L,"Yes",CARD_LOG!$K:$K,"&lt;14")&gt;0,"No","Yes"))</f>
        <v/>
      </c>
      <c r="F70" s="2" t="str">
        <f t="shared" si="1"/>
        <v/>
      </c>
    </row>
    <row r="71" ht="15.75" customHeight="1">
      <c r="B71" s="2" t="str">
        <f>IF(A71="","",VLOOKUP(A71,ROSTER!$A$2:$F$500,3,FALSE))</f>
        <v/>
      </c>
      <c r="C71" s="2" t="str">
        <f>IF(A71="","",COUNTIF(CARD_LOG!$C:$C,A71))</f>
        <v/>
      </c>
      <c r="D71" s="4" t="str">
        <f>IF(A71="","",IFERROR(AVERAGEIF(CARD_LOG!$C:$C,A71,CARD_LOG!$M:$M),""))</f>
        <v/>
      </c>
      <c r="E71" s="2" t="str">
        <f>IF(A71="","",IF(COUNTIFS(CARD_LOG!$C:$C,A71,CARD_LOG!$L:$L,"Yes",CARD_LOG!$K:$K,"&lt;14")&gt;0,"No","Yes"))</f>
        <v/>
      </c>
      <c r="F71" s="2" t="str">
        <f t="shared" si="1"/>
        <v/>
      </c>
    </row>
    <row r="72" ht="15.75" customHeight="1">
      <c r="B72" s="2" t="str">
        <f>IF(A72="","",VLOOKUP(A72,ROSTER!$A$2:$F$500,3,FALSE))</f>
        <v/>
      </c>
      <c r="C72" s="2" t="str">
        <f>IF(A72="","",COUNTIF(CARD_LOG!$C:$C,A72))</f>
        <v/>
      </c>
      <c r="D72" s="4" t="str">
        <f>IF(A72="","",IFERROR(AVERAGEIF(CARD_LOG!$C:$C,A72,CARD_LOG!$M:$M),""))</f>
        <v/>
      </c>
      <c r="E72" s="2" t="str">
        <f>IF(A72="","",IF(COUNTIFS(CARD_LOG!$C:$C,A72,CARD_LOG!$L:$L,"Yes",CARD_LOG!$K:$K,"&lt;14")&gt;0,"No","Yes"))</f>
        <v/>
      </c>
      <c r="F72" s="2" t="str">
        <f t="shared" si="1"/>
        <v/>
      </c>
    </row>
    <row r="73" ht="15.75" customHeight="1">
      <c r="B73" s="2" t="str">
        <f>IF(A73="","",VLOOKUP(A73,ROSTER!$A$2:$F$500,3,FALSE))</f>
        <v/>
      </c>
      <c r="C73" s="2" t="str">
        <f>IF(A73="","",COUNTIF(CARD_LOG!$C:$C,A73))</f>
        <v/>
      </c>
      <c r="D73" s="4" t="str">
        <f>IF(A73="","",IFERROR(AVERAGEIF(CARD_LOG!$C:$C,A73,CARD_LOG!$M:$M),""))</f>
        <v/>
      </c>
      <c r="E73" s="2" t="str">
        <f>IF(A73="","",IF(COUNTIFS(CARD_LOG!$C:$C,A73,CARD_LOG!$L:$L,"Yes",CARD_LOG!$K:$K,"&lt;14")&gt;0,"No","Yes"))</f>
        <v/>
      </c>
      <c r="F73" s="2" t="str">
        <f t="shared" si="1"/>
        <v/>
      </c>
    </row>
    <row r="74" ht="15.75" customHeight="1">
      <c r="B74" s="2" t="str">
        <f>IF(A74="","",VLOOKUP(A74,ROSTER!$A$2:$F$500,3,FALSE))</f>
        <v/>
      </c>
      <c r="C74" s="2" t="str">
        <f>IF(A74="","",COUNTIF(CARD_LOG!$C:$C,A74))</f>
        <v/>
      </c>
      <c r="D74" s="4" t="str">
        <f>IF(A74="","",IFERROR(AVERAGEIF(CARD_LOG!$C:$C,A74,CARD_LOG!$M:$M),""))</f>
        <v/>
      </c>
      <c r="E74" s="2" t="str">
        <f>IF(A74="","",IF(COUNTIFS(CARD_LOG!$C:$C,A74,CARD_LOG!$L:$L,"Yes",CARD_LOG!$K:$K,"&lt;14")&gt;0,"No","Yes"))</f>
        <v/>
      </c>
      <c r="F74" s="2" t="str">
        <f t="shared" si="1"/>
        <v/>
      </c>
    </row>
    <row r="75" ht="15.75" customHeight="1">
      <c r="B75" s="2" t="str">
        <f>IF(A75="","",VLOOKUP(A75,ROSTER!$A$2:$F$500,3,FALSE))</f>
        <v/>
      </c>
      <c r="C75" s="2" t="str">
        <f>IF(A75="","",COUNTIF(CARD_LOG!$C:$C,A75))</f>
        <v/>
      </c>
      <c r="D75" s="4" t="str">
        <f>IF(A75="","",IFERROR(AVERAGEIF(CARD_LOG!$C:$C,A75,CARD_LOG!$M:$M),""))</f>
        <v/>
      </c>
      <c r="E75" s="2" t="str">
        <f>IF(A75="","",IF(COUNTIFS(CARD_LOG!$C:$C,A75,CARD_LOG!$L:$L,"Yes",CARD_LOG!$K:$K,"&lt;14")&gt;0,"No","Yes"))</f>
        <v/>
      </c>
      <c r="F75" s="2" t="str">
        <f t="shared" si="1"/>
        <v/>
      </c>
    </row>
    <row r="76" ht="15.75" customHeight="1">
      <c r="B76" s="2" t="str">
        <f>IF(A76="","",VLOOKUP(A76,ROSTER!$A$2:$F$500,3,FALSE))</f>
        <v/>
      </c>
      <c r="C76" s="2" t="str">
        <f>IF(A76="","",COUNTIF(CARD_LOG!$C:$C,A76))</f>
        <v/>
      </c>
      <c r="D76" s="4" t="str">
        <f>IF(A76="","",IFERROR(AVERAGEIF(CARD_LOG!$C:$C,A76,CARD_LOG!$M:$M),""))</f>
        <v/>
      </c>
      <c r="E76" s="2" t="str">
        <f>IF(A76="","",IF(COUNTIFS(CARD_LOG!$C:$C,A76,CARD_LOG!$L:$L,"Yes",CARD_LOG!$K:$K,"&lt;14")&gt;0,"No","Yes"))</f>
        <v/>
      </c>
      <c r="F76" s="2" t="str">
        <f t="shared" si="1"/>
        <v/>
      </c>
    </row>
    <row r="77" ht="15.75" customHeight="1">
      <c r="B77" s="2" t="str">
        <f>IF(A77="","",VLOOKUP(A77,ROSTER!$A$2:$F$500,3,FALSE))</f>
        <v/>
      </c>
      <c r="C77" s="2" t="str">
        <f>IF(A77="","",COUNTIF(CARD_LOG!$C:$C,A77))</f>
        <v/>
      </c>
      <c r="D77" s="4" t="str">
        <f>IF(A77="","",IFERROR(AVERAGEIF(CARD_LOG!$C:$C,A77,CARD_LOG!$M:$M),""))</f>
        <v/>
      </c>
      <c r="E77" s="2" t="str">
        <f>IF(A77="","",IF(COUNTIFS(CARD_LOG!$C:$C,A77,CARD_LOG!$L:$L,"Yes",CARD_LOG!$K:$K,"&lt;14")&gt;0,"No","Yes"))</f>
        <v/>
      </c>
      <c r="F77" s="2" t="str">
        <f t="shared" si="1"/>
        <v/>
      </c>
    </row>
    <row r="78" ht="15.75" customHeight="1">
      <c r="B78" s="2" t="str">
        <f>IF(A78="","",VLOOKUP(A78,ROSTER!$A$2:$F$500,3,FALSE))</f>
        <v/>
      </c>
      <c r="C78" s="2" t="str">
        <f>IF(A78="","",COUNTIF(CARD_LOG!$C:$C,A78))</f>
        <v/>
      </c>
      <c r="D78" s="4" t="str">
        <f>IF(A78="","",IFERROR(AVERAGEIF(CARD_LOG!$C:$C,A78,CARD_LOG!$M:$M),""))</f>
        <v/>
      </c>
      <c r="E78" s="2" t="str">
        <f>IF(A78="","",IF(COUNTIFS(CARD_LOG!$C:$C,A78,CARD_LOG!$L:$L,"Yes",CARD_LOG!$K:$K,"&lt;14")&gt;0,"No","Yes"))</f>
        <v/>
      </c>
      <c r="F78" s="2" t="str">
        <f t="shared" si="1"/>
        <v/>
      </c>
    </row>
    <row r="79" ht="15.75" customHeight="1">
      <c r="B79" s="2" t="str">
        <f>IF(A79="","",VLOOKUP(A79,ROSTER!$A$2:$F$500,3,FALSE))</f>
        <v/>
      </c>
      <c r="C79" s="2" t="str">
        <f>IF(A79="","",COUNTIF(CARD_LOG!$C:$C,A79))</f>
        <v/>
      </c>
      <c r="D79" s="4" t="str">
        <f>IF(A79="","",IFERROR(AVERAGEIF(CARD_LOG!$C:$C,A79,CARD_LOG!$M:$M),""))</f>
        <v/>
      </c>
      <c r="E79" s="2" t="str">
        <f>IF(A79="","",IF(COUNTIFS(CARD_LOG!$C:$C,A79,CARD_LOG!$L:$L,"Yes",CARD_LOG!$K:$K,"&lt;14")&gt;0,"No","Yes"))</f>
        <v/>
      </c>
      <c r="F79" s="2" t="str">
        <f t="shared" si="1"/>
        <v/>
      </c>
    </row>
    <row r="80" ht="15.75" customHeight="1">
      <c r="B80" s="2" t="str">
        <f>IF(A80="","",VLOOKUP(A80,ROSTER!$A$2:$F$500,3,FALSE))</f>
        <v/>
      </c>
      <c r="C80" s="2" t="str">
        <f>IF(A80="","",COUNTIF(CARD_LOG!$C:$C,A80))</f>
        <v/>
      </c>
      <c r="D80" s="4" t="str">
        <f>IF(A80="","",IFERROR(AVERAGEIF(CARD_LOG!$C:$C,A80,CARD_LOG!$M:$M),""))</f>
        <v/>
      </c>
      <c r="E80" s="2" t="str">
        <f>IF(A80="","",IF(COUNTIFS(CARD_LOG!$C:$C,A80,CARD_LOG!$L:$L,"Yes",CARD_LOG!$K:$K,"&lt;14")&gt;0,"No","Yes"))</f>
        <v/>
      </c>
      <c r="F80" s="2" t="str">
        <f t="shared" si="1"/>
        <v/>
      </c>
    </row>
    <row r="81" ht="15.75" customHeight="1">
      <c r="B81" s="2" t="str">
        <f>IF(A81="","",VLOOKUP(A81,ROSTER!$A$2:$F$500,3,FALSE))</f>
        <v/>
      </c>
      <c r="C81" s="2" t="str">
        <f>IF(A81="","",COUNTIF(CARD_LOG!$C:$C,A81))</f>
        <v/>
      </c>
      <c r="D81" s="4" t="str">
        <f>IF(A81="","",IFERROR(AVERAGEIF(CARD_LOG!$C:$C,A81,CARD_LOG!$M:$M),""))</f>
        <v/>
      </c>
      <c r="E81" s="2" t="str">
        <f>IF(A81="","",IF(COUNTIFS(CARD_LOG!$C:$C,A81,CARD_LOG!$L:$L,"Yes",CARD_LOG!$K:$K,"&lt;14")&gt;0,"No","Yes"))</f>
        <v/>
      </c>
      <c r="F81" s="2" t="str">
        <f t="shared" si="1"/>
        <v/>
      </c>
    </row>
    <row r="82" ht="15.75" customHeight="1">
      <c r="B82" s="2" t="str">
        <f>IF(A82="","",VLOOKUP(A82,ROSTER!$A$2:$F$500,3,FALSE))</f>
        <v/>
      </c>
      <c r="C82" s="2" t="str">
        <f>IF(A82="","",COUNTIF(CARD_LOG!$C:$C,A82))</f>
        <v/>
      </c>
      <c r="D82" s="4" t="str">
        <f>IF(A82="","",IFERROR(AVERAGEIF(CARD_LOG!$C:$C,A82,CARD_LOG!$M:$M),""))</f>
        <v/>
      </c>
      <c r="E82" s="2" t="str">
        <f>IF(A82="","",IF(COUNTIFS(CARD_LOG!$C:$C,A82,CARD_LOG!$L:$L,"Yes",CARD_LOG!$K:$K,"&lt;14")&gt;0,"No","Yes"))</f>
        <v/>
      </c>
      <c r="F82" s="2" t="str">
        <f t="shared" si="1"/>
        <v/>
      </c>
    </row>
    <row r="83" ht="15.75" customHeight="1">
      <c r="B83" s="2" t="str">
        <f>IF(A83="","",VLOOKUP(A83,ROSTER!$A$2:$F$500,3,FALSE))</f>
        <v/>
      </c>
      <c r="C83" s="2" t="str">
        <f>IF(A83="","",COUNTIF(CARD_LOG!$C:$C,A83))</f>
        <v/>
      </c>
      <c r="D83" s="4" t="str">
        <f>IF(A83="","",IFERROR(AVERAGEIF(CARD_LOG!$C:$C,A83,CARD_LOG!$M:$M),""))</f>
        <v/>
      </c>
      <c r="E83" s="2" t="str">
        <f>IF(A83="","",IF(COUNTIFS(CARD_LOG!$C:$C,A83,CARD_LOG!$L:$L,"Yes",CARD_LOG!$K:$K,"&lt;14")&gt;0,"No","Yes"))</f>
        <v/>
      </c>
      <c r="F83" s="2" t="str">
        <f t="shared" si="1"/>
        <v/>
      </c>
    </row>
    <row r="84" ht="15.75" customHeight="1">
      <c r="B84" s="2" t="str">
        <f>IF(A84="","",VLOOKUP(A84,ROSTER!$A$2:$F$500,3,FALSE))</f>
        <v/>
      </c>
      <c r="C84" s="2" t="str">
        <f>IF(A84="","",COUNTIF(CARD_LOG!$C:$C,A84))</f>
        <v/>
      </c>
      <c r="D84" s="4" t="str">
        <f>IF(A84="","",IFERROR(AVERAGEIF(CARD_LOG!$C:$C,A84,CARD_LOG!$M:$M),""))</f>
        <v/>
      </c>
      <c r="E84" s="2" t="str">
        <f>IF(A84="","",IF(COUNTIFS(CARD_LOG!$C:$C,A84,CARD_LOG!$L:$L,"Yes",CARD_LOG!$K:$K,"&lt;14")&gt;0,"No","Yes"))</f>
        <v/>
      </c>
      <c r="F84" s="2" t="str">
        <f t="shared" si="1"/>
        <v/>
      </c>
    </row>
    <row r="85" ht="15.75" customHeight="1">
      <c r="B85" s="2" t="str">
        <f>IF(A85="","",VLOOKUP(A85,ROSTER!$A$2:$F$500,3,FALSE))</f>
        <v/>
      </c>
      <c r="C85" s="2" t="str">
        <f>IF(A85="","",COUNTIF(CARD_LOG!$C:$C,A85))</f>
        <v/>
      </c>
      <c r="D85" s="4" t="str">
        <f>IF(A85="","",IFERROR(AVERAGEIF(CARD_LOG!$C:$C,A85,CARD_LOG!$M:$M),""))</f>
        <v/>
      </c>
      <c r="E85" s="2" t="str">
        <f>IF(A85="","",IF(COUNTIFS(CARD_LOG!$C:$C,A85,CARD_LOG!$L:$L,"Yes",CARD_LOG!$K:$K,"&lt;14")&gt;0,"No","Yes"))</f>
        <v/>
      </c>
      <c r="F85" s="2" t="str">
        <f t="shared" si="1"/>
        <v/>
      </c>
    </row>
    <row r="86" ht="15.75" customHeight="1">
      <c r="B86" s="2" t="str">
        <f>IF(A86="","",VLOOKUP(A86,ROSTER!$A$2:$F$500,3,FALSE))</f>
        <v/>
      </c>
      <c r="C86" s="2" t="str">
        <f>IF(A86="","",COUNTIF(CARD_LOG!$C:$C,A86))</f>
        <v/>
      </c>
      <c r="D86" s="4" t="str">
        <f>IF(A86="","",IFERROR(AVERAGEIF(CARD_LOG!$C:$C,A86,CARD_LOG!$M:$M),""))</f>
        <v/>
      </c>
      <c r="E86" s="2" t="str">
        <f>IF(A86="","",IF(COUNTIFS(CARD_LOG!$C:$C,A86,CARD_LOG!$L:$L,"Yes",CARD_LOG!$K:$K,"&lt;14")&gt;0,"No","Yes"))</f>
        <v/>
      </c>
      <c r="F86" s="2" t="str">
        <f t="shared" si="1"/>
        <v/>
      </c>
    </row>
    <row r="87" ht="15.75" customHeight="1">
      <c r="B87" s="2" t="str">
        <f>IF(A87="","",VLOOKUP(A87,ROSTER!$A$2:$F$500,3,FALSE))</f>
        <v/>
      </c>
      <c r="C87" s="2" t="str">
        <f>IF(A87="","",COUNTIF(CARD_LOG!$C:$C,A87))</f>
        <v/>
      </c>
      <c r="D87" s="4" t="str">
        <f>IF(A87="","",IFERROR(AVERAGEIF(CARD_LOG!$C:$C,A87,CARD_LOG!$M:$M),""))</f>
        <v/>
      </c>
      <c r="E87" s="2" t="str">
        <f>IF(A87="","",IF(COUNTIFS(CARD_LOG!$C:$C,A87,CARD_LOG!$L:$L,"Yes",CARD_LOG!$K:$K,"&lt;14")&gt;0,"No","Yes"))</f>
        <v/>
      </c>
      <c r="F87" s="2" t="str">
        <f t="shared" si="1"/>
        <v/>
      </c>
    </row>
    <row r="88" ht="15.75" customHeight="1">
      <c r="B88" s="2" t="str">
        <f>IF(A88="","",VLOOKUP(A88,ROSTER!$A$2:$F$500,3,FALSE))</f>
        <v/>
      </c>
      <c r="C88" s="2" t="str">
        <f>IF(A88="","",COUNTIF(CARD_LOG!$C:$C,A88))</f>
        <v/>
      </c>
      <c r="D88" s="4" t="str">
        <f>IF(A88="","",IFERROR(AVERAGEIF(CARD_LOG!$C:$C,A88,CARD_LOG!$M:$M),""))</f>
        <v/>
      </c>
      <c r="E88" s="2" t="str">
        <f>IF(A88="","",IF(COUNTIFS(CARD_LOG!$C:$C,A88,CARD_LOG!$L:$L,"Yes",CARD_LOG!$K:$K,"&lt;14")&gt;0,"No","Yes"))</f>
        <v/>
      </c>
      <c r="F88" s="2" t="str">
        <f t="shared" si="1"/>
        <v/>
      </c>
    </row>
    <row r="89" ht="15.75" customHeight="1">
      <c r="B89" s="2" t="str">
        <f>IF(A89="","",VLOOKUP(A89,ROSTER!$A$2:$F$500,3,FALSE))</f>
        <v/>
      </c>
      <c r="C89" s="2" t="str">
        <f>IF(A89="","",COUNTIF(CARD_LOG!$C:$C,A89))</f>
        <v/>
      </c>
      <c r="D89" s="4" t="str">
        <f>IF(A89="","",IFERROR(AVERAGEIF(CARD_LOG!$C:$C,A89,CARD_LOG!$M:$M),""))</f>
        <v/>
      </c>
      <c r="E89" s="2" t="str">
        <f>IF(A89="","",IF(COUNTIFS(CARD_LOG!$C:$C,A89,CARD_LOG!$L:$L,"Yes",CARD_LOG!$K:$K,"&lt;14")&gt;0,"No","Yes"))</f>
        <v/>
      </c>
      <c r="F89" s="2" t="str">
        <f t="shared" si="1"/>
        <v/>
      </c>
    </row>
    <row r="90" ht="15.75" customHeight="1">
      <c r="B90" s="2" t="str">
        <f>IF(A90="","",VLOOKUP(A90,ROSTER!$A$2:$F$500,3,FALSE))</f>
        <v/>
      </c>
      <c r="C90" s="2" t="str">
        <f>IF(A90="","",COUNTIF(CARD_LOG!$C:$C,A90))</f>
        <v/>
      </c>
      <c r="D90" s="4" t="str">
        <f>IF(A90="","",IFERROR(AVERAGEIF(CARD_LOG!$C:$C,A90,CARD_LOG!$M:$M),""))</f>
        <v/>
      </c>
      <c r="E90" s="2" t="str">
        <f>IF(A90="","",IF(COUNTIFS(CARD_LOG!$C:$C,A90,CARD_LOG!$L:$L,"Yes",CARD_LOG!$K:$K,"&lt;14")&gt;0,"No","Yes"))</f>
        <v/>
      </c>
      <c r="F90" s="2" t="str">
        <f t="shared" si="1"/>
        <v/>
      </c>
    </row>
    <row r="91" ht="15.75" customHeight="1">
      <c r="B91" s="2" t="str">
        <f>IF(A91="","",VLOOKUP(A91,ROSTER!$A$2:$F$500,3,FALSE))</f>
        <v/>
      </c>
      <c r="C91" s="2" t="str">
        <f>IF(A91="","",COUNTIF(CARD_LOG!$C:$C,A91))</f>
        <v/>
      </c>
      <c r="D91" s="4" t="str">
        <f>IF(A91="","",IFERROR(AVERAGEIF(CARD_LOG!$C:$C,A91,CARD_LOG!$M:$M),""))</f>
        <v/>
      </c>
      <c r="E91" s="2" t="str">
        <f>IF(A91="","",IF(COUNTIFS(CARD_LOG!$C:$C,A91,CARD_LOG!$L:$L,"Yes",CARD_LOG!$K:$K,"&lt;14")&gt;0,"No","Yes"))</f>
        <v/>
      </c>
      <c r="F91" s="2" t="str">
        <f t="shared" si="1"/>
        <v/>
      </c>
    </row>
    <row r="92" ht="15.75" customHeight="1">
      <c r="B92" s="2" t="str">
        <f>IF(A92="","",VLOOKUP(A92,ROSTER!$A$2:$F$500,3,FALSE))</f>
        <v/>
      </c>
      <c r="C92" s="2" t="str">
        <f>IF(A92="","",COUNTIF(CARD_LOG!$C:$C,A92))</f>
        <v/>
      </c>
      <c r="D92" s="4" t="str">
        <f>IF(A92="","",IFERROR(AVERAGEIF(CARD_LOG!$C:$C,A92,CARD_LOG!$M:$M),""))</f>
        <v/>
      </c>
      <c r="E92" s="2" t="str">
        <f>IF(A92="","",IF(COUNTIFS(CARD_LOG!$C:$C,A92,CARD_LOG!$L:$L,"Yes",CARD_LOG!$K:$K,"&lt;14")&gt;0,"No","Yes"))</f>
        <v/>
      </c>
      <c r="F92" s="2" t="str">
        <f t="shared" si="1"/>
        <v/>
      </c>
    </row>
    <row r="93" ht="15.75" customHeight="1">
      <c r="B93" s="2" t="str">
        <f>IF(A93="","",VLOOKUP(A93,ROSTER!$A$2:$F$500,3,FALSE))</f>
        <v/>
      </c>
      <c r="C93" s="2" t="str">
        <f>IF(A93="","",COUNTIF(CARD_LOG!$C:$C,A93))</f>
        <v/>
      </c>
      <c r="D93" s="4" t="str">
        <f>IF(A93="","",IFERROR(AVERAGEIF(CARD_LOG!$C:$C,A93,CARD_LOG!$M:$M),""))</f>
        <v/>
      </c>
      <c r="E93" s="2" t="str">
        <f>IF(A93="","",IF(COUNTIFS(CARD_LOG!$C:$C,A93,CARD_LOG!$L:$L,"Yes",CARD_LOG!$K:$K,"&lt;14")&gt;0,"No","Yes"))</f>
        <v/>
      </c>
      <c r="F93" s="2" t="str">
        <f t="shared" si="1"/>
        <v/>
      </c>
    </row>
    <row r="94" ht="15.75" customHeight="1">
      <c r="B94" s="2" t="str">
        <f>IF(A94="","",VLOOKUP(A94,ROSTER!$A$2:$F$500,3,FALSE))</f>
        <v/>
      </c>
      <c r="C94" s="2" t="str">
        <f>IF(A94="","",COUNTIF(CARD_LOG!$C:$C,A94))</f>
        <v/>
      </c>
      <c r="D94" s="4" t="str">
        <f>IF(A94="","",IFERROR(AVERAGEIF(CARD_LOG!$C:$C,A94,CARD_LOG!$M:$M),""))</f>
        <v/>
      </c>
      <c r="E94" s="2" t="str">
        <f>IF(A94="","",IF(COUNTIFS(CARD_LOG!$C:$C,A94,CARD_LOG!$L:$L,"Yes",CARD_LOG!$K:$K,"&lt;14")&gt;0,"No","Yes"))</f>
        <v/>
      </c>
      <c r="F94" s="2" t="str">
        <f t="shared" si="1"/>
        <v/>
      </c>
    </row>
    <row r="95" ht="15.75" customHeight="1">
      <c r="B95" s="2" t="str">
        <f>IF(A95="","",VLOOKUP(A95,ROSTER!$A$2:$F$500,3,FALSE))</f>
        <v/>
      </c>
      <c r="C95" s="2" t="str">
        <f>IF(A95="","",COUNTIF(CARD_LOG!$C:$C,A95))</f>
        <v/>
      </c>
      <c r="D95" s="4" t="str">
        <f>IF(A95="","",IFERROR(AVERAGEIF(CARD_LOG!$C:$C,A95,CARD_LOG!$M:$M),""))</f>
        <v/>
      </c>
      <c r="E95" s="2" t="str">
        <f>IF(A95="","",IF(COUNTIFS(CARD_LOG!$C:$C,A95,CARD_LOG!$L:$L,"Yes",CARD_LOG!$K:$K,"&lt;14")&gt;0,"No","Yes"))</f>
        <v/>
      </c>
      <c r="F95" s="2" t="str">
        <f t="shared" si="1"/>
        <v/>
      </c>
    </row>
    <row r="96" ht="15.75" customHeight="1">
      <c r="B96" s="2" t="str">
        <f>IF(A96="","",VLOOKUP(A96,ROSTER!$A$2:$F$500,3,FALSE))</f>
        <v/>
      </c>
      <c r="C96" s="2" t="str">
        <f>IF(A96="","",COUNTIF(CARD_LOG!$C:$C,A96))</f>
        <v/>
      </c>
      <c r="D96" s="4" t="str">
        <f>IF(A96="","",IFERROR(AVERAGEIF(CARD_LOG!$C:$C,A96,CARD_LOG!$M:$M),""))</f>
        <v/>
      </c>
      <c r="E96" s="2" t="str">
        <f>IF(A96="","",IF(COUNTIFS(CARD_LOG!$C:$C,A96,CARD_LOG!$L:$L,"Yes",CARD_LOG!$K:$K,"&lt;14")&gt;0,"No","Yes"))</f>
        <v/>
      </c>
      <c r="F96" s="2" t="str">
        <f t="shared" si="1"/>
        <v/>
      </c>
    </row>
    <row r="97" ht="15.75" customHeight="1">
      <c r="B97" s="2" t="str">
        <f>IF(A97="","",VLOOKUP(A97,ROSTER!$A$2:$F$500,3,FALSE))</f>
        <v/>
      </c>
      <c r="C97" s="2" t="str">
        <f>IF(A97="","",COUNTIF(CARD_LOG!$C:$C,A97))</f>
        <v/>
      </c>
      <c r="D97" s="4" t="str">
        <f>IF(A97="","",IFERROR(AVERAGEIF(CARD_LOG!$C:$C,A97,CARD_LOG!$M:$M),""))</f>
        <v/>
      </c>
      <c r="E97" s="2" t="str">
        <f>IF(A97="","",IF(COUNTIFS(CARD_LOG!$C:$C,A97,CARD_LOG!$L:$L,"Yes",CARD_LOG!$K:$K,"&lt;14")&gt;0,"No","Yes"))</f>
        <v/>
      </c>
      <c r="F97" s="2" t="str">
        <f t="shared" si="1"/>
        <v/>
      </c>
    </row>
    <row r="98" ht="15.75" customHeight="1">
      <c r="B98" s="2" t="str">
        <f>IF(A98="","",VLOOKUP(A98,ROSTER!$A$2:$F$500,3,FALSE))</f>
        <v/>
      </c>
      <c r="C98" s="2" t="str">
        <f>IF(A98="","",COUNTIF(CARD_LOG!$C:$C,A98))</f>
        <v/>
      </c>
      <c r="D98" s="4" t="str">
        <f>IF(A98="","",IFERROR(AVERAGEIF(CARD_LOG!$C:$C,A98,CARD_LOG!$M:$M),""))</f>
        <v/>
      </c>
      <c r="E98" s="2" t="str">
        <f>IF(A98="","",IF(COUNTIFS(CARD_LOG!$C:$C,A98,CARD_LOG!$L:$L,"Yes",CARD_LOG!$K:$K,"&lt;14")&gt;0,"No","Yes"))</f>
        <v/>
      </c>
      <c r="F98" s="2" t="str">
        <f t="shared" si="1"/>
        <v/>
      </c>
    </row>
    <row r="99" ht="15.75" customHeight="1">
      <c r="B99" s="2" t="str">
        <f>IF(A99="","",VLOOKUP(A99,ROSTER!$A$2:$F$500,3,FALSE))</f>
        <v/>
      </c>
      <c r="C99" s="2" t="str">
        <f>IF(A99="","",COUNTIF(CARD_LOG!$C:$C,A99))</f>
        <v/>
      </c>
      <c r="D99" s="4" t="str">
        <f>IF(A99="","",IFERROR(AVERAGEIF(CARD_LOG!$C:$C,A99,CARD_LOG!$M:$M),""))</f>
        <v/>
      </c>
      <c r="E99" s="2" t="str">
        <f>IF(A99="","",IF(COUNTIFS(CARD_LOG!$C:$C,A99,CARD_LOG!$L:$L,"Yes",CARD_LOG!$K:$K,"&lt;14")&gt;0,"No","Yes"))</f>
        <v/>
      </c>
      <c r="F99" s="2" t="str">
        <f t="shared" si="1"/>
        <v/>
      </c>
    </row>
    <row r="100" ht="15.75" customHeight="1">
      <c r="B100" s="2" t="str">
        <f>IF(A100="","",VLOOKUP(A100,ROSTER!$A$2:$F$500,3,FALSE))</f>
        <v/>
      </c>
      <c r="C100" s="2" t="str">
        <f>IF(A100="","",COUNTIF(CARD_LOG!$C:$C,A100))</f>
        <v/>
      </c>
      <c r="D100" s="4" t="str">
        <f>IF(A100="","",IFERROR(AVERAGEIF(CARD_LOG!$C:$C,A100,CARD_LOG!$M:$M),""))</f>
        <v/>
      </c>
      <c r="E100" s="2" t="str">
        <f>IF(A100="","",IF(COUNTIFS(CARD_LOG!$C:$C,A100,CARD_LOG!$L:$L,"Yes",CARD_LOG!$K:$K,"&lt;14")&gt;0,"No","Yes"))</f>
        <v/>
      </c>
      <c r="F100" s="2" t="str">
        <f t="shared" si="1"/>
        <v/>
      </c>
    </row>
    <row r="101" ht="15.75" customHeight="1">
      <c r="B101" s="2" t="str">
        <f>IF(A101="","",VLOOKUP(A101,ROSTER!$A$2:$F$500,3,FALSE))</f>
        <v/>
      </c>
      <c r="C101" s="2" t="str">
        <f>IF(A101="","",COUNTIF(CARD_LOG!$C:$C,A101))</f>
        <v/>
      </c>
      <c r="D101" s="4" t="str">
        <f>IF(A101="","",IFERROR(AVERAGEIF(CARD_LOG!$C:$C,A101,CARD_LOG!$M:$M),""))</f>
        <v/>
      </c>
      <c r="E101" s="2" t="str">
        <f>IF(A101="","",IF(COUNTIFS(CARD_LOG!$C:$C,A101,CARD_LOG!$L:$L,"Yes",CARD_LOG!$K:$K,"&lt;14")&gt;0,"No","Yes"))</f>
        <v/>
      </c>
      <c r="F101" s="2" t="str">
        <f t="shared" si="1"/>
        <v/>
      </c>
    </row>
    <row r="102" ht="15.75" customHeight="1">
      <c r="B102" s="2" t="str">
        <f>IF(A102="","",VLOOKUP(A102,ROSTER!$A$2:$F$500,3,FALSE))</f>
        <v/>
      </c>
      <c r="C102" s="2" t="str">
        <f>IF(A102="","",COUNTIF(CARD_LOG!$C:$C,A102))</f>
        <v/>
      </c>
      <c r="D102" s="4" t="str">
        <f>IF(A102="","",IFERROR(AVERAGEIF(CARD_LOG!$C:$C,A102,CARD_LOG!$M:$M),""))</f>
        <v/>
      </c>
      <c r="E102" s="2" t="str">
        <f>IF(A102="","",IF(COUNTIFS(CARD_LOG!$C:$C,A102,CARD_LOG!$L:$L,"Yes",CARD_LOG!$K:$K,"&lt;14")&gt;0,"No","Yes"))</f>
        <v/>
      </c>
      <c r="F102" s="2" t="str">
        <f t="shared" si="1"/>
        <v/>
      </c>
    </row>
    <row r="103" ht="15.75" customHeight="1">
      <c r="B103" s="2" t="str">
        <f>IF(A103="","",VLOOKUP(A103,ROSTER!$A$2:$F$500,3,FALSE))</f>
        <v/>
      </c>
      <c r="C103" s="2" t="str">
        <f>IF(A103="","",COUNTIF(CARD_LOG!$C:$C,A103))</f>
        <v/>
      </c>
      <c r="D103" s="4" t="str">
        <f>IF(A103="","",IFERROR(AVERAGEIF(CARD_LOG!$C:$C,A103,CARD_LOG!$M:$M),""))</f>
        <v/>
      </c>
      <c r="E103" s="2" t="str">
        <f>IF(A103="","",IF(COUNTIFS(CARD_LOG!$C:$C,A103,CARD_LOG!$L:$L,"Yes",CARD_LOG!$K:$K,"&lt;14")&gt;0,"No","Yes"))</f>
        <v/>
      </c>
      <c r="F103" s="2" t="str">
        <f t="shared" si="1"/>
        <v/>
      </c>
    </row>
    <row r="104" ht="15.75" customHeight="1">
      <c r="B104" s="2" t="str">
        <f>IF(A104="","",VLOOKUP(A104,ROSTER!$A$2:$F$500,3,FALSE))</f>
        <v/>
      </c>
      <c r="C104" s="2" t="str">
        <f>IF(A104="","",COUNTIF(CARD_LOG!$C:$C,A104))</f>
        <v/>
      </c>
      <c r="D104" s="4" t="str">
        <f>IF(A104="","",IFERROR(AVERAGEIF(CARD_LOG!$C:$C,A104,CARD_LOG!$M:$M),""))</f>
        <v/>
      </c>
      <c r="E104" s="2" t="str">
        <f>IF(A104="","",IF(COUNTIFS(CARD_LOG!$C:$C,A104,CARD_LOG!$L:$L,"Yes",CARD_LOG!$K:$K,"&lt;14")&gt;0,"No","Yes"))</f>
        <v/>
      </c>
      <c r="F104" s="2" t="str">
        <f t="shared" si="1"/>
        <v/>
      </c>
    </row>
    <row r="105" ht="15.75" customHeight="1">
      <c r="B105" s="2" t="str">
        <f>IF(A105="","",VLOOKUP(A105,ROSTER!$A$2:$F$500,3,FALSE))</f>
        <v/>
      </c>
      <c r="C105" s="2" t="str">
        <f>IF(A105="","",COUNTIF(CARD_LOG!$C:$C,A105))</f>
        <v/>
      </c>
      <c r="D105" s="4" t="str">
        <f>IF(A105="","",IFERROR(AVERAGEIF(CARD_LOG!$C:$C,A105,CARD_LOG!$M:$M),""))</f>
        <v/>
      </c>
      <c r="E105" s="2" t="str">
        <f>IF(A105="","",IF(COUNTIFS(CARD_LOG!$C:$C,A105,CARD_LOG!$L:$L,"Yes",CARD_LOG!$K:$K,"&lt;14")&gt;0,"No","Yes"))</f>
        <v/>
      </c>
      <c r="F105" s="2" t="str">
        <f t="shared" si="1"/>
        <v/>
      </c>
    </row>
    <row r="106" ht="15.75" customHeight="1">
      <c r="B106" s="2" t="str">
        <f>IF(A106="","",VLOOKUP(A106,ROSTER!$A$2:$F$500,3,FALSE))</f>
        <v/>
      </c>
      <c r="C106" s="2" t="str">
        <f>IF(A106="","",COUNTIF(CARD_LOG!$C:$C,A106))</f>
        <v/>
      </c>
      <c r="D106" s="4" t="str">
        <f>IF(A106="","",IFERROR(AVERAGEIF(CARD_LOG!$C:$C,A106,CARD_LOG!$M:$M),""))</f>
        <v/>
      </c>
      <c r="E106" s="2" t="str">
        <f>IF(A106="","",IF(COUNTIFS(CARD_LOG!$C:$C,A106,CARD_LOG!$L:$L,"Yes",CARD_LOG!$K:$K,"&lt;14")&gt;0,"No","Yes"))</f>
        <v/>
      </c>
      <c r="F106" s="2" t="str">
        <f t="shared" si="1"/>
        <v/>
      </c>
    </row>
    <row r="107" ht="15.75" customHeight="1">
      <c r="B107" s="2" t="str">
        <f>IF(A107="","",VLOOKUP(A107,ROSTER!$A$2:$F$500,3,FALSE))</f>
        <v/>
      </c>
      <c r="C107" s="2" t="str">
        <f>IF(A107="","",COUNTIF(CARD_LOG!$C:$C,A107))</f>
        <v/>
      </c>
      <c r="D107" s="4" t="str">
        <f>IF(A107="","",IFERROR(AVERAGEIF(CARD_LOG!$C:$C,A107,CARD_LOG!$M:$M),""))</f>
        <v/>
      </c>
      <c r="E107" s="2" t="str">
        <f>IF(A107="","",IF(COUNTIFS(CARD_LOG!$C:$C,A107,CARD_LOG!$L:$L,"Yes",CARD_LOG!$K:$K,"&lt;14")&gt;0,"No","Yes"))</f>
        <v/>
      </c>
      <c r="F107" s="2" t="str">
        <f t="shared" si="1"/>
        <v/>
      </c>
    </row>
    <row r="108" ht="15.75" customHeight="1">
      <c r="B108" s="2" t="str">
        <f>IF(A108="","",VLOOKUP(A108,ROSTER!$A$2:$F$500,3,FALSE))</f>
        <v/>
      </c>
      <c r="C108" s="2" t="str">
        <f>IF(A108="","",COUNTIF(CARD_LOG!$C:$C,A108))</f>
        <v/>
      </c>
      <c r="D108" s="4" t="str">
        <f>IF(A108="","",IFERROR(AVERAGEIF(CARD_LOG!$C:$C,A108,CARD_LOG!$M:$M),""))</f>
        <v/>
      </c>
      <c r="E108" s="2" t="str">
        <f>IF(A108="","",IF(COUNTIFS(CARD_LOG!$C:$C,A108,CARD_LOG!$L:$L,"Yes",CARD_LOG!$K:$K,"&lt;14")&gt;0,"No","Yes"))</f>
        <v/>
      </c>
      <c r="F108" s="2" t="str">
        <f t="shared" si="1"/>
        <v/>
      </c>
    </row>
    <row r="109" ht="15.75" customHeight="1">
      <c r="B109" s="2" t="str">
        <f>IF(A109="","",VLOOKUP(A109,ROSTER!$A$2:$F$500,3,FALSE))</f>
        <v/>
      </c>
      <c r="C109" s="2" t="str">
        <f>IF(A109="","",COUNTIF(CARD_LOG!$C:$C,A109))</f>
        <v/>
      </c>
      <c r="D109" s="4" t="str">
        <f>IF(A109="","",IFERROR(AVERAGEIF(CARD_LOG!$C:$C,A109,CARD_LOG!$M:$M),""))</f>
        <v/>
      </c>
      <c r="E109" s="2" t="str">
        <f>IF(A109="","",IF(COUNTIFS(CARD_LOG!$C:$C,A109,CARD_LOG!$L:$L,"Yes",CARD_LOG!$K:$K,"&lt;14")&gt;0,"No","Yes"))</f>
        <v/>
      </c>
      <c r="F109" s="2" t="str">
        <f t="shared" si="1"/>
        <v/>
      </c>
    </row>
    <row r="110" ht="15.75" customHeight="1">
      <c r="B110" s="2" t="str">
        <f>IF(A110="","",VLOOKUP(A110,ROSTER!$A$2:$F$500,3,FALSE))</f>
        <v/>
      </c>
      <c r="C110" s="2" t="str">
        <f>IF(A110="","",COUNTIF(CARD_LOG!$C:$C,A110))</f>
        <v/>
      </c>
      <c r="D110" s="4" t="str">
        <f>IF(A110="","",IFERROR(AVERAGEIF(CARD_LOG!$C:$C,A110,CARD_LOG!$M:$M),""))</f>
        <v/>
      </c>
      <c r="E110" s="2" t="str">
        <f>IF(A110="","",IF(COUNTIFS(CARD_LOG!$C:$C,A110,CARD_LOG!$L:$L,"Yes",CARD_LOG!$K:$K,"&lt;14")&gt;0,"No","Yes"))</f>
        <v/>
      </c>
      <c r="F110" s="2" t="str">
        <f t="shared" si="1"/>
        <v/>
      </c>
    </row>
    <row r="111" ht="15.75" customHeight="1">
      <c r="B111" s="2" t="str">
        <f>IF(A111="","",VLOOKUP(A111,ROSTER!$A$2:$F$500,3,FALSE))</f>
        <v/>
      </c>
      <c r="C111" s="2" t="str">
        <f>IF(A111="","",COUNTIF(CARD_LOG!$C:$C,A111))</f>
        <v/>
      </c>
      <c r="D111" s="4" t="str">
        <f>IF(A111="","",IFERROR(AVERAGEIF(CARD_LOG!$C:$C,A111,CARD_LOG!$M:$M),""))</f>
        <v/>
      </c>
      <c r="E111" s="2" t="str">
        <f>IF(A111="","",IF(COUNTIFS(CARD_LOG!$C:$C,A111,CARD_LOG!$L:$L,"Yes",CARD_LOG!$K:$K,"&lt;14")&gt;0,"No","Yes"))</f>
        <v/>
      </c>
      <c r="F111" s="2" t="str">
        <f t="shared" si="1"/>
        <v/>
      </c>
    </row>
    <row r="112" ht="15.75" customHeight="1">
      <c r="B112" s="2" t="str">
        <f>IF(A112="","",VLOOKUP(A112,ROSTER!$A$2:$F$500,3,FALSE))</f>
        <v/>
      </c>
      <c r="C112" s="2" t="str">
        <f>IF(A112="","",COUNTIF(CARD_LOG!$C:$C,A112))</f>
        <v/>
      </c>
      <c r="D112" s="4" t="str">
        <f>IF(A112="","",IFERROR(AVERAGEIF(CARD_LOG!$C:$C,A112,CARD_LOG!$M:$M),""))</f>
        <v/>
      </c>
      <c r="E112" s="2" t="str">
        <f>IF(A112="","",IF(COUNTIFS(CARD_LOG!$C:$C,A112,CARD_LOG!$L:$L,"Yes",CARD_LOG!$K:$K,"&lt;14")&gt;0,"No","Yes"))</f>
        <v/>
      </c>
      <c r="F112" s="2" t="str">
        <f t="shared" si="1"/>
        <v/>
      </c>
    </row>
    <row r="113" ht="15.75" customHeight="1">
      <c r="B113" s="2" t="str">
        <f>IF(A113="","",VLOOKUP(A113,ROSTER!$A$2:$F$500,3,FALSE))</f>
        <v/>
      </c>
      <c r="C113" s="2" t="str">
        <f>IF(A113="","",COUNTIF(CARD_LOG!$C:$C,A113))</f>
        <v/>
      </c>
      <c r="D113" s="4" t="str">
        <f>IF(A113="","",IFERROR(AVERAGEIF(CARD_LOG!$C:$C,A113,CARD_LOG!$M:$M),""))</f>
        <v/>
      </c>
      <c r="E113" s="2" t="str">
        <f>IF(A113="","",IF(COUNTIFS(CARD_LOG!$C:$C,A113,CARD_LOG!$L:$L,"Yes",CARD_LOG!$K:$K,"&lt;14")&gt;0,"No","Yes"))</f>
        <v/>
      </c>
      <c r="F113" s="2" t="str">
        <f t="shared" si="1"/>
        <v/>
      </c>
    </row>
    <row r="114" ht="15.75" customHeight="1">
      <c r="B114" s="2" t="str">
        <f>IF(A114="","",VLOOKUP(A114,ROSTER!$A$2:$F$500,3,FALSE))</f>
        <v/>
      </c>
      <c r="C114" s="2" t="str">
        <f>IF(A114="","",COUNTIF(CARD_LOG!$C:$C,A114))</f>
        <v/>
      </c>
      <c r="D114" s="4" t="str">
        <f>IF(A114="","",IFERROR(AVERAGEIF(CARD_LOG!$C:$C,A114,CARD_LOG!$M:$M),""))</f>
        <v/>
      </c>
      <c r="E114" s="2" t="str">
        <f>IF(A114="","",IF(COUNTIFS(CARD_LOG!$C:$C,A114,CARD_LOG!$L:$L,"Yes",CARD_LOG!$K:$K,"&lt;14")&gt;0,"No","Yes"))</f>
        <v/>
      </c>
      <c r="F114" s="2" t="str">
        <f t="shared" si="1"/>
        <v/>
      </c>
    </row>
    <row r="115" ht="15.75" customHeight="1">
      <c r="B115" s="2" t="str">
        <f>IF(A115="","",VLOOKUP(A115,ROSTER!$A$2:$F$500,3,FALSE))</f>
        <v/>
      </c>
      <c r="C115" s="2" t="str">
        <f>IF(A115="","",COUNTIF(CARD_LOG!$C:$C,A115))</f>
        <v/>
      </c>
      <c r="D115" s="4" t="str">
        <f>IF(A115="","",IFERROR(AVERAGEIF(CARD_LOG!$C:$C,A115,CARD_LOG!$M:$M),""))</f>
        <v/>
      </c>
      <c r="E115" s="2" t="str">
        <f>IF(A115="","",IF(COUNTIFS(CARD_LOG!$C:$C,A115,CARD_LOG!$L:$L,"Yes",CARD_LOG!$K:$K,"&lt;14")&gt;0,"No","Yes"))</f>
        <v/>
      </c>
      <c r="F115" s="2" t="str">
        <f t="shared" si="1"/>
        <v/>
      </c>
    </row>
    <row r="116" ht="15.75" customHeight="1">
      <c r="B116" s="2" t="str">
        <f>IF(A116="","",VLOOKUP(A116,ROSTER!$A$2:$F$500,3,FALSE))</f>
        <v/>
      </c>
      <c r="C116" s="2" t="str">
        <f>IF(A116="","",COUNTIF(CARD_LOG!$C:$C,A116))</f>
        <v/>
      </c>
      <c r="D116" s="4" t="str">
        <f>IF(A116="","",IFERROR(AVERAGEIF(CARD_LOG!$C:$C,A116,CARD_LOG!$M:$M),""))</f>
        <v/>
      </c>
      <c r="E116" s="2" t="str">
        <f>IF(A116="","",IF(COUNTIFS(CARD_LOG!$C:$C,A116,CARD_LOG!$L:$L,"Yes",CARD_LOG!$K:$K,"&lt;14")&gt;0,"No","Yes"))</f>
        <v/>
      </c>
      <c r="F116" s="2" t="str">
        <f t="shared" si="1"/>
        <v/>
      </c>
    </row>
    <row r="117" ht="15.75" customHeight="1">
      <c r="B117" s="2" t="str">
        <f>IF(A117="","",VLOOKUP(A117,ROSTER!$A$2:$F$500,3,FALSE))</f>
        <v/>
      </c>
      <c r="C117" s="2" t="str">
        <f>IF(A117="","",COUNTIF(CARD_LOG!$C:$C,A117))</f>
        <v/>
      </c>
      <c r="D117" s="4" t="str">
        <f>IF(A117="","",IFERROR(AVERAGEIF(CARD_LOG!$C:$C,A117,CARD_LOG!$M:$M),""))</f>
        <v/>
      </c>
      <c r="E117" s="2" t="str">
        <f>IF(A117="","",IF(COUNTIFS(CARD_LOG!$C:$C,A117,CARD_LOG!$L:$L,"Yes",CARD_LOG!$K:$K,"&lt;14")&gt;0,"No","Yes"))</f>
        <v/>
      </c>
      <c r="F117" s="2" t="str">
        <f t="shared" si="1"/>
        <v/>
      </c>
    </row>
    <row r="118" ht="15.75" customHeight="1">
      <c r="B118" s="2" t="str">
        <f>IF(A118="","",VLOOKUP(A118,ROSTER!$A$2:$F$500,3,FALSE))</f>
        <v/>
      </c>
      <c r="C118" s="2" t="str">
        <f>IF(A118="","",COUNTIF(CARD_LOG!$C:$C,A118))</f>
        <v/>
      </c>
      <c r="D118" s="4" t="str">
        <f>IF(A118="","",IFERROR(AVERAGEIF(CARD_LOG!$C:$C,A118,CARD_LOG!$M:$M),""))</f>
        <v/>
      </c>
      <c r="E118" s="2" t="str">
        <f>IF(A118="","",IF(COUNTIFS(CARD_LOG!$C:$C,A118,CARD_LOG!$L:$L,"Yes",CARD_LOG!$K:$K,"&lt;14")&gt;0,"No","Yes"))</f>
        <v/>
      </c>
      <c r="F118" s="2" t="str">
        <f t="shared" si="1"/>
        <v/>
      </c>
    </row>
    <row r="119" ht="15.75" customHeight="1">
      <c r="B119" s="2" t="str">
        <f>IF(A119="","",VLOOKUP(A119,ROSTER!$A$2:$F$500,3,FALSE))</f>
        <v/>
      </c>
      <c r="C119" s="2" t="str">
        <f>IF(A119="","",COUNTIF(CARD_LOG!$C:$C,A119))</f>
        <v/>
      </c>
      <c r="D119" s="4" t="str">
        <f>IF(A119="","",IFERROR(AVERAGEIF(CARD_LOG!$C:$C,A119,CARD_LOG!$M:$M),""))</f>
        <v/>
      </c>
      <c r="E119" s="2" t="str">
        <f>IF(A119="","",IF(COUNTIFS(CARD_LOG!$C:$C,A119,CARD_LOG!$L:$L,"Yes",CARD_LOG!$K:$K,"&lt;14")&gt;0,"No","Yes"))</f>
        <v/>
      </c>
      <c r="F119" s="2" t="str">
        <f t="shared" si="1"/>
        <v/>
      </c>
    </row>
    <row r="120" ht="15.75" customHeight="1">
      <c r="B120" s="2" t="str">
        <f>IF(A120="","",VLOOKUP(A120,ROSTER!$A$2:$F$500,3,FALSE))</f>
        <v/>
      </c>
      <c r="C120" s="2" t="str">
        <f>IF(A120="","",COUNTIF(CARD_LOG!$C:$C,A120))</f>
        <v/>
      </c>
      <c r="D120" s="4" t="str">
        <f>IF(A120="","",IFERROR(AVERAGEIF(CARD_LOG!$C:$C,A120,CARD_LOG!$M:$M),""))</f>
        <v/>
      </c>
      <c r="E120" s="2" t="str">
        <f>IF(A120="","",IF(COUNTIFS(CARD_LOG!$C:$C,A120,CARD_LOG!$L:$L,"Yes",CARD_LOG!$K:$K,"&lt;14")&gt;0,"No","Yes"))</f>
        <v/>
      </c>
      <c r="F120" s="2" t="str">
        <f t="shared" si="1"/>
        <v/>
      </c>
    </row>
    <row r="121" ht="15.75" customHeight="1">
      <c r="B121" s="2" t="str">
        <f>IF(A121="","",VLOOKUP(A121,ROSTER!$A$2:$F$500,3,FALSE))</f>
        <v/>
      </c>
      <c r="C121" s="2" t="str">
        <f>IF(A121="","",COUNTIF(CARD_LOG!$C:$C,A121))</f>
        <v/>
      </c>
      <c r="D121" s="4" t="str">
        <f>IF(A121="","",IFERROR(AVERAGEIF(CARD_LOG!$C:$C,A121,CARD_LOG!$M:$M),""))</f>
        <v/>
      </c>
      <c r="E121" s="2" t="str">
        <f>IF(A121="","",IF(COUNTIFS(CARD_LOG!$C:$C,A121,CARD_LOG!$L:$L,"Yes",CARD_LOG!$K:$K,"&lt;14")&gt;0,"No","Yes"))</f>
        <v/>
      </c>
      <c r="F121" s="2" t="str">
        <f t="shared" si="1"/>
        <v/>
      </c>
    </row>
    <row r="122" ht="15.75" customHeight="1">
      <c r="B122" s="2" t="str">
        <f>IF(A122="","",VLOOKUP(A122,ROSTER!$A$2:$F$500,3,FALSE))</f>
        <v/>
      </c>
      <c r="C122" s="2" t="str">
        <f>IF(A122="","",COUNTIF(CARD_LOG!$C:$C,A122))</f>
        <v/>
      </c>
      <c r="D122" s="4" t="str">
        <f>IF(A122="","",IFERROR(AVERAGEIF(CARD_LOG!$C:$C,A122,CARD_LOG!$M:$M),""))</f>
        <v/>
      </c>
      <c r="E122" s="2" t="str">
        <f>IF(A122="","",IF(COUNTIFS(CARD_LOG!$C:$C,A122,CARD_LOG!$L:$L,"Yes",CARD_LOG!$K:$K,"&lt;14")&gt;0,"No","Yes"))</f>
        <v/>
      </c>
      <c r="F122" s="2" t="str">
        <f t="shared" si="1"/>
        <v/>
      </c>
    </row>
    <row r="123" ht="15.75" customHeight="1">
      <c r="B123" s="2" t="str">
        <f>IF(A123="","",VLOOKUP(A123,ROSTER!$A$2:$F$500,3,FALSE))</f>
        <v/>
      </c>
      <c r="C123" s="2" t="str">
        <f>IF(A123="","",COUNTIF(CARD_LOG!$C:$C,A123))</f>
        <v/>
      </c>
      <c r="D123" s="4" t="str">
        <f>IF(A123="","",IFERROR(AVERAGEIF(CARD_LOG!$C:$C,A123,CARD_LOG!$M:$M),""))</f>
        <v/>
      </c>
      <c r="E123" s="2" t="str">
        <f>IF(A123="","",IF(COUNTIFS(CARD_LOG!$C:$C,A123,CARD_LOG!$L:$L,"Yes",CARD_LOG!$K:$K,"&lt;14")&gt;0,"No","Yes"))</f>
        <v/>
      </c>
      <c r="F123" s="2" t="str">
        <f t="shared" si="1"/>
        <v/>
      </c>
    </row>
    <row r="124" ht="15.75" customHeight="1">
      <c r="B124" s="2" t="str">
        <f>IF(A124="","",VLOOKUP(A124,ROSTER!$A$2:$F$500,3,FALSE))</f>
        <v/>
      </c>
      <c r="C124" s="2" t="str">
        <f>IF(A124="","",COUNTIF(CARD_LOG!$C:$C,A124))</f>
        <v/>
      </c>
      <c r="D124" s="4" t="str">
        <f>IF(A124="","",IFERROR(AVERAGEIF(CARD_LOG!$C:$C,A124,CARD_LOG!$M:$M),""))</f>
        <v/>
      </c>
      <c r="E124" s="2" t="str">
        <f>IF(A124="","",IF(COUNTIFS(CARD_LOG!$C:$C,A124,CARD_LOG!$L:$L,"Yes",CARD_LOG!$K:$K,"&lt;14")&gt;0,"No","Yes"))</f>
        <v/>
      </c>
      <c r="F124" s="2" t="str">
        <f t="shared" si="1"/>
        <v/>
      </c>
    </row>
    <row r="125" ht="15.75" customHeight="1">
      <c r="B125" s="2" t="str">
        <f>IF(A125="","",VLOOKUP(A125,ROSTER!$A$2:$F$500,3,FALSE))</f>
        <v/>
      </c>
      <c r="C125" s="2" t="str">
        <f>IF(A125="","",COUNTIF(CARD_LOG!$C:$C,A125))</f>
        <v/>
      </c>
      <c r="D125" s="4" t="str">
        <f>IF(A125="","",IFERROR(AVERAGEIF(CARD_LOG!$C:$C,A125,CARD_LOG!$M:$M),""))</f>
        <v/>
      </c>
      <c r="E125" s="2" t="str">
        <f>IF(A125="","",IF(COUNTIFS(CARD_LOG!$C:$C,A125,CARD_LOG!$L:$L,"Yes",CARD_LOG!$K:$K,"&lt;14")&gt;0,"No","Yes"))</f>
        <v/>
      </c>
      <c r="F125" s="2" t="str">
        <f t="shared" si="1"/>
        <v/>
      </c>
    </row>
    <row r="126" ht="15.75" customHeight="1">
      <c r="B126" s="2" t="str">
        <f>IF(A126="","",VLOOKUP(A126,ROSTER!$A$2:$F$500,3,FALSE))</f>
        <v/>
      </c>
      <c r="C126" s="2" t="str">
        <f>IF(A126="","",COUNTIF(CARD_LOG!$C:$C,A126))</f>
        <v/>
      </c>
      <c r="D126" s="4" t="str">
        <f>IF(A126="","",IFERROR(AVERAGEIF(CARD_LOG!$C:$C,A126,CARD_LOG!$M:$M),""))</f>
        <v/>
      </c>
      <c r="E126" s="2" t="str">
        <f>IF(A126="","",IF(COUNTIFS(CARD_LOG!$C:$C,A126,CARD_LOG!$L:$L,"Yes",CARD_LOG!$K:$K,"&lt;14")&gt;0,"No","Yes"))</f>
        <v/>
      </c>
      <c r="F126" s="2" t="str">
        <f t="shared" si="1"/>
        <v/>
      </c>
    </row>
    <row r="127" ht="15.75" customHeight="1">
      <c r="B127" s="2" t="str">
        <f>IF(A127="","",VLOOKUP(A127,ROSTER!$A$2:$F$500,3,FALSE))</f>
        <v/>
      </c>
      <c r="C127" s="2" t="str">
        <f>IF(A127="","",COUNTIF(CARD_LOG!$C:$C,A127))</f>
        <v/>
      </c>
      <c r="D127" s="4" t="str">
        <f>IF(A127="","",IFERROR(AVERAGEIF(CARD_LOG!$C:$C,A127,CARD_LOG!$M:$M),""))</f>
        <v/>
      </c>
      <c r="E127" s="2" t="str">
        <f>IF(A127="","",IF(COUNTIFS(CARD_LOG!$C:$C,A127,CARD_LOG!$L:$L,"Yes",CARD_LOG!$K:$K,"&lt;14")&gt;0,"No","Yes"))</f>
        <v/>
      </c>
      <c r="F127" s="2" t="str">
        <f t="shared" si="1"/>
        <v/>
      </c>
    </row>
    <row r="128" ht="15.75" customHeight="1">
      <c r="B128" s="2" t="str">
        <f>IF(A128="","",VLOOKUP(A128,ROSTER!$A$2:$F$500,3,FALSE))</f>
        <v/>
      </c>
      <c r="C128" s="2" t="str">
        <f>IF(A128="","",COUNTIF(CARD_LOG!$C:$C,A128))</f>
        <v/>
      </c>
      <c r="D128" s="4" t="str">
        <f>IF(A128="","",IFERROR(AVERAGEIF(CARD_LOG!$C:$C,A128,CARD_LOG!$M:$M),""))</f>
        <v/>
      </c>
      <c r="E128" s="2" t="str">
        <f>IF(A128="","",IF(COUNTIFS(CARD_LOG!$C:$C,A128,CARD_LOG!$L:$L,"Yes",CARD_LOG!$K:$K,"&lt;14")&gt;0,"No","Yes"))</f>
        <v/>
      </c>
      <c r="F128" s="2" t="str">
        <f t="shared" si="1"/>
        <v/>
      </c>
    </row>
    <row r="129" ht="15.75" customHeight="1">
      <c r="B129" s="2" t="str">
        <f>IF(A129="","",VLOOKUP(A129,ROSTER!$A$2:$F$500,3,FALSE))</f>
        <v/>
      </c>
      <c r="C129" s="2" t="str">
        <f>IF(A129="","",COUNTIF(CARD_LOG!$C:$C,A129))</f>
        <v/>
      </c>
      <c r="D129" s="4" t="str">
        <f>IF(A129="","",IFERROR(AVERAGEIF(CARD_LOG!$C:$C,A129,CARD_LOG!$M:$M),""))</f>
        <v/>
      </c>
      <c r="E129" s="2" t="str">
        <f>IF(A129="","",IF(COUNTIFS(CARD_LOG!$C:$C,A129,CARD_LOG!$L:$L,"Yes",CARD_LOG!$K:$K,"&lt;14")&gt;0,"No","Yes"))</f>
        <v/>
      </c>
      <c r="F129" s="2" t="str">
        <f t="shared" si="1"/>
        <v/>
      </c>
    </row>
    <row r="130" ht="15.75" customHeight="1">
      <c r="B130" s="2" t="str">
        <f>IF(A130="","",VLOOKUP(A130,ROSTER!$A$2:$F$500,3,FALSE))</f>
        <v/>
      </c>
      <c r="C130" s="2" t="str">
        <f>IF(A130="","",COUNTIF(CARD_LOG!$C:$C,A130))</f>
        <v/>
      </c>
      <c r="D130" s="4" t="str">
        <f>IF(A130="","",IFERROR(AVERAGEIF(CARD_LOG!$C:$C,A130,CARD_LOG!$M:$M),""))</f>
        <v/>
      </c>
      <c r="E130" s="2" t="str">
        <f>IF(A130="","",IF(COUNTIFS(CARD_LOG!$C:$C,A130,CARD_LOG!$L:$L,"Yes",CARD_LOG!$K:$K,"&lt;14")&gt;0,"No","Yes"))</f>
        <v/>
      </c>
      <c r="F130" s="2" t="str">
        <f t="shared" si="1"/>
        <v/>
      </c>
    </row>
    <row r="131" ht="15.75" customHeight="1">
      <c r="B131" s="2" t="str">
        <f>IF(A131="","",VLOOKUP(A131,ROSTER!$A$2:$F$500,3,FALSE))</f>
        <v/>
      </c>
      <c r="C131" s="2" t="str">
        <f>IF(A131="","",COUNTIF(CARD_LOG!$C:$C,A131))</f>
        <v/>
      </c>
      <c r="D131" s="4" t="str">
        <f>IF(A131="","",IFERROR(AVERAGEIF(CARD_LOG!$C:$C,A131,CARD_LOG!$M:$M),""))</f>
        <v/>
      </c>
      <c r="E131" s="2" t="str">
        <f>IF(A131="","",IF(COUNTIFS(CARD_LOG!$C:$C,A131,CARD_LOG!$L:$L,"Yes",CARD_LOG!$K:$K,"&lt;14")&gt;0,"No","Yes"))</f>
        <v/>
      </c>
      <c r="F131" s="2" t="str">
        <f t="shared" si="1"/>
        <v/>
      </c>
    </row>
    <row r="132" ht="15.75" customHeight="1">
      <c r="B132" s="2" t="str">
        <f>IF(A132="","",VLOOKUP(A132,ROSTER!$A$2:$F$500,3,FALSE))</f>
        <v/>
      </c>
      <c r="C132" s="2" t="str">
        <f>IF(A132="","",COUNTIF(CARD_LOG!$C:$C,A132))</f>
        <v/>
      </c>
      <c r="D132" s="4" t="str">
        <f>IF(A132="","",IFERROR(AVERAGEIF(CARD_LOG!$C:$C,A132,CARD_LOG!$M:$M),""))</f>
        <v/>
      </c>
      <c r="E132" s="2" t="str">
        <f>IF(A132="","",IF(COUNTIFS(CARD_LOG!$C:$C,A132,CARD_LOG!$L:$L,"Yes",CARD_LOG!$K:$K,"&lt;14")&gt;0,"No","Yes"))</f>
        <v/>
      </c>
      <c r="F132" s="2" t="str">
        <f t="shared" si="1"/>
        <v/>
      </c>
    </row>
    <row r="133" ht="15.75" customHeight="1">
      <c r="B133" s="2" t="str">
        <f>IF(A133="","",VLOOKUP(A133,ROSTER!$A$2:$F$500,3,FALSE))</f>
        <v/>
      </c>
      <c r="C133" s="2" t="str">
        <f>IF(A133="","",COUNTIF(CARD_LOG!$C:$C,A133))</f>
        <v/>
      </c>
      <c r="D133" s="4" t="str">
        <f>IF(A133="","",IFERROR(AVERAGEIF(CARD_LOG!$C:$C,A133,CARD_LOG!$M:$M),""))</f>
        <v/>
      </c>
      <c r="E133" s="2" t="str">
        <f>IF(A133="","",IF(COUNTIFS(CARD_LOG!$C:$C,A133,CARD_LOG!$L:$L,"Yes",CARD_LOG!$K:$K,"&lt;14")&gt;0,"No","Yes"))</f>
        <v/>
      </c>
      <c r="F133" s="2" t="str">
        <f t="shared" si="1"/>
        <v/>
      </c>
    </row>
    <row r="134" ht="15.75" customHeight="1">
      <c r="B134" s="2" t="str">
        <f>IF(A134="","",VLOOKUP(A134,ROSTER!$A$2:$F$500,3,FALSE))</f>
        <v/>
      </c>
      <c r="C134" s="2" t="str">
        <f>IF(A134="","",COUNTIF(CARD_LOG!$C:$C,A134))</f>
        <v/>
      </c>
      <c r="D134" s="4" t="str">
        <f>IF(A134="","",IFERROR(AVERAGEIF(CARD_LOG!$C:$C,A134,CARD_LOG!$M:$M),""))</f>
        <v/>
      </c>
      <c r="E134" s="2" t="str">
        <f>IF(A134="","",IF(COUNTIFS(CARD_LOG!$C:$C,A134,CARD_LOG!$L:$L,"Yes",CARD_LOG!$K:$K,"&lt;14")&gt;0,"No","Yes"))</f>
        <v/>
      </c>
      <c r="F134" s="2" t="str">
        <f t="shared" si="1"/>
        <v/>
      </c>
    </row>
    <row r="135" ht="15.75" customHeight="1">
      <c r="B135" s="2" t="str">
        <f>IF(A135="","",VLOOKUP(A135,ROSTER!$A$2:$F$500,3,FALSE))</f>
        <v/>
      </c>
      <c r="C135" s="2" t="str">
        <f>IF(A135="","",COUNTIF(CARD_LOG!$C:$C,A135))</f>
        <v/>
      </c>
      <c r="D135" s="4" t="str">
        <f>IF(A135="","",IFERROR(AVERAGEIF(CARD_LOG!$C:$C,A135,CARD_LOG!$M:$M),""))</f>
        <v/>
      </c>
      <c r="E135" s="2" t="str">
        <f>IF(A135="","",IF(COUNTIFS(CARD_LOG!$C:$C,A135,CARD_LOG!$L:$L,"Yes",CARD_LOG!$K:$K,"&lt;14")&gt;0,"No","Yes"))</f>
        <v/>
      </c>
      <c r="F135" s="2" t="str">
        <f t="shared" si="1"/>
        <v/>
      </c>
    </row>
    <row r="136" ht="15.75" customHeight="1">
      <c r="B136" s="2" t="str">
        <f>IF(A136="","",VLOOKUP(A136,ROSTER!$A$2:$F$500,3,FALSE))</f>
        <v/>
      </c>
      <c r="C136" s="2" t="str">
        <f>IF(A136="","",COUNTIF(CARD_LOG!$C:$C,A136))</f>
        <v/>
      </c>
      <c r="D136" s="4" t="str">
        <f>IF(A136="","",IFERROR(AVERAGEIF(CARD_LOG!$C:$C,A136,CARD_LOG!$M:$M),""))</f>
        <v/>
      </c>
      <c r="E136" s="2" t="str">
        <f>IF(A136="","",IF(COUNTIFS(CARD_LOG!$C:$C,A136,CARD_LOG!$L:$L,"Yes",CARD_LOG!$K:$K,"&lt;14")&gt;0,"No","Yes"))</f>
        <v/>
      </c>
      <c r="F136" s="2" t="str">
        <f t="shared" si="1"/>
        <v/>
      </c>
    </row>
    <row r="137" ht="15.75" customHeight="1">
      <c r="B137" s="2" t="str">
        <f>IF(A137="","",VLOOKUP(A137,ROSTER!$A$2:$F$500,3,FALSE))</f>
        <v/>
      </c>
      <c r="C137" s="2" t="str">
        <f>IF(A137="","",COUNTIF(CARD_LOG!$C:$C,A137))</f>
        <v/>
      </c>
      <c r="D137" s="4" t="str">
        <f>IF(A137="","",IFERROR(AVERAGEIF(CARD_LOG!$C:$C,A137,CARD_LOG!$M:$M),""))</f>
        <v/>
      </c>
      <c r="E137" s="2" t="str">
        <f>IF(A137="","",IF(COUNTIFS(CARD_LOG!$C:$C,A137,CARD_LOG!$L:$L,"Yes",CARD_LOG!$K:$K,"&lt;14")&gt;0,"No","Yes"))</f>
        <v/>
      </c>
      <c r="F137" s="2" t="str">
        <f t="shared" si="1"/>
        <v/>
      </c>
    </row>
    <row r="138" ht="15.75" customHeight="1">
      <c r="B138" s="2" t="str">
        <f>IF(A138="","",VLOOKUP(A138,ROSTER!$A$2:$F$500,3,FALSE))</f>
        <v/>
      </c>
      <c r="C138" s="2" t="str">
        <f>IF(A138="","",COUNTIF(CARD_LOG!$C:$C,A138))</f>
        <v/>
      </c>
      <c r="D138" s="4" t="str">
        <f>IF(A138="","",IFERROR(AVERAGEIF(CARD_LOG!$C:$C,A138,CARD_LOG!$M:$M),""))</f>
        <v/>
      </c>
      <c r="E138" s="2" t="str">
        <f>IF(A138="","",IF(COUNTIFS(CARD_LOG!$C:$C,A138,CARD_LOG!$L:$L,"Yes",CARD_LOG!$K:$K,"&lt;14")&gt;0,"No","Yes"))</f>
        <v/>
      </c>
      <c r="F138" s="2" t="str">
        <f t="shared" si="1"/>
        <v/>
      </c>
    </row>
    <row r="139" ht="15.75" customHeight="1">
      <c r="B139" s="2" t="str">
        <f>IF(A139="","",VLOOKUP(A139,ROSTER!$A$2:$F$500,3,FALSE))</f>
        <v/>
      </c>
      <c r="C139" s="2" t="str">
        <f>IF(A139="","",COUNTIF(CARD_LOG!$C:$C,A139))</f>
        <v/>
      </c>
      <c r="D139" s="4" t="str">
        <f>IF(A139="","",IFERROR(AVERAGEIF(CARD_LOG!$C:$C,A139,CARD_LOG!$M:$M),""))</f>
        <v/>
      </c>
      <c r="E139" s="2" t="str">
        <f>IF(A139="","",IF(COUNTIFS(CARD_LOG!$C:$C,A139,CARD_LOG!$L:$L,"Yes",CARD_LOG!$K:$K,"&lt;14")&gt;0,"No","Yes"))</f>
        <v/>
      </c>
      <c r="F139" s="2" t="str">
        <f t="shared" si="1"/>
        <v/>
      </c>
    </row>
    <row r="140" ht="15.75" customHeight="1">
      <c r="B140" s="2" t="str">
        <f>IF(A140="","",VLOOKUP(A140,ROSTER!$A$2:$F$500,3,FALSE))</f>
        <v/>
      </c>
      <c r="C140" s="2" t="str">
        <f>IF(A140="","",COUNTIF(CARD_LOG!$C:$C,A140))</f>
        <v/>
      </c>
      <c r="D140" s="4" t="str">
        <f>IF(A140="","",IFERROR(AVERAGEIF(CARD_LOG!$C:$C,A140,CARD_LOG!$M:$M),""))</f>
        <v/>
      </c>
      <c r="E140" s="2" t="str">
        <f>IF(A140="","",IF(COUNTIFS(CARD_LOG!$C:$C,A140,CARD_LOG!$L:$L,"Yes",CARD_LOG!$K:$K,"&lt;14")&gt;0,"No","Yes"))</f>
        <v/>
      </c>
      <c r="F140" s="2" t="str">
        <f t="shared" si="1"/>
        <v/>
      </c>
    </row>
    <row r="141" ht="15.75" customHeight="1">
      <c r="B141" s="2" t="str">
        <f>IF(A141="","",VLOOKUP(A141,ROSTER!$A$2:$F$500,3,FALSE))</f>
        <v/>
      </c>
      <c r="C141" s="2" t="str">
        <f>IF(A141="","",COUNTIF(CARD_LOG!$C:$C,A141))</f>
        <v/>
      </c>
      <c r="D141" s="4" t="str">
        <f>IF(A141="","",IFERROR(AVERAGEIF(CARD_LOG!$C:$C,A141,CARD_LOG!$M:$M),""))</f>
        <v/>
      </c>
      <c r="E141" s="2" t="str">
        <f>IF(A141="","",IF(COUNTIFS(CARD_LOG!$C:$C,A141,CARD_LOG!$L:$L,"Yes",CARD_LOG!$K:$K,"&lt;14")&gt;0,"No","Yes"))</f>
        <v/>
      </c>
      <c r="F141" s="2" t="str">
        <f t="shared" si="1"/>
        <v/>
      </c>
    </row>
    <row r="142" ht="15.75" customHeight="1">
      <c r="B142" s="2" t="str">
        <f>IF(A142="","",VLOOKUP(A142,ROSTER!$A$2:$F$500,3,FALSE))</f>
        <v/>
      </c>
      <c r="C142" s="2" t="str">
        <f>IF(A142="","",COUNTIF(CARD_LOG!$C:$C,A142))</f>
        <v/>
      </c>
      <c r="D142" s="4" t="str">
        <f>IF(A142="","",IFERROR(AVERAGEIF(CARD_LOG!$C:$C,A142,CARD_LOG!$M:$M),""))</f>
        <v/>
      </c>
      <c r="E142" s="2" t="str">
        <f>IF(A142="","",IF(COUNTIFS(CARD_LOG!$C:$C,A142,CARD_LOG!$L:$L,"Yes",CARD_LOG!$K:$K,"&lt;14")&gt;0,"No","Yes"))</f>
        <v/>
      </c>
      <c r="F142" s="2" t="str">
        <f t="shared" si="1"/>
        <v/>
      </c>
    </row>
    <row r="143" ht="15.75" customHeight="1">
      <c r="B143" s="2" t="str">
        <f>IF(A143="","",VLOOKUP(A143,ROSTER!$A$2:$F$500,3,FALSE))</f>
        <v/>
      </c>
      <c r="C143" s="2" t="str">
        <f>IF(A143="","",COUNTIF(CARD_LOG!$C:$C,A143))</f>
        <v/>
      </c>
      <c r="D143" s="4" t="str">
        <f>IF(A143="","",IFERROR(AVERAGEIF(CARD_LOG!$C:$C,A143,CARD_LOG!$M:$M),""))</f>
        <v/>
      </c>
      <c r="E143" s="2" t="str">
        <f>IF(A143="","",IF(COUNTIFS(CARD_LOG!$C:$C,A143,CARD_LOG!$L:$L,"Yes",CARD_LOG!$K:$K,"&lt;14")&gt;0,"No","Yes"))</f>
        <v/>
      </c>
      <c r="F143" s="2" t="str">
        <f t="shared" si="1"/>
        <v/>
      </c>
    </row>
    <row r="144" ht="15.75" customHeight="1">
      <c r="B144" s="2" t="str">
        <f>IF(A144="","",VLOOKUP(A144,ROSTER!$A$2:$F$500,3,FALSE))</f>
        <v/>
      </c>
      <c r="C144" s="2" t="str">
        <f>IF(A144="","",COUNTIF(CARD_LOG!$C:$C,A144))</f>
        <v/>
      </c>
      <c r="D144" s="4" t="str">
        <f>IF(A144="","",IFERROR(AVERAGEIF(CARD_LOG!$C:$C,A144,CARD_LOG!$M:$M),""))</f>
        <v/>
      </c>
      <c r="E144" s="2" t="str">
        <f>IF(A144="","",IF(COUNTIFS(CARD_LOG!$C:$C,A144,CARD_LOG!$L:$L,"Yes",CARD_LOG!$K:$K,"&lt;14")&gt;0,"No","Yes"))</f>
        <v/>
      </c>
      <c r="F144" s="2" t="str">
        <f t="shared" si="1"/>
        <v/>
      </c>
    </row>
    <row r="145" ht="15.75" customHeight="1">
      <c r="B145" s="2" t="str">
        <f>IF(A145="","",VLOOKUP(A145,ROSTER!$A$2:$F$500,3,FALSE))</f>
        <v/>
      </c>
      <c r="C145" s="2" t="str">
        <f>IF(A145="","",COUNTIF(CARD_LOG!$C:$C,A145))</f>
        <v/>
      </c>
      <c r="D145" s="4" t="str">
        <f>IF(A145="","",IFERROR(AVERAGEIF(CARD_LOG!$C:$C,A145,CARD_LOG!$M:$M),""))</f>
        <v/>
      </c>
      <c r="E145" s="2" t="str">
        <f>IF(A145="","",IF(COUNTIFS(CARD_LOG!$C:$C,A145,CARD_LOG!$L:$L,"Yes",CARD_LOG!$K:$K,"&lt;14")&gt;0,"No","Yes"))</f>
        <v/>
      </c>
      <c r="F145" s="2" t="str">
        <f t="shared" si="1"/>
        <v/>
      </c>
    </row>
    <row r="146" ht="15.75" customHeight="1">
      <c r="B146" s="2" t="str">
        <f>IF(A146="","",VLOOKUP(A146,ROSTER!$A$2:$F$500,3,FALSE))</f>
        <v/>
      </c>
      <c r="C146" s="2" t="str">
        <f>IF(A146="","",COUNTIF(CARD_LOG!$C:$C,A146))</f>
        <v/>
      </c>
      <c r="D146" s="4" t="str">
        <f>IF(A146="","",IFERROR(AVERAGEIF(CARD_LOG!$C:$C,A146,CARD_LOG!$M:$M),""))</f>
        <v/>
      </c>
      <c r="E146" s="2" t="str">
        <f>IF(A146="","",IF(COUNTIFS(CARD_LOG!$C:$C,A146,CARD_LOG!$L:$L,"Yes",CARD_LOG!$K:$K,"&lt;14")&gt;0,"No","Yes"))</f>
        <v/>
      </c>
      <c r="F146" s="2" t="str">
        <f t="shared" si="1"/>
        <v/>
      </c>
    </row>
    <row r="147" ht="15.75" customHeight="1">
      <c r="B147" s="2" t="str">
        <f>IF(A147="","",VLOOKUP(A147,ROSTER!$A$2:$F$500,3,FALSE))</f>
        <v/>
      </c>
      <c r="C147" s="2" t="str">
        <f>IF(A147="","",COUNTIF(CARD_LOG!$C:$C,A147))</f>
        <v/>
      </c>
      <c r="D147" s="4" t="str">
        <f>IF(A147="","",IFERROR(AVERAGEIF(CARD_LOG!$C:$C,A147,CARD_LOG!$M:$M),""))</f>
        <v/>
      </c>
      <c r="E147" s="2" t="str">
        <f>IF(A147="","",IF(COUNTIFS(CARD_LOG!$C:$C,A147,CARD_LOG!$L:$L,"Yes",CARD_LOG!$K:$K,"&lt;14")&gt;0,"No","Yes"))</f>
        <v/>
      </c>
      <c r="F147" s="2" t="str">
        <f t="shared" si="1"/>
        <v/>
      </c>
    </row>
    <row r="148" ht="15.75" customHeight="1">
      <c r="B148" s="2" t="str">
        <f>IF(A148="","",VLOOKUP(A148,ROSTER!$A$2:$F$500,3,FALSE))</f>
        <v/>
      </c>
      <c r="C148" s="2" t="str">
        <f>IF(A148="","",COUNTIF(CARD_LOG!$C:$C,A148))</f>
        <v/>
      </c>
      <c r="D148" s="4" t="str">
        <f>IF(A148="","",IFERROR(AVERAGEIF(CARD_LOG!$C:$C,A148,CARD_LOG!$M:$M),""))</f>
        <v/>
      </c>
      <c r="E148" s="2" t="str">
        <f>IF(A148="","",IF(COUNTIFS(CARD_LOG!$C:$C,A148,CARD_LOG!$L:$L,"Yes",CARD_LOG!$K:$K,"&lt;14")&gt;0,"No","Yes"))</f>
        <v/>
      </c>
      <c r="F148" s="2" t="str">
        <f t="shared" si="1"/>
        <v/>
      </c>
    </row>
    <row r="149" ht="15.75" customHeight="1">
      <c r="B149" s="2" t="str">
        <f>IF(A149="","",VLOOKUP(A149,ROSTER!$A$2:$F$500,3,FALSE))</f>
        <v/>
      </c>
      <c r="C149" s="2" t="str">
        <f>IF(A149="","",COUNTIF(CARD_LOG!$C:$C,A149))</f>
        <v/>
      </c>
      <c r="D149" s="4" t="str">
        <f>IF(A149="","",IFERROR(AVERAGEIF(CARD_LOG!$C:$C,A149,CARD_LOG!$M:$M),""))</f>
        <v/>
      </c>
      <c r="E149" s="2" t="str">
        <f>IF(A149="","",IF(COUNTIFS(CARD_LOG!$C:$C,A149,CARD_LOG!$L:$L,"Yes",CARD_LOG!$K:$K,"&lt;14")&gt;0,"No","Yes"))</f>
        <v/>
      </c>
      <c r="F149" s="2" t="str">
        <f t="shared" si="1"/>
        <v/>
      </c>
    </row>
    <row r="150" ht="15.75" customHeight="1">
      <c r="B150" s="2" t="str">
        <f>IF(A150="","",VLOOKUP(A150,ROSTER!$A$2:$F$500,3,FALSE))</f>
        <v/>
      </c>
      <c r="C150" s="2" t="str">
        <f>IF(A150="","",COUNTIF(CARD_LOG!$C:$C,A150))</f>
        <v/>
      </c>
      <c r="D150" s="4" t="str">
        <f>IF(A150="","",IFERROR(AVERAGEIF(CARD_LOG!$C:$C,A150,CARD_LOG!$M:$M),""))</f>
        <v/>
      </c>
      <c r="E150" s="2" t="str">
        <f>IF(A150="","",IF(COUNTIFS(CARD_LOG!$C:$C,A150,CARD_LOG!$L:$L,"Yes",CARD_LOG!$K:$K,"&lt;14")&gt;0,"No","Yes"))</f>
        <v/>
      </c>
      <c r="F150" s="2" t="str">
        <f t="shared" si="1"/>
        <v/>
      </c>
    </row>
    <row r="151" ht="15.75" customHeight="1">
      <c r="B151" s="2" t="str">
        <f>IF(A151="","",VLOOKUP(A151,ROSTER!$A$2:$F$500,3,FALSE))</f>
        <v/>
      </c>
      <c r="C151" s="2" t="str">
        <f>IF(A151="","",COUNTIF(CARD_LOG!$C:$C,A151))</f>
        <v/>
      </c>
      <c r="D151" s="4" t="str">
        <f>IF(A151="","",IFERROR(AVERAGEIF(CARD_LOG!$C:$C,A151,CARD_LOG!$M:$M),""))</f>
        <v/>
      </c>
      <c r="E151" s="2" t="str">
        <f>IF(A151="","",IF(COUNTIFS(CARD_LOG!$C:$C,A151,CARD_LOG!$L:$L,"Yes",CARD_LOG!$K:$K,"&lt;14")&gt;0,"No","Yes"))</f>
        <v/>
      </c>
      <c r="F151" s="2" t="str">
        <f t="shared" si="1"/>
        <v/>
      </c>
    </row>
    <row r="152" ht="15.75" customHeight="1">
      <c r="B152" s="2" t="str">
        <f>IF(A152="","",VLOOKUP(A152,ROSTER!$A$2:$F$500,3,FALSE))</f>
        <v/>
      </c>
      <c r="C152" s="2" t="str">
        <f>IF(A152="","",COUNTIF(CARD_LOG!$C:$C,A152))</f>
        <v/>
      </c>
      <c r="D152" s="4" t="str">
        <f>IF(A152="","",IFERROR(AVERAGEIF(CARD_LOG!$C:$C,A152,CARD_LOG!$M:$M),""))</f>
        <v/>
      </c>
      <c r="E152" s="2" t="str">
        <f>IF(A152="","",IF(COUNTIFS(CARD_LOG!$C:$C,A152,CARD_LOG!$L:$L,"Yes",CARD_LOG!$K:$K,"&lt;14")&gt;0,"No","Yes"))</f>
        <v/>
      </c>
      <c r="F152" s="2" t="str">
        <f t="shared" si="1"/>
        <v/>
      </c>
    </row>
    <row r="153" ht="15.75" customHeight="1">
      <c r="B153" s="2" t="str">
        <f>IF(A153="","",VLOOKUP(A153,ROSTER!$A$2:$F$500,3,FALSE))</f>
        <v/>
      </c>
      <c r="C153" s="2" t="str">
        <f>IF(A153="","",COUNTIF(CARD_LOG!$C:$C,A153))</f>
        <v/>
      </c>
      <c r="D153" s="4" t="str">
        <f>IF(A153="","",IFERROR(AVERAGEIF(CARD_LOG!$C:$C,A153,CARD_LOG!$M:$M),""))</f>
        <v/>
      </c>
      <c r="E153" s="2" t="str">
        <f>IF(A153="","",IF(COUNTIFS(CARD_LOG!$C:$C,A153,CARD_LOG!$L:$L,"Yes",CARD_LOG!$K:$K,"&lt;14")&gt;0,"No","Yes"))</f>
        <v/>
      </c>
      <c r="F153" s="2" t="str">
        <f t="shared" si="1"/>
        <v/>
      </c>
    </row>
    <row r="154" ht="15.75" customHeight="1">
      <c r="B154" s="2" t="str">
        <f>IF(A154="","",VLOOKUP(A154,ROSTER!$A$2:$F$500,3,FALSE))</f>
        <v/>
      </c>
      <c r="C154" s="2" t="str">
        <f>IF(A154="","",COUNTIF(CARD_LOG!$C:$C,A154))</f>
        <v/>
      </c>
      <c r="D154" s="4" t="str">
        <f>IF(A154="","",IFERROR(AVERAGEIF(CARD_LOG!$C:$C,A154,CARD_LOG!$M:$M),""))</f>
        <v/>
      </c>
      <c r="E154" s="2" t="str">
        <f>IF(A154="","",IF(COUNTIFS(CARD_LOG!$C:$C,A154,CARD_LOG!$L:$L,"Yes",CARD_LOG!$K:$K,"&lt;14")&gt;0,"No","Yes"))</f>
        <v/>
      </c>
      <c r="F154" s="2" t="str">
        <f t="shared" si="1"/>
        <v/>
      </c>
    </row>
    <row r="155" ht="15.75" customHeight="1">
      <c r="B155" s="2" t="str">
        <f>IF(A155="","",VLOOKUP(A155,ROSTER!$A$2:$F$500,3,FALSE))</f>
        <v/>
      </c>
      <c r="C155" s="2" t="str">
        <f>IF(A155="","",COUNTIF(CARD_LOG!$C:$C,A155))</f>
        <v/>
      </c>
      <c r="D155" s="4" t="str">
        <f>IF(A155="","",IFERROR(AVERAGEIF(CARD_LOG!$C:$C,A155,CARD_LOG!$M:$M),""))</f>
        <v/>
      </c>
      <c r="E155" s="2" t="str">
        <f>IF(A155="","",IF(COUNTIFS(CARD_LOG!$C:$C,A155,CARD_LOG!$L:$L,"Yes",CARD_LOG!$K:$K,"&lt;14")&gt;0,"No","Yes"))</f>
        <v/>
      </c>
      <c r="F155" s="2" t="str">
        <f t="shared" si="1"/>
        <v/>
      </c>
    </row>
    <row r="156" ht="15.75" customHeight="1">
      <c r="B156" s="2" t="str">
        <f>IF(A156="","",VLOOKUP(A156,ROSTER!$A$2:$F$500,3,FALSE))</f>
        <v/>
      </c>
      <c r="C156" s="2" t="str">
        <f>IF(A156="","",COUNTIF(CARD_LOG!$C:$C,A156))</f>
        <v/>
      </c>
      <c r="D156" s="4" t="str">
        <f>IF(A156="","",IFERROR(AVERAGEIF(CARD_LOG!$C:$C,A156,CARD_LOG!$M:$M),""))</f>
        <v/>
      </c>
      <c r="E156" s="2" t="str">
        <f>IF(A156="","",IF(COUNTIFS(CARD_LOG!$C:$C,A156,CARD_LOG!$L:$L,"Yes",CARD_LOG!$K:$K,"&lt;14")&gt;0,"No","Yes"))</f>
        <v/>
      </c>
      <c r="F156" s="2" t="str">
        <f t="shared" si="1"/>
        <v/>
      </c>
    </row>
    <row r="157" ht="15.75" customHeight="1">
      <c r="B157" s="2" t="str">
        <f>IF(A157="","",VLOOKUP(A157,ROSTER!$A$2:$F$500,3,FALSE))</f>
        <v/>
      </c>
      <c r="C157" s="2" t="str">
        <f>IF(A157="","",COUNTIF(CARD_LOG!$C:$C,A157))</f>
        <v/>
      </c>
      <c r="D157" s="4" t="str">
        <f>IF(A157="","",IFERROR(AVERAGEIF(CARD_LOG!$C:$C,A157,CARD_LOG!$M:$M),""))</f>
        <v/>
      </c>
      <c r="E157" s="2" t="str">
        <f>IF(A157="","",IF(COUNTIFS(CARD_LOG!$C:$C,A157,CARD_LOG!$L:$L,"Yes",CARD_LOG!$K:$K,"&lt;14")&gt;0,"No","Yes"))</f>
        <v/>
      </c>
      <c r="F157" s="2" t="str">
        <f t="shared" si="1"/>
        <v/>
      </c>
    </row>
    <row r="158" ht="15.75" customHeight="1">
      <c r="B158" s="2" t="str">
        <f>IF(A158="","",VLOOKUP(A158,ROSTER!$A$2:$F$500,3,FALSE))</f>
        <v/>
      </c>
      <c r="C158" s="2" t="str">
        <f>IF(A158="","",COUNTIF(CARD_LOG!$C:$C,A158))</f>
        <v/>
      </c>
      <c r="D158" s="4" t="str">
        <f>IF(A158="","",IFERROR(AVERAGEIF(CARD_LOG!$C:$C,A158,CARD_LOG!$M:$M),""))</f>
        <v/>
      </c>
      <c r="E158" s="2" t="str">
        <f>IF(A158="","",IF(COUNTIFS(CARD_LOG!$C:$C,A158,CARD_LOG!$L:$L,"Yes",CARD_LOG!$K:$K,"&lt;14")&gt;0,"No","Yes"))</f>
        <v/>
      </c>
      <c r="F158" s="2" t="str">
        <f t="shared" si="1"/>
        <v/>
      </c>
    </row>
    <row r="159" ht="15.75" customHeight="1">
      <c r="B159" s="2" t="str">
        <f>IF(A159="","",VLOOKUP(A159,ROSTER!$A$2:$F$500,3,FALSE))</f>
        <v/>
      </c>
      <c r="C159" s="2" t="str">
        <f>IF(A159="","",COUNTIF(CARD_LOG!$C:$C,A159))</f>
        <v/>
      </c>
      <c r="D159" s="4" t="str">
        <f>IF(A159="","",IFERROR(AVERAGEIF(CARD_LOG!$C:$C,A159,CARD_LOG!$M:$M),""))</f>
        <v/>
      </c>
      <c r="E159" s="2" t="str">
        <f>IF(A159="","",IF(COUNTIFS(CARD_LOG!$C:$C,A159,CARD_LOG!$L:$L,"Yes",CARD_LOG!$K:$K,"&lt;14")&gt;0,"No","Yes"))</f>
        <v/>
      </c>
      <c r="F159" s="2" t="str">
        <f t="shared" si="1"/>
        <v/>
      </c>
    </row>
    <row r="160" ht="15.75" customHeight="1">
      <c r="B160" s="2" t="str">
        <f>IF(A160="","",VLOOKUP(A160,ROSTER!$A$2:$F$500,3,FALSE))</f>
        <v/>
      </c>
      <c r="C160" s="2" t="str">
        <f>IF(A160="","",COUNTIF(CARD_LOG!$C:$C,A160))</f>
        <v/>
      </c>
      <c r="D160" s="4" t="str">
        <f>IF(A160="","",IFERROR(AVERAGEIF(CARD_LOG!$C:$C,A160,CARD_LOG!$M:$M),""))</f>
        <v/>
      </c>
      <c r="E160" s="2" t="str">
        <f>IF(A160="","",IF(COUNTIFS(CARD_LOG!$C:$C,A160,CARD_LOG!$L:$L,"Yes",CARD_LOG!$K:$K,"&lt;14")&gt;0,"No","Yes"))</f>
        <v/>
      </c>
      <c r="F160" s="2" t="str">
        <f t="shared" si="1"/>
        <v/>
      </c>
    </row>
    <row r="161" ht="15.75" customHeight="1">
      <c r="B161" s="2" t="str">
        <f>IF(A161="","",VLOOKUP(A161,ROSTER!$A$2:$F$500,3,FALSE))</f>
        <v/>
      </c>
      <c r="C161" s="2" t="str">
        <f>IF(A161="","",COUNTIF(CARD_LOG!$C:$C,A161))</f>
        <v/>
      </c>
      <c r="D161" s="4" t="str">
        <f>IF(A161="","",IFERROR(AVERAGEIF(CARD_LOG!$C:$C,A161,CARD_LOG!$M:$M),""))</f>
        <v/>
      </c>
      <c r="E161" s="2" t="str">
        <f>IF(A161="","",IF(COUNTIFS(CARD_LOG!$C:$C,A161,CARD_LOG!$L:$L,"Yes",CARD_LOG!$K:$K,"&lt;14")&gt;0,"No","Yes"))</f>
        <v/>
      </c>
      <c r="F161" s="2" t="str">
        <f t="shared" si="1"/>
        <v/>
      </c>
    </row>
    <row r="162" ht="15.75" customHeight="1">
      <c r="B162" s="2" t="str">
        <f>IF(A162="","",VLOOKUP(A162,ROSTER!$A$2:$F$500,3,FALSE))</f>
        <v/>
      </c>
      <c r="C162" s="2" t="str">
        <f>IF(A162="","",COUNTIF(CARD_LOG!$C:$C,A162))</f>
        <v/>
      </c>
      <c r="D162" s="4" t="str">
        <f>IF(A162="","",IFERROR(AVERAGEIF(CARD_LOG!$C:$C,A162,CARD_LOG!$M:$M),""))</f>
        <v/>
      </c>
      <c r="E162" s="2" t="str">
        <f>IF(A162="","",IF(COUNTIFS(CARD_LOG!$C:$C,A162,CARD_LOG!$L:$L,"Yes",CARD_LOG!$K:$K,"&lt;14")&gt;0,"No","Yes"))</f>
        <v/>
      </c>
      <c r="F162" s="2" t="str">
        <f t="shared" si="1"/>
        <v/>
      </c>
    </row>
    <row r="163" ht="15.75" customHeight="1">
      <c r="B163" s="2" t="str">
        <f>IF(A163="","",VLOOKUP(A163,ROSTER!$A$2:$F$500,3,FALSE))</f>
        <v/>
      </c>
      <c r="C163" s="2" t="str">
        <f>IF(A163="","",COUNTIF(CARD_LOG!$C:$C,A163))</f>
        <v/>
      </c>
      <c r="D163" s="4" t="str">
        <f>IF(A163="","",IFERROR(AVERAGEIF(CARD_LOG!$C:$C,A163,CARD_LOG!$M:$M),""))</f>
        <v/>
      </c>
      <c r="E163" s="2" t="str">
        <f>IF(A163="","",IF(COUNTIFS(CARD_LOG!$C:$C,A163,CARD_LOG!$L:$L,"Yes",CARD_LOG!$K:$K,"&lt;14")&gt;0,"No","Yes"))</f>
        <v/>
      </c>
      <c r="F163" s="2" t="str">
        <f t="shared" si="1"/>
        <v/>
      </c>
    </row>
    <row r="164" ht="15.75" customHeight="1">
      <c r="B164" s="2" t="str">
        <f>IF(A164="","",VLOOKUP(A164,ROSTER!$A$2:$F$500,3,FALSE))</f>
        <v/>
      </c>
      <c r="C164" s="2" t="str">
        <f>IF(A164="","",COUNTIF(CARD_LOG!$C:$C,A164))</f>
        <v/>
      </c>
      <c r="D164" s="4" t="str">
        <f>IF(A164="","",IFERROR(AVERAGEIF(CARD_LOG!$C:$C,A164,CARD_LOG!$M:$M),""))</f>
        <v/>
      </c>
      <c r="E164" s="2" t="str">
        <f>IF(A164="","",IF(COUNTIFS(CARD_LOG!$C:$C,A164,CARD_LOG!$L:$L,"Yes",CARD_LOG!$K:$K,"&lt;14")&gt;0,"No","Yes"))</f>
        <v/>
      </c>
      <c r="F164" s="2" t="str">
        <f t="shared" si="1"/>
        <v/>
      </c>
    </row>
    <row r="165" ht="15.75" customHeight="1">
      <c r="B165" s="2" t="str">
        <f>IF(A165="","",VLOOKUP(A165,ROSTER!$A$2:$F$500,3,FALSE))</f>
        <v/>
      </c>
      <c r="C165" s="2" t="str">
        <f>IF(A165="","",COUNTIF(CARD_LOG!$C:$C,A165))</f>
        <v/>
      </c>
      <c r="D165" s="4" t="str">
        <f>IF(A165="","",IFERROR(AVERAGEIF(CARD_LOG!$C:$C,A165,CARD_LOG!$M:$M),""))</f>
        <v/>
      </c>
      <c r="E165" s="2" t="str">
        <f>IF(A165="","",IF(COUNTIFS(CARD_LOG!$C:$C,A165,CARD_LOG!$L:$L,"Yes",CARD_LOG!$K:$K,"&lt;14")&gt;0,"No","Yes"))</f>
        <v/>
      </c>
      <c r="F165" s="2" t="str">
        <f t="shared" si="1"/>
        <v/>
      </c>
    </row>
    <row r="166" ht="15.75" customHeight="1">
      <c r="B166" s="2" t="str">
        <f>IF(A166="","",VLOOKUP(A166,ROSTER!$A$2:$F$500,3,FALSE))</f>
        <v/>
      </c>
      <c r="C166" s="2" t="str">
        <f>IF(A166="","",COUNTIF(CARD_LOG!$C:$C,A166))</f>
        <v/>
      </c>
      <c r="D166" s="4" t="str">
        <f>IF(A166="","",IFERROR(AVERAGEIF(CARD_LOG!$C:$C,A166,CARD_LOG!$M:$M),""))</f>
        <v/>
      </c>
      <c r="E166" s="2" t="str">
        <f>IF(A166="","",IF(COUNTIFS(CARD_LOG!$C:$C,A166,CARD_LOG!$L:$L,"Yes",CARD_LOG!$K:$K,"&lt;14")&gt;0,"No","Yes"))</f>
        <v/>
      </c>
      <c r="F166" s="2" t="str">
        <f t="shared" si="1"/>
        <v/>
      </c>
    </row>
    <row r="167" ht="15.75" customHeight="1">
      <c r="B167" s="2" t="str">
        <f>IF(A167="","",VLOOKUP(A167,ROSTER!$A$2:$F$500,3,FALSE))</f>
        <v/>
      </c>
      <c r="C167" s="2" t="str">
        <f>IF(A167="","",COUNTIF(CARD_LOG!$C:$C,A167))</f>
        <v/>
      </c>
      <c r="D167" s="4" t="str">
        <f>IF(A167="","",IFERROR(AVERAGEIF(CARD_LOG!$C:$C,A167,CARD_LOG!$M:$M),""))</f>
        <v/>
      </c>
      <c r="E167" s="2" t="str">
        <f>IF(A167="","",IF(COUNTIFS(CARD_LOG!$C:$C,A167,CARD_LOG!$L:$L,"Yes",CARD_LOG!$K:$K,"&lt;14")&gt;0,"No","Yes"))</f>
        <v/>
      </c>
      <c r="F167" s="2" t="str">
        <f t="shared" si="1"/>
        <v/>
      </c>
    </row>
    <row r="168" ht="15.75" customHeight="1">
      <c r="B168" s="2" t="str">
        <f>IF(A168="","",VLOOKUP(A168,ROSTER!$A$2:$F$500,3,FALSE))</f>
        <v/>
      </c>
      <c r="C168" s="2" t="str">
        <f>IF(A168="","",COUNTIF(CARD_LOG!$C:$C,A168))</f>
        <v/>
      </c>
      <c r="D168" s="4" t="str">
        <f>IF(A168="","",IFERROR(AVERAGEIF(CARD_LOG!$C:$C,A168,CARD_LOG!$M:$M),""))</f>
        <v/>
      </c>
      <c r="E168" s="2" t="str">
        <f>IF(A168="","",IF(COUNTIFS(CARD_LOG!$C:$C,A168,CARD_LOG!$L:$L,"Yes",CARD_LOG!$K:$K,"&lt;14")&gt;0,"No","Yes"))</f>
        <v/>
      </c>
      <c r="F168" s="2" t="str">
        <f t="shared" si="1"/>
        <v/>
      </c>
    </row>
    <row r="169" ht="15.75" customHeight="1">
      <c r="B169" s="2" t="str">
        <f>IF(A169="","",VLOOKUP(A169,ROSTER!$A$2:$F$500,3,FALSE))</f>
        <v/>
      </c>
      <c r="C169" s="2" t="str">
        <f>IF(A169="","",COUNTIF(CARD_LOG!$C:$C,A169))</f>
        <v/>
      </c>
      <c r="D169" s="4" t="str">
        <f>IF(A169="","",IFERROR(AVERAGEIF(CARD_LOG!$C:$C,A169,CARD_LOG!$M:$M),""))</f>
        <v/>
      </c>
      <c r="E169" s="2" t="str">
        <f>IF(A169="","",IF(COUNTIFS(CARD_LOG!$C:$C,A169,CARD_LOG!$L:$L,"Yes",CARD_LOG!$K:$K,"&lt;14")&gt;0,"No","Yes"))</f>
        <v/>
      </c>
      <c r="F169" s="2" t="str">
        <f t="shared" si="1"/>
        <v/>
      </c>
    </row>
    <row r="170" ht="15.75" customHeight="1">
      <c r="B170" s="2" t="str">
        <f>IF(A170="","",VLOOKUP(A170,ROSTER!$A$2:$F$500,3,FALSE))</f>
        <v/>
      </c>
      <c r="C170" s="2" t="str">
        <f>IF(A170="","",COUNTIF(CARD_LOG!$C:$C,A170))</f>
        <v/>
      </c>
      <c r="D170" s="4" t="str">
        <f>IF(A170="","",IFERROR(AVERAGEIF(CARD_LOG!$C:$C,A170,CARD_LOG!$M:$M),""))</f>
        <v/>
      </c>
      <c r="E170" s="2" t="str">
        <f>IF(A170="","",IF(COUNTIFS(CARD_LOG!$C:$C,A170,CARD_LOG!$L:$L,"Yes",CARD_LOG!$K:$K,"&lt;14")&gt;0,"No","Yes"))</f>
        <v/>
      </c>
      <c r="F170" s="2" t="str">
        <f t="shared" si="1"/>
        <v/>
      </c>
    </row>
    <row r="171" ht="15.75" customHeight="1">
      <c r="B171" s="2" t="str">
        <f>IF(A171="","",VLOOKUP(A171,ROSTER!$A$2:$F$500,3,FALSE))</f>
        <v/>
      </c>
      <c r="C171" s="2" t="str">
        <f>IF(A171="","",COUNTIF(CARD_LOG!$C:$C,A171))</f>
        <v/>
      </c>
      <c r="D171" s="4" t="str">
        <f>IF(A171="","",IFERROR(AVERAGEIF(CARD_LOG!$C:$C,A171,CARD_LOG!$M:$M),""))</f>
        <v/>
      </c>
      <c r="E171" s="2" t="str">
        <f>IF(A171="","",IF(COUNTIFS(CARD_LOG!$C:$C,A171,CARD_LOG!$L:$L,"Yes",CARD_LOG!$K:$K,"&lt;14")&gt;0,"No","Yes"))</f>
        <v/>
      </c>
      <c r="F171" s="2" t="str">
        <f t="shared" si="1"/>
        <v/>
      </c>
    </row>
    <row r="172" ht="15.75" customHeight="1">
      <c r="B172" s="2" t="str">
        <f>IF(A172="","",VLOOKUP(A172,ROSTER!$A$2:$F$500,3,FALSE))</f>
        <v/>
      </c>
      <c r="C172" s="2" t="str">
        <f>IF(A172="","",COUNTIF(CARD_LOG!$C:$C,A172))</f>
        <v/>
      </c>
      <c r="D172" s="4" t="str">
        <f>IF(A172="","",IFERROR(AVERAGEIF(CARD_LOG!$C:$C,A172,CARD_LOG!$M:$M),""))</f>
        <v/>
      </c>
      <c r="E172" s="2" t="str">
        <f>IF(A172="","",IF(COUNTIFS(CARD_LOG!$C:$C,A172,CARD_LOG!$L:$L,"Yes",CARD_LOG!$K:$K,"&lt;14")&gt;0,"No","Yes"))</f>
        <v/>
      </c>
      <c r="F172" s="2" t="str">
        <f t="shared" si="1"/>
        <v/>
      </c>
    </row>
    <row r="173" ht="15.75" customHeight="1">
      <c r="B173" s="2" t="str">
        <f>IF(A173="","",VLOOKUP(A173,ROSTER!$A$2:$F$500,3,FALSE))</f>
        <v/>
      </c>
      <c r="C173" s="2" t="str">
        <f>IF(A173="","",COUNTIF(CARD_LOG!$C:$C,A173))</f>
        <v/>
      </c>
      <c r="D173" s="4" t="str">
        <f>IF(A173="","",IFERROR(AVERAGEIF(CARD_LOG!$C:$C,A173,CARD_LOG!$M:$M),""))</f>
        <v/>
      </c>
      <c r="E173" s="2" t="str">
        <f>IF(A173="","",IF(COUNTIFS(CARD_LOG!$C:$C,A173,CARD_LOG!$L:$L,"Yes",CARD_LOG!$K:$K,"&lt;14")&gt;0,"No","Yes"))</f>
        <v/>
      </c>
      <c r="F173" s="2" t="str">
        <f t="shared" si="1"/>
        <v/>
      </c>
    </row>
    <row r="174" ht="15.75" customHeight="1">
      <c r="B174" s="2" t="str">
        <f>IF(A174="","",VLOOKUP(A174,ROSTER!$A$2:$F$500,3,FALSE))</f>
        <v/>
      </c>
      <c r="C174" s="2" t="str">
        <f>IF(A174="","",COUNTIF(CARD_LOG!$C:$C,A174))</f>
        <v/>
      </c>
      <c r="D174" s="4" t="str">
        <f>IF(A174="","",IFERROR(AVERAGEIF(CARD_LOG!$C:$C,A174,CARD_LOG!$M:$M),""))</f>
        <v/>
      </c>
      <c r="E174" s="2" t="str">
        <f>IF(A174="","",IF(COUNTIFS(CARD_LOG!$C:$C,A174,CARD_LOG!$L:$L,"Yes",CARD_LOG!$K:$K,"&lt;14")&gt;0,"No","Yes"))</f>
        <v/>
      </c>
      <c r="F174" s="2" t="str">
        <f t="shared" si="1"/>
        <v/>
      </c>
    </row>
    <row r="175" ht="15.75" customHeight="1">
      <c r="B175" s="2" t="str">
        <f>IF(A175="","",VLOOKUP(A175,ROSTER!$A$2:$F$500,3,FALSE))</f>
        <v/>
      </c>
      <c r="C175" s="2" t="str">
        <f>IF(A175="","",COUNTIF(CARD_LOG!$C:$C,A175))</f>
        <v/>
      </c>
      <c r="D175" s="4" t="str">
        <f>IF(A175="","",IFERROR(AVERAGEIF(CARD_LOG!$C:$C,A175,CARD_LOG!$M:$M),""))</f>
        <v/>
      </c>
      <c r="E175" s="2" t="str">
        <f>IF(A175="","",IF(COUNTIFS(CARD_LOG!$C:$C,A175,CARD_LOG!$L:$L,"Yes",CARD_LOG!$K:$K,"&lt;14")&gt;0,"No","Yes"))</f>
        <v/>
      </c>
      <c r="F175" s="2" t="str">
        <f t="shared" si="1"/>
        <v/>
      </c>
    </row>
    <row r="176" ht="15.75" customHeight="1">
      <c r="B176" s="2" t="str">
        <f>IF(A176="","",VLOOKUP(A176,ROSTER!$A$2:$F$500,3,FALSE))</f>
        <v/>
      </c>
      <c r="C176" s="2" t="str">
        <f>IF(A176="","",COUNTIF(CARD_LOG!$C:$C,A176))</f>
        <v/>
      </c>
      <c r="D176" s="4" t="str">
        <f>IF(A176="","",IFERROR(AVERAGEIF(CARD_LOG!$C:$C,A176,CARD_LOG!$M:$M),""))</f>
        <v/>
      </c>
      <c r="E176" s="2" t="str">
        <f>IF(A176="","",IF(COUNTIFS(CARD_LOG!$C:$C,A176,CARD_LOG!$L:$L,"Yes",CARD_LOG!$K:$K,"&lt;14")&gt;0,"No","Yes"))</f>
        <v/>
      </c>
      <c r="F176" s="2" t="str">
        <f t="shared" si="1"/>
        <v/>
      </c>
    </row>
    <row r="177" ht="15.75" customHeight="1">
      <c r="B177" s="2" t="str">
        <f>IF(A177="","",VLOOKUP(A177,ROSTER!$A$2:$F$500,3,FALSE))</f>
        <v/>
      </c>
      <c r="C177" s="2" t="str">
        <f>IF(A177="","",COUNTIF(CARD_LOG!$C:$C,A177))</f>
        <v/>
      </c>
      <c r="D177" s="4" t="str">
        <f>IF(A177="","",IFERROR(AVERAGEIF(CARD_LOG!$C:$C,A177,CARD_LOG!$M:$M),""))</f>
        <v/>
      </c>
      <c r="E177" s="2" t="str">
        <f>IF(A177="","",IF(COUNTIFS(CARD_LOG!$C:$C,A177,CARD_LOG!$L:$L,"Yes",CARD_LOG!$K:$K,"&lt;14")&gt;0,"No","Yes"))</f>
        <v/>
      </c>
      <c r="F177" s="2" t="str">
        <f t="shared" si="1"/>
        <v/>
      </c>
    </row>
    <row r="178" ht="15.75" customHeight="1">
      <c r="B178" s="2" t="str">
        <f>IF(A178="","",VLOOKUP(A178,ROSTER!$A$2:$F$500,3,FALSE))</f>
        <v/>
      </c>
      <c r="C178" s="2" t="str">
        <f>IF(A178="","",COUNTIF(CARD_LOG!$C:$C,A178))</f>
        <v/>
      </c>
      <c r="D178" s="4" t="str">
        <f>IF(A178="","",IFERROR(AVERAGEIF(CARD_LOG!$C:$C,A178,CARD_LOG!$M:$M),""))</f>
        <v/>
      </c>
      <c r="E178" s="2" t="str">
        <f>IF(A178="","",IF(COUNTIFS(CARD_LOG!$C:$C,A178,CARD_LOG!$L:$L,"Yes",CARD_LOG!$K:$K,"&lt;14")&gt;0,"No","Yes"))</f>
        <v/>
      </c>
      <c r="F178" s="2" t="str">
        <f t="shared" si="1"/>
        <v/>
      </c>
    </row>
    <row r="179" ht="15.75" customHeight="1">
      <c r="B179" s="2" t="str">
        <f>IF(A179="","",VLOOKUP(A179,ROSTER!$A$2:$F$500,3,FALSE))</f>
        <v/>
      </c>
      <c r="C179" s="2" t="str">
        <f>IF(A179="","",COUNTIF(CARD_LOG!$C:$C,A179))</f>
        <v/>
      </c>
      <c r="D179" s="4" t="str">
        <f>IF(A179="","",IFERROR(AVERAGEIF(CARD_LOG!$C:$C,A179,CARD_LOG!$M:$M),""))</f>
        <v/>
      </c>
      <c r="E179" s="2" t="str">
        <f>IF(A179="","",IF(COUNTIFS(CARD_LOG!$C:$C,A179,CARD_LOG!$L:$L,"Yes",CARD_LOG!$K:$K,"&lt;14")&gt;0,"No","Yes"))</f>
        <v/>
      </c>
      <c r="F179" s="2" t="str">
        <f t="shared" si="1"/>
        <v/>
      </c>
    </row>
    <row r="180" ht="15.75" customHeight="1">
      <c r="B180" s="2" t="str">
        <f>IF(A180="","",VLOOKUP(A180,ROSTER!$A$2:$F$500,3,FALSE))</f>
        <v/>
      </c>
      <c r="C180" s="2" t="str">
        <f>IF(A180="","",COUNTIF(CARD_LOG!$C:$C,A180))</f>
        <v/>
      </c>
      <c r="D180" s="4" t="str">
        <f>IF(A180="","",IFERROR(AVERAGEIF(CARD_LOG!$C:$C,A180,CARD_LOG!$M:$M),""))</f>
        <v/>
      </c>
      <c r="E180" s="2" t="str">
        <f>IF(A180="","",IF(COUNTIFS(CARD_LOG!$C:$C,A180,CARD_LOG!$L:$L,"Yes",CARD_LOG!$K:$K,"&lt;14")&gt;0,"No","Yes"))</f>
        <v/>
      </c>
      <c r="F180" s="2" t="str">
        <f t="shared" si="1"/>
        <v/>
      </c>
    </row>
    <row r="181" ht="15.75" customHeight="1">
      <c r="B181" s="2" t="str">
        <f>IF(A181="","",VLOOKUP(A181,ROSTER!$A$2:$F$500,3,FALSE))</f>
        <v/>
      </c>
      <c r="C181" s="2" t="str">
        <f>IF(A181="","",COUNTIF(CARD_LOG!$C:$C,A181))</f>
        <v/>
      </c>
      <c r="D181" s="4" t="str">
        <f>IF(A181="","",IFERROR(AVERAGEIF(CARD_LOG!$C:$C,A181,CARD_LOG!$M:$M),""))</f>
        <v/>
      </c>
      <c r="E181" s="2" t="str">
        <f>IF(A181="","",IF(COUNTIFS(CARD_LOG!$C:$C,A181,CARD_LOG!$L:$L,"Yes",CARD_LOG!$K:$K,"&lt;14")&gt;0,"No","Yes"))</f>
        <v/>
      </c>
      <c r="F181" s="2" t="str">
        <f t="shared" si="1"/>
        <v/>
      </c>
    </row>
    <row r="182" ht="15.75" customHeight="1">
      <c r="B182" s="2" t="str">
        <f>IF(A182="","",VLOOKUP(A182,ROSTER!$A$2:$F$500,3,FALSE))</f>
        <v/>
      </c>
      <c r="C182" s="2" t="str">
        <f>IF(A182="","",COUNTIF(CARD_LOG!$C:$C,A182))</f>
        <v/>
      </c>
      <c r="D182" s="4" t="str">
        <f>IF(A182="","",IFERROR(AVERAGEIF(CARD_LOG!$C:$C,A182,CARD_LOG!$M:$M),""))</f>
        <v/>
      </c>
      <c r="E182" s="2" t="str">
        <f>IF(A182="","",IF(COUNTIFS(CARD_LOG!$C:$C,A182,CARD_LOG!$L:$L,"Yes",CARD_LOG!$K:$K,"&lt;14")&gt;0,"No","Yes"))</f>
        <v/>
      </c>
      <c r="F182" s="2" t="str">
        <f t="shared" si="1"/>
        <v/>
      </c>
    </row>
    <row r="183" ht="15.75" customHeight="1">
      <c r="B183" s="2" t="str">
        <f>IF(A183="","",VLOOKUP(A183,ROSTER!$A$2:$F$500,3,FALSE))</f>
        <v/>
      </c>
      <c r="C183" s="2" t="str">
        <f>IF(A183="","",COUNTIF(CARD_LOG!$C:$C,A183))</f>
        <v/>
      </c>
      <c r="D183" s="4" t="str">
        <f>IF(A183="","",IFERROR(AVERAGEIF(CARD_LOG!$C:$C,A183,CARD_LOG!$M:$M),""))</f>
        <v/>
      </c>
      <c r="E183" s="2" t="str">
        <f>IF(A183="","",IF(COUNTIFS(CARD_LOG!$C:$C,A183,CARD_LOG!$L:$L,"Yes",CARD_LOG!$K:$K,"&lt;14")&gt;0,"No","Yes"))</f>
        <v/>
      </c>
      <c r="F183" s="2" t="str">
        <f t="shared" si="1"/>
        <v/>
      </c>
    </row>
    <row r="184" ht="15.75" customHeight="1">
      <c r="B184" s="2" t="str">
        <f>IF(A184="","",VLOOKUP(A184,ROSTER!$A$2:$F$500,3,FALSE))</f>
        <v/>
      </c>
      <c r="C184" s="2" t="str">
        <f>IF(A184="","",COUNTIF(CARD_LOG!$C:$C,A184))</f>
        <v/>
      </c>
      <c r="D184" s="4" t="str">
        <f>IF(A184="","",IFERROR(AVERAGEIF(CARD_LOG!$C:$C,A184,CARD_LOG!$M:$M),""))</f>
        <v/>
      </c>
      <c r="E184" s="2" t="str">
        <f>IF(A184="","",IF(COUNTIFS(CARD_LOG!$C:$C,A184,CARD_LOG!$L:$L,"Yes",CARD_LOG!$K:$K,"&lt;14")&gt;0,"No","Yes"))</f>
        <v/>
      </c>
      <c r="F184" s="2" t="str">
        <f t="shared" si="1"/>
        <v/>
      </c>
    </row>
    <row r="185" ht="15.75" customHeight="1">
      <c r="B185" s="2" t="str">
        <f>IF(A185="","",VLOOKUP(A185,ROSTER!$A$2:$F$500,3,FALSE))</f>
        <v/>
      </c>
      <c r="C185" s="2" t="str">
        <f>IF(A185="","",COUNTIF(CARD_LOG!$C:$C,A185))</f>
        <v/>
      </c>
      <c r="D185" s="4" t="str">
        <f>IF(A185="","",IFERROR(AVERAGEIF(CARD_LOG!$C:$C,A185,CARD_LOG!$M:$M),""))</f>
        <v/>
      </c>
      <c r="E185" s="2" t="str">
        <f>IF(A185="","",IF(COUNTIFS(CARD_LOG!$C:$C,A185,CARD_LOG!$L:$L,"Yes",CARD_LOG!$K:$K,"&lt;14")&gt;0,"No","Yes"))</f>
        <v/>
      </c>
      <c r="F185" s="2" t="str">
        <f t="shared" si="1"/>
        <v/>
      </c>
    </row>
    <row r="186" ht="15.75" customHeight="1">
      <c r="B186" s="2" t="str">
        <f>IF(A186="","",VLOOKUP(A186,ROSTER!$A$2:$F$500,3,FALSE))</f>
        <v/>
      </c>
      <c r="C186" s="2" t="str">
        <f>IF(A186="","",COUNTIF(CARD_LOG!$C:$C,A186))</f>
        <v/>
      </c>
      <c r="D186" s="4" t="str">
        <f>IF(A186="","",IFERROR(AVERAGEIF(CARD_LOG!$C:$C,A186,CARD_LOG!$M:$M),""))</f>
        <v/>
      </c>
      <c r="E186" s="2" t="str">
        <f>IF(A186="","",IF(COUNTIFS(CARD_LOG!$C:$C,A186,CARD_LOG!$L:$L,"Yes",CARD_LOG!$K:$K,"&lt;14")&gt;0,"No","Yes"))</f>
        <v/>
      </c>
      <c r="F186" s="2" t="str">
        <f t="shared" si="1"/>
        <v/>
      </c>
    </row>
    <row r="187" ht="15.75" customHeight="1">
      <c r="B187" s="2" t="str">
        <f>IF(A187="","",VLOOKUP(A187,ROSTER!$A$2:$F$500,3,FALSE))</f>
        <v/>
      </c>
      <c r="C187" s="2" t="str">
        <f>IF(A187="","",COUNTIF(CARD_LOG!$C:$C,A187))</f>
        <v/>
      </c>
      <c r="D187" s="4" t="str">
        <f>IF(A187="","",IFERROR(AVERAGEIF(CARD_LOG!$C:$C,A187,CARD_LOG!$M:$M),""))</f>
        <v/>
      </c>
      <c r="E187" s="2" t="str">
        <f>IF(A187="","",IF(COUNTIFS(CARD_LOG!$C:$C,A187,CARD_LOG!$L:$L,"Yes",CARD_LOG!$K:$K,"&lt;14")&gt;0,"No","Yes"))</f>
        <v/>
      </c>
      <c r="F187" s="2" t="str">
        <f t="shared" si="1"/>
        <v/>
      </c>
    </row>
    <row r="188" ht="15.75" customHeight="1">
      <c r="B188" s="2" t="str">
        <f>IF(A188="","",VLOOKUP(A188,ROSTER!$A$2:$F$500,3,FALSE))</f>
        <v/>
      </c>
      <c r="C188" s="2" t="str">
        <f>IF(A188="","",COUNTIF(CARD_LOG!$C:$C,A188))</f>
        <v/>
      </c>
      <c r="D188" s="4" t="str">
        <f>IF(A188="","",IFERROR(AVERAGEIF(CARD_LOG!$C:$C,A188,CARD_LOG!$M:$M),""))</f>
        <v/>
      </c>
      <c r="E188" s="2" t="str">
        <f>IF(A188="","",IF(COUNTIFS(CARD_LOG!$C:$C,A188,CARD_LOG!$L:$L,"Yes",CARD_LOG!$K:$K,"&lt;14")&gt;0,"No","Yes"))</f>
        <v/>
      </c>
      <c r="F188" s="2" t="str">
        <f t="shared" si="1"/>
        <v/>
      </c>
    </row>
    <row r="189" ht="15.75" customHeight="1">
      <c r="B189" s="2" t="str">
        <f>IF(A189="","",VLOOKUP(A189,ROSTER!$A$2:$F$500,3,FALSE))</f>
        <v/>
      </c>
      <c r="C189" s="2" t="str">
        <f>IF(A189="","",COUNTIF(CARD_LOG!$C:$C,A189))</f>
        <v/>
      </c>
      <c r="D189" s="4" t="str">
        <f>IF(A189="","",IFERROR(AVERAGEIF(CARD_LOG!$C:$C,A189,CARD_LOG!$M:$M),""))</f>
        <v/>
      </c>
      <c r="E189" s="2" t="str">
        <f>IF(A189="","",IF(COUNTIFS(CARD_LOG!$C:$C,A189,CARD_LOG!$L:$L,"Yes",CARD_LOG!$K:$K,"&lt;14")&gt;0,"No","Yes"))</f>
        <v/>
      </c>
      <c r="F189" s="2" t="str">
        <f t="shared" si="1"/>
        <v/>
      </c>
    </row>
    <row r="190" ht="15.75" customHeight="1">
      <c r="B190" s="2" t="str">
        <f>IF(A190="","",VLOOKUP(A190,ROSTER!$A$2:$F$500,3,FALSE))</f>
        <v/>
      </c>
      <c r="C190" s="2" t="str">
        <f>IF(A190="","",COUNTIF(CARD_LOG!$C:$C,A190))</f>
        <v/>
      </c>
      <c r="D190" s="4" t="str">
        <f>IF(A190="","",IFERROR(AVERAGEIF(CARD_LOG!$C:$C,A190,CARD_LOG!$M:$M),""))</f>
        <v/>
      </c>
      <c r="E190" s="2" t="str">
        <f>IF(A190="","",IF(COUNTIFS(CARD_LOG!$C:$C,A190,CARD_LOG!$L:$L,"Yes",CARD_LOG!$K:$K,"&lt;14")&gt;0,"No","Yes"))</f>
        <v/>
      </c>
      <c r="F190" s="2" t="str">
        <f t="shared" si="1"/>
        <v/>
      </c>
    </row>
    <row r="191" ht="15.75" customHeight="1">
      <c r="B191" s="2" t="str">
        <f>IF(A191="","",VLOOKUP(A191,ROSTER!$A$2:$F$500,3,FALSE))</f>
        <v/>
      </c>
      <c r="C191" s="2" t="str">
        <f>IF(A191="","",COUNTIF(CARD_LOG!$C:$C,A191))</f>
        <v/>
      </c>
      <c r="D191" s="4" t="str">
        <f>IF(A191="","",IFERROR(AVERAGEIF(CARD_LOG!$C:$C,A191,CARD_LOG!$M:$M),""))</f>
        <v/>
      </c>
      <c r="E191" s="2" t="str">
        <f>IF(A191="","",IF(COUNTIFS(CARD_LOG!$C:$C,A191,CARD_LOG!$L:$L,"Yes",CARD_LOG!$K:$K,"&lt;14")&gt;0,"No","Yes"))</f>
        <v/>
      </c>
      <c r="F191" s="2" t="str">
        <f t="shared" si="1"/>
        <v/>
      </c>
    </row>
    <row r="192" ht="15.75" customHeight="1">
      <c r="B192" s="2" t="str">
        <f>IF(A192="","",VLOOKUP(A192,ROSTER!$A$2:$F$500,3,FALSE))</f>
        <v/>
      </c>
      <c r="C192" s="2" t="str">
        <f>IF(A192="","",COUNTIF(CARD_LOG!$C:$C,A192))</f>
        <v/>
      </c>
      <c r="D192" s="4" t="str">
        <f>IF(A192="","",IFERROR(AVERAGEIF(CARD_LOG!$C:$C,A192,CARD_LOG!$M:$M),""))</f>
        <v/>
      </c>
      <c r="E192" s="2" t="str">
        <f>IF(A192="","",IF(COUNTIFS(CARD_LOG!$C:$C,A192,CARD_LOG!$L:$L,"Yes",CARD_LOG!$K:$K,"&lt;14")&gt;0,"No","Yes"))</f>
        <v/>
      </c>
      <c r="F192" s="2" t="str">
        <f t="shared" si="1"/>
        <v/>
      </c>
    </row>
    <row r="193" ht="15.75" customHeight="1">
      <c r="B193" s="2" t="str">
        <f>IF(A193="","",VLOOKUP(A193,ROSTER!$A$2:$F$500,3,FALSE))</f>
        <v/>
      </c>
      <c r="C193" s="2" t="str">
        <f>IF(A193="","",COUNTIF(CARD_LOG!$C:$C,A193))</f>
        <v/>
      </c>
      <c r="D193" s="4" t="str">
        <f>IF(A193="","",IFERROR(AVERAGEIF(CARD_LOG!$C:$C,A193,CARD_LOG!$M:$M),""))</f>
        <v/>
      </c>
      <c r="E193" s="2" t="str">
        <f>IF(A193="","",IF(COUNTIFS(CARD_LOG!$C:$C,A193,CARD_LOG!$L:$L,"Yes",CARD_LOG!$K:$K,"&lt;14")&gt;0,"No","Yes"))</f>
        <v/>
      </c>
      <c r="F193" s="2" t="str">
        <f t="shared" si="1"/>
        <v/>
      </c>
    </row>
    <row r="194" ht="15.75" customHeight="1">
      <c r="B194" s="2" t="str">
        <f>IF(A194="","",VLOOKUP(A194,ROSTER!$A$2:$F$500,3,FALSE))</f>
        <v/>
      </c>
      <c r="C194" s="2" t="str">
        <f>IF(A194="","",COUNTIF(CARD_LOG!$C:$C,A194))</f>
        <v/>
      </c>
      <c r="D194" s="4" t="str">
        <f>IF(A194="","",IFERROR(AVERAGEIF(CARD_LOG!$C:$C,A194,CARD_LOG!$M:$M),""))</f>
        <v/>
      </c>
      <c r="E194" s="2" t="str">
        <f>IF(A194="","",IF(COUNTIFS(CARD_LOG!$C:$C,A194,CARD_LOG!$L:$L,"Yes",CARD_LOG!$K:$K,"&lt;14")&gt;0,"No","Yes"))</f>
        <v/>
      </c>
      <c r="F194" s="2" t="str">
        <f t="shared" si="1"/>
        <v/>
      </c>
    </row>
    <row r="195" ht="15.75" customHeight="1">
      <c r="B195" s="2" t="str">
        <f>IF(A195="","",VLOOKUP(A195,ROSTER!$A$2:$F$500,3,FALSE))</f>
        <v/>
      </c>
      <c r="C195" s="2" t="str">
        <f>IF(A195="","",COUNTIF(CARD_LOG!$C:$C,A195))</f>
        <v/>
      </c>
      <c r="D195" s="4" t="str">
        <f>IF(A195="","",IFERROR(AVERAGEIF(CARD_LOG!$C:$C,A195,CARD_LOG!$M:$M),""))</f>
        <v/>
      </c>
      <c r="E195" s="2" t="str">
        <f>IF(A195="","",IF(COUNTIFS(CARD_LOG!$C:$C,A195,CARD_LOG!$L:$L,"Yes",CARD_LOG!$K:$K,"&lt;14")&gt;0,"No","Yes"))</f>
        <v/>
      </c>
      <c r="F195" s="2" t="str">
        <f t="shared" si="1"/>
        <v/>
      </c>
    </row>
    <row r="196" ht="15.75" customHeight="1">
      <c r="B196" s="2" t="str">
        <f>IF(A196="","",VLOOKUP(A196,ROSTER!$A$2:$F$500,3,FALSE))</f>
        <v/>
      </c>
      <c r="C196" s="2" t="str">
        <f>IF(A196="","",COUNTIF(CARD_LOG!$C:$C,A196))</f>
        <v/>
      </c>
      <c r="D196" s="4" t="str">
        <f>IF(A196="","",IFERROR(AVERAGEIF(CARD_LOG!$C:$C,A196,CARD_LOG!$M:$M),""))</f>
        <v/>
      </c>
      <c r="E196" s="2" t="str">
        <f>IF(A196="","",IF(COUNTIFS(CARD_LOG!$C:$C,A196,CARD_LOG!$L:$L,"Yes",CARD_LOG!$K:$K,"&lt;14")&gt;0,"No","Yes"))</f>
        <v/>
      </c>
      <c r="F196" s="2" t="str">
        <f t="shared" si="1"/>
        <v/>
      </c>
    </row>
    <row r="197" ht="15.75" customHeight="1">
      <c r="B197" s="2" t="str">
        <f>IF(A197="","",VLOOKUP(A197,ROSTER!$A$2:$F$500,3,FALSE))</f>
        <v/>
      </c>
      <c r="C197" s="2" t="str">
        <f>IF(A197="","",COUNTIF(CARD_LOG!$C:$C,A197))</f>
        <v/>
      </c>
      <c r="D197" s="4" t="str">
        <f>IF(A197="","",IFERROR(AVERAGEIF(CARD_LOG!$C:$C,A197,CARD_LOG!$M:$M),""))</f>
        <v/>
      </c>
      <c r="E197" s="2" t="str">
        <f>IF(A197="","",IF(COUNTIFS(CARD_LOG!$C:$C,A197,CARD_LOG!$L:$L,"Yes",CARD_LOG!$K:$K,"&lt;14")&gt;0,"No","Yes"))</f>
        <v/>
      </c>
      <c r="F197" s="2" t="str">
        <f t="shared" si="1"/>
        <v/>
      </c>
    </row>
    <row r="198" ht="15.75" customHeight="1">
      <c r="B198" s="2" t="str">
        <f>IF(A198="","",VLOOKUP(A198,ROSTER!$A$2:$F$500,3,FALSE))</f>
        <v/>
      </c>
      <c r="C198" s="2" t="str">
        <f>IF(A198="","",COUNTIF(CARD_LOG!$C:$C,A198))</f>
        <v/>
      </c>
      <c r="D198" s="4" t="str">
        <f>IF(A198="","",IFERROR(AVERAGEIF(CARD_LOG!$C:$C,A198,CARD_LOG!$M:$M),""))</f>
        <v/>
      </c>
      <c r="E198" s="2" t="str">
        <f>IF(A198="","",IF(COUNTIFS(CARD_LOG!$C:$C,A198,CARD_LOG!$L:$L,"Yes",CARD_LOG!$K:$K,"&lt;14")&gt;0,"No","Yes"))</f>
        <v/>
      </c>
      <c r="F198" s="2" t="str">
        <f t="shared" si="1"/>
        <v/>
      </c>
    </row>
    <row r="199" ht="15.75" customHeight="1">
      <c r="B199" s="2" t="str">
        <f>IF(A199="","",VLOOKUP(A199,ROSTER!$A$2:$F$500,3,FALSE))</f>
        <v/>
      </c>
      <c r="C199" s="2" t="str">
        <f>IF(A199="","",COUNTIF(CARD_LOG!$C:$C,A199))</f>
        <v/>
      </c>
      <c r="D199" s="4" t="str">
        <f>IF(A199="","",IFERROR(AVERAGEIF(CARD_LOG!$C:$C,A199,CARD_LOG!$M:$M),""))</f>
        <v/>
      </c>
      <c r="E199" s="2" t="str">
        <f>IF(A199="","",IF(COUNTIFS(CARD_LOG!$C:$C,A199,CARD_LOG!$L:$L,"Yes",CARD_LOG!$K:$K,"&lt;14")&gt;0,"No","Yes"))</f>
        <v/>
      </c>
      <c r="F199" s="2" t="str">
        <f t="shared" si="1"/>
        <v/>
      </c>
    </row>
    <row r="200" ht="15.75" customHeight="1">
      <c r="B200" s="2" t="str">
        <f>IF(A200="","",VLOOKUP(A200,ROSTER!$A$2:$F$500,3,FALSE))</f>
        <v/>
      </c>
      <c r="C200" s="2" t="str">
        <f>IF(A200="","",COUNTIF(CARD_LOG!$C:$C,A200))</f>
        <v/>
      </c>
      <c r="D200" s="4" t="str">
        <f>IF(A200="","",IFERROR(AVERAGEIF(CARD_LOG!$C:$C,A200,CARD_LOG!$M:$M),""))</f>
        <v/>
      </c>
      <c r="E200" s="2" t="str">
        <f>IF(A200="","",IF(COUNTIFS(CARD_LOG!$C:$C,A200,CARD_LOG!$L:$L,"Yes",CARD_LOG!$K:$K,"&lt;14")&gt;0,"No","Yes"))</f>
        <v/>
      </c>
      <c r="F200" s="2" t="str">
        <f t="shared" si="1"/>
        <v/>
      </c>
    </row>
    <row r="201" ht="15.75" customHeight="1">
      <c r="B201" s="2" t="str">
        <f>IF(A201="","",VLOOKUP(A201,ROSTER!$A$2:$F$500,3,FALSE))</f>
        <v/>
      </c>
      <c r="C201" s="2" t="str">
        <f>IF(A201="","",COUNTIF(CARD_LOG!$C:$C,A201))</f>
        <v/>
      </c>
      <c r="D201" s="4" t="str">
        <f>IF(A201="","",IFERROR(AVERAGEIF(CARD_LOG!$C:$C,A201,CARD_LOG!$M:$M),""))</f>
        <v/>
      </c>
      <c r="E201" s="2" t="str">
        <f>IF(A201="","",IF(COUNTIFS(CARD_LOG!$C:$C,A201,CARD_LOG!$L:$L,"Yes",CARD_LOG!$K:$K,"&lt;14")&gt;0,"No","Yes"))</f>
        <v/>
      </c>
      <c r="F201" s="2" t="str">
        <f t="shared" si="1"/>
        <v/>
      </c>
    </row>
    <row r="202" ht="15.75" customHeight="1">
      <c r="B202" s="2" t="str">
        <f>IF(A202="","",VLOOKUP(A202,ROSTER!$A$2:$F$500,3,FALSE))</f>
        <v/>
      </c>
      <c r="C202" s="2" t="str">
        <f>IF(A202="","",COUNTIF(CARD_LOG!$C:$C,A202))</f>
        <v/>
      </c>
      <c r="D202" s="4" t="str">
        <f>IF(A202="","",IFERROR(AVERAGEIF(CARD_LOG!$C:$C,A202,CARD_LOG!$M:$M),""))</f>
        <v/>
      </c>
      <c r="E202" s="2" t="str">
        <f>IF(A202="","",IF(COUNTIFS(CARD_LOG!$C:$C,A202,CARD_LOG!$L:$L,"Yes",CARD_LOG!$K:$K,"&lt;14")&gt;0,"No","Yes"))</f>
        <v/>
      </c>
      <c r="F202" s="2" t="str">
        <f t="shared" si="1"/>
        <v/>
      </c>
    </row>
    <row r="203" ht="15.75" customHeight="1">
      <c r="B203" s="2" t="str">
        <f>IF(A203="","",VLOOKUP(A203,ROSTER!$A$2:$F$500,3,FALSE))</f>
        <v/>
      </c>
      <c r="C203" s="2" t="str">
        <f>IF(A203="","",COUNTIF(CARD_LOG!$C:$C,A203))</f>
        <v/>
      </c>
      <c r="D203" s="4" t="str">
        <f>IF(A203="","",IFERROR(AVERAGEIF(CARD_LOG!$C:$C,A203,CARD_LOG!$M:$M),""))</f>
        <v/>
      </c>
      <c r="E203" s="2" t="str">
        <f>IF(A203="","",IF(COUNTIFS(CARD_LOG!$C:$C,A203,CARD_LOG!$L:$L,"Yes",CARD_LOG!$K:$K,"&lt;14")&gt;0,"No","Yes"))</f>
        <v/>
      </c>
      <c r="F203" s="2" t="str">
        <f t="shared" si="1"/>
        <v/>
      </c>
    </row>
    <row r="204" ht="15.75" customHeight="1">
      <c r="B204" s="2" t="str">
        <f>IF(A204="","",VLOOKUP(A204,ROSTER!$A$2:$F$500,3,FALSE))</f>
        <v/>
      </c>
      <c r="C204" s="2" t="str">
        <f>IF(A204="","",COUNTIF(CARD_LOG!$C:$C,A204))</f>
        <v/>
      </c>
      <c r="D204" s="4" t="str">
        <f>IF(A204="","",IFERROR(AVERAGEIF(CARD_LOG!$C:$C,A204,CARD_LOG!$M:$M),""))</f>
        <v/>
      </c>
      <c r="E204" s="2" t="str">
        <f>IF(A204="","",IF(COUNTIFS(CARD_LOG!$C:$C,A204,CARD_LOG!$L:$L,"Yes",CARD_LOG!$K:$K,"&lt;14")&gt;0,"No","Yes"))</f>
        <v/>
      </c>
      <c r="F204" s="2" t="str">
        <f t="shared" si="1"/>
        <v/>
      </c>
    </row>
    <row r="205" ht="15.75" customHeight="1">
      <c r="B205" s="2" t="str">
        <f>IF(A205="","",VLOOKUP(A205,ROSTER!$A$2:$F$500,3,FALSE))</f>
        <v/>
      </c>
      <c r="C205" s="2" t="str">
        <f>IF(A205="","",COUNTIF(CARD_LOG!$C:$C,A205))</f>
        <v/>
      </c>
      <c r="D205" s="4" t="str">
        <f>IF(A205="","",IFERROR(AVERAGEIF(CARD_LOG!$C:$C,A205,CARD_LOG!$M:$M),""))</f>
        <v/>
      </c>
      <c r="E205" s="2" t="str">
        <f>IF(A205="","",IF(COUNTIFS(CARD_LOG!$C:$C,A205,CARD_LOG!$L:$L,"Yes",CARD_LOG!$K:$K,"&lt;14")&gt;0,"No","Yes"))</f>
        <v/>
      </c>
      <c r="F205" s="2" t="str">
        <f t="shared" si="1"/>
        <v/>
      </c>
    </row>
    <row r="206" ht="15.75" customHeight="1">
      <c r="B206" s="2" t="str">
        <f>IF(A206="","",VLOOKUP(A206,ROSTER!$A$2:$F$500,3,FALSE))</f>
        <v/>
      </c>
      <c r="C206" s="2" t="str">
        <f>IF(A206="","",COUNTIF(CARD_LOG!$C:$C,A206))</f>
        <v/>
      </c>
      <c r="D206" s="4" t="str">
        <f>IF(A206="","",IFERROR(AVERAGEIF(CARD_LOG!$C:$C,A206,CARD_LOG!$M:$M),""))</f>
        <v/>
      </c>
      <c r="E206" s="2" t="str">
        <f>IF(A206="","",IF(COUNTIFS(CARD_LOG!$C:$C,A206,CARD_LOG!$L:$L,"Yes",CARD_LOG!$K:$K,"&lt;14")&gt;0,"No","Yes"))</f>
        <v/>
      </c>
      <c r="F206" s="2" t="str">
        <f t="shared" si="1"/>
        <v/>
      </c>
    </row>
    <row r="207" ht="15.75" customHeight="1">
      <c r="B207" s="2" t="str">
        <f>IF(A207="","",VLOOKUP(A207,ROSTER!$A$2:$F$500,3,FALSE))</f>
        <v/>
      </c>
      <c r="C207" s="2" t="str">
        <f>IF(A207="","",COUNTIF(CARD_LOG!$C:$C,A207))</f>
        <v/>
      </c>
      <c r="D207" s="4" t="str">
        <f>IF(A207="","",IFERROR(AVERAGEIF(CARD_LOG!$C:$C,A207,CARD_LOG!$M:$M),""))</f>
        <v/>
      </c>
      <c r="E207" s="2" t="str">
        <f>IF(A207="","",IF(COUNTIFS(CARD_LOG!$C:$C,A207,CARD_LOG!$L:$L,"Yes",CARD_LOG!$K:$K,"&lt;14")&gt;0,"No","Yes"))</f>
        <v/>
      </c>
      <c r="F207" s="2" t="str">
        <f t="shared" si="1"/>
        <v/>
      </c>
    </row>
    <row r="208" ht="15.75" customHeight="1">
      <c r="B208" s="2" t="str">
        <f>IF(A208="","",VLOOKUP(A208,ROSTER!$A$2:$F$500,3,FALSE))</f>
        <v/>
      </c>
      <c r="C208" s="2" t="str">
        <f>IF(A208="","",COUNTIF(CARD_LOG!$C:$C,A208))</f>
        <v/>
      </c>
      <c r="D208" s="4" t="str">
        <f>IF(A208="","",IFERROR(AVERAGEIF(CARD_LOG!$C:$C,A208,CARD_LOG!$M:$M),""))</f>
        <v/>
      </c>
      <c r="E208" s="2" t="str">
        <f>IF(A208="","",IF(COUNTIFS(CARD_LOG!$C:$C,A208,CARD_LOG!$L:$L,"Yes",CARD_LOG!$K:$K,"&lt;14")&gt;0,"No","Yes"))</f>
        <v/>
      </c>
      <c r="F208" s="2" t="str">
        <f t="shared" si="1"/>
        <v/>
      </c>
    </row>
    <row r="209" ht="15.75" customHeight="1">
      <c r="B209" s="2" t="str">
        <f>IF(A209="","",VLOOKUP(A209,ROSTER!$A$2:$F$500,3,FALSE))</f>
        <v/>
      </c>
      <c r="C209" s="2" t="str">
        <f>IF(A209="","",COUNTIF(CARD_LOG!$C:$C,A209))</f>
        <v/>
      </c>
      <c r="D209" s="4" t="str">
        <f>IF(A209="","",IFERROR(AVERAGEIF(CARD_LOG!$C:$C,A209,CARD_LOG!$M:$M),""))</f>
        <v/>
      </c>
      <c r="E209" s="2" t="str">
        <f>IF(A209="","",IF(COUNTIFS(CARD_LOG!$C:$C,A209,CARD_LOG!$L:$L,"Yes",CARD_LOG!$K:$K,"&lt;14")&gt;0,"No","Yes"))</f>
        <v/>
      </c>
      <c r="F209" s="2" t="str">
        <f t="shared" si="1"/>
        <v/>
      </c>
    </row>
    <row r="210" ht="15.75" customHeight="1">
      <c r="B210" s="2" t="str">
        <f>IF(A210="","",VLOOKUP(A210,ROSTER!$A$2:$F$500,3,FALSE))</f>
        <v/>
      </c>
      <c r="C210" s="2" t="str">
        <f>IF(A210="","",COUNTIF(CARD_LOG!$C:$C,A210))</f>
        <v/>
      </c>
      <c r="D210" s="4" t="str">
        <f>IF(A210="","",IFERROR(AVERAGEIF(CARD_LOG!$C:$C,A210,CARD_LOG!$M:$M),""))</f>
        <v/>
      </c>
      <c r="E210" s="2" t="str">
        <f>IF(A210="","",IF(COUNTIFS(CARD_LOG!$C:$C,A210,CARD_LOG!$L:$L,"Yes",CARD_LOG!$K:$K,"&lt;14")&gt;0,"No","Yes"))</f>
        <v/>
      </c>
      <c r="F210" s="2" t="str">
        <f t="shared" si="1"/>
        <v/>
      </c>
    </row>
    <row r="211" ht="15.75" customHeight="1">
      <c r="B211" s="2" t="str">
        <f>IF(A211="","",VLOOKUP(A211,ROSTER!$A$2:$F$500,3,FALSE))</f>
        <v/>
      </c>
      <c r="C211" s="2" t="str">
        <f>IF(A211="","",COUNTIF(CARD_LOG!$C:$C,A211))</f>
        <v/>
      </c>
      <c r="D211" s="4" t="str">
        <f>IF(A211="","",IFERROR(AVERAGEIF(CARD_LOG!$C:$C,A211,CARD_LOG!$M:$M),""))</f>
        <v/>
      </c>
      <c r="E211" s="2" t="str">
        <f>IF(A211="","",IF(COUNTIFS(CARD_LOG!$C:$C,A211,CARD_LOG!$L:$L,"Yes",CARD_LOG!$K:$K,"&lt;14")&gt;0,"No","Yes"))</f>
        <v/>
      </c>
      <c r="F211" s="2" t="str">
        <f t="shared" si="1"/>
        <v/>
      </c>
    </row>
    <row r="212" ht="15.75" customHeight="1">
      <c r="B212" s="2" t="str">
        <f>IF(A212="","",VLOOKUP(A212,ROSTER!$A$2:$F$500,3,FALSE))</f>
        <v/>
      </c>
      <c r="C212" s="2" t="str">
        <f>IF(A212="","",COUNTIF(CARD_LOG!$C:$C,A212))</f>
        <v/>
      </c>
      <c r="D212" s="4" t="str">
        <f>IF(A212="","",IFERROR(AVERAGEIF(CARD_LOG!$C:$C,A212,CARD_LOG!$M:$M),""))</f>
        <v/>
      </c>
      <c r="E212" s="2" t="str">
        <f>IF(A212="","",IF(COUNTIFS(CARD_LOG!$C:$C,A212,CARD_LOG!$L:$L,"Yes",CARD_LOG!$K:$K,"&lt;14")&gt;0,"No","Yes"))</f>
        <v/>
      </c>
      <c r="F212" s="2" t="str">
        <f t="shared" si="1"/>
        <v/>
      </c>
    </row>
    <row r="213" ht="15.75" customHeight="1">
      <c r="B213" s="2" t="str">
        <f>IF(A213="","",VLOOKUP(A213,ROSTER!$A$2:$F$500,3,FALSE))</f>
        <v/>
      </c>
      <c r="C213" s="2" t="str">
        <f>IF(A213="","",COUNTIF(CARD_LOG!$C:$C,A213))</f>
        <v/>
      </c>
      <c r="D213" s="4" t="str">
        <f>IF(A213="","",IFERROR(AVERAGEIF(CARD_LOG!$C:$C,A213,CARD_LOG!$M:$M),""))</f>
        <v/>
      </c>
      <c r="E213" s="2" t="str">
        <f>IF(A213="","",IF(COUNTIFS(CARD_LOG!$C:$C,A213,CARD_LOG!$L:$L,"Yes",CARD_LOG!$K:$K,"&lt;14")&gt;0,"No","Yes"))</f>
        <v/>
      </c>
      <c r="F213" s="2" t="str">
        <f t="shared" si="1"/>
        <v/>
      </c>
    </row>
    <row r="214" ht="15.75" customHeight="1">
      <c r="B214" s="2" t="str">
        <f>IF(A214="","",VLOOKUP(A214,ROSTER!$A$2:$F$500,3,FALSE))</f>
        <v/>
      </c>
      <c r="C214" s="2" t="str">
        <f>IF(A214="","",COUNTIF(CARD_LOG!$C:$C,A214))</f>
        <v/>
      </c>
      <c r="D214" s="4" t="str">
        <f>IF(A214="","",IFERROR(AVERAGEIF(CARD_LOG!$C:$C,A214,CARD_LOG!$M:$M),""))</f>
        <v/>
      </c>
      <c r="E214" s="2" t="str">
        <f>IF(A214="","",IF(COUNTIFS(CARD_LOG!$C:$C,A214,CARD_LOG!$L:$L,"Yes",CARD_LOG!$K:$K,"&lt;14")&gt;0,"No","Yes"))</f>
        <v/>
      </c>
      <c r="F214" s="2" t="str">
        <f t="shared" si="1"/>
        <v/>
      </c>
    </row>
    <row r="215" ht="15.75" customHeight="1">
      <c r="B215" s="2" t="str">
        <f>IF(A215="","",VLOOKUP(A215,ROSTER!$A$2:$F$500,3,FALSE))</f>
        <v/>
      </c>
      <c r="C215" s="2" t="str">
        <f>IF(A215="","",COUNTIF(CARD_LOG!$C:$C,A215))</f>
        <v/>
      </c>
      <c r="D215" s="4" t="str">
        <f>IF(A215="","",IFERROR(AVERAGEIF(CARD_LOG!$C:$C,A215,CARD_LOG!$M:$M),""))</f>
        <v/>
      </c>
      <c r="E215" s="2" t="str">
        <f>IF(A215="","",IF(COUNTIFS(CARD_LOG!$C:$C,A215,CARD_LOG!$L:$L,"Yes",CARD_LOG!$K:$K,"&lt;14")&gt;0,"No","Yes"))</f>
        <v/>
      </c>
      <c r="F215" s="2" t="str">
        <f t="shared" si="1"/>
        <v/>
      </c>
    </row>
    <row r="216" ht="15.75" customHeight="1">
      <c r="B216" s="2" t="str">
        <f>IF(A216="","",VLOOKUP(A216,ROSTER!$A$2:$F$500,3,FALSE))</f>
        <v/>
      </c>
      <c r="C216" s="2" t="str">
        <f>IF(A216="","",COUNTIF(CARD_LOG!$C:$C,A216))</f>
        <v/>
      </c>
      <c r="D216" s="4" t="str">
        <f>IF(A216="","",IFERROR(AVERAGEIF(CARD_LOG!$C:$C,A216,CARD_LOG!$M:$M),""))</f>
        <v/>
      </c>
      <c r="E216" s="2" t="str">
        <f>IF(A216="","",IF(COUNTIFS(CARD_LOG!$C:$C,A216,CARD_LOG!$L:$L,"Yes",CARD_LOG!$K:$K,"&lt;14")&gt;0,"No","Yes"))</f>
        <v/>
      </c>
      <c r="F216" s="2" t="str">
        <f t="shared" si="1"/>
        <v/>
      </c>
    </row>
    <row r="217" ht="15.75" customHeight="1">
      <c r="B217" s="2" t="str">
        <f>IF(A217="","",VLOOKUP(A217,ROSTER!$A$2:$F$500,3,FALSE))</f>
        <v/>
      </c>
      <c r="C217" s="2" t="str">
        <f>IF(A217="","",COUNTIF(CARD_LOG!$C:$C,A217))</f>
        <v/>
      </c>
      <c r="D217" s="4" t="str">
        <f>IF(A217="","",IFERROR(AVERAGEIF(CARD_LOG!$C:$C,A217,CARD_LOG!$M:$M),""))</f>
        <v/>
      </c>
      <c r="E217" s="2" t="str">
        <f>IF(A217="","",IF(COUNTIFS(CARD_LOG!$C:$C,A217,CARD_LOG!$L:$L,"Yes",CARD_LOG!$K:$K,"&lt;14")&gt;0,"No","Yes"))</f>
        <v/>
      </c>
      <c r="F217" s="2" t="str">
        <f t="shared" si="1"/>
        <v/>
      </c>
    </row>
    <row r="218" ht="15.75" customHeight="1">
      <c r="B218" s="2" t="str">
        <f>IF(A218="","",VLOOKUP(A218,ROSTER!$A$2:$F$500,3,FALSE))</f>
        <v/>
      </c>
      <c r="C218" s="2" t="str">
        <f>IF(A218="","",COUNTIF(CARD_LOG!$C:$C,A218))</f>
        <v/>
      </c>
      <c r="D218" s="4" t="str">
        <f>IF(A218="","",IFERROR(AVERAGEIF(CARD_LOG!$C:$C,A218,CARD_LOG!$M:$M),""))</f>
        <v/>
      </c>
      <c r="E218" s="2" t="str">
        <f>IF(A218="","",IF(COUNTIFS(CARD_LOG!$C:$C,A218,CARD_LOG!$L:$L,"Yes",CARD_LOG!$K:$K,"&lt;14")&gt;0,"No","Yes"))</f>
        <v/>
      </c>
      <c r="F218" s="2" t="str">
        <f t="shared" si="1"/>
        <v/>
      </c>
    </row>
    <row r="219" ht="15.75" customHeight="1">
      <c r="B219" s="2" t="str">
        <f>IF(A219="","",VLOOKUP(A219,ROSTER!$A$2:$F$500,3,FALSE))</f>
        <v/>
      </c>
      <c r="C219" s="2" t="str">
        <f>IF(A219="","",COUNTIF(CARD_LOG!$C:$C,A219))</f>
        <v/>
      </c>
      <c r="D219" s="4" t="str">
        <f>IF(A219="","",IFERROR(AVERAGEIF(CARD_LOG!$C:$C,A219,CARD_LOG!$M:$M),""))</f>
        <v/>
      </c>
      <c r="E219" s="2" t="str">
        <f>IF(A219="","",IF(COUNTIFS(CARD_LOG!$C:$C,A219,CARD_LOG!$L:$L,"Yes",CARD_LOG!$K:$K,"&lt;14")&gt;0,"No","Yes"))</f>
        <v/>
      </c>
      <c r="F219" s="2" t="str">
        <f t="shared" si="1"/>
        <v/>
      </c>
    </row>
    <row r="220" ht="15.75" customHeight="1">
      <c r="B220" s="2" t="str">
        <f>IF(A220="","",VLOOKUP(A220,ROSTER!$A$2:$F$500,3,FALSE))</f>
        <v/>
      </c>
      <c r="C220" s="2" t="str">
        <f>IF(A220="","",COUNTIF(CARD_LOG!$C:$C,A220))</f>
        <v/>
      </c>
      <c r="D220" s="4" t="str">
        <f>IF(A220="","",IFERROR(AVERAGEIF(CARD_LOG!$C:$C,A220,CARD_LOG!$M:$M),""))</f>
        <v/>
      </c>
      <c r="E220" s="2" t="str">
        <f>IF(A220="","",IF(COUNTIFS(CARD_LOG!$C:$C,A220,CARD_LOG!$L:$L,"Yes",CARD_LOG!$K:$K,"&lt;14")&gt;0,"No","Yes"))</f>
        <v/>
      </c>
      <c r="F220" s="2" t="str">
        <f t="shared" si="1"/>
        <v/>
      </c>
    </row>
    <row r="221" ht="15.75" customHeight="1">
      <c r="B221" s="2" t="str">
        <f>IF(A221="","",VLOOKUP(A221,ROSTER!$A$2:$F$500,3,FALSE))</f>
        <v/>
      </c>
      <c r="C221" s="2" t="str">
        <f>IF(A221="","",COUNTIF(CARD_LOG!$C:$C,A221))</f>
        <v/>
      </c>
      <c r="D221" s="4" t="str">
        <f>IF(A221="","",IFERROR(AVERAGEIF(CARD_LOG!$C:$C,A221,CARD_LOG!$M:$M),""))</f>
        <v/>
      </c>
      <c r="E221" s="2" t="str">
        <f>IF(A221="","",IF(COUNTIFS(CARD_LOG!$C:$C,A221,CARD_LOG!$L:$L,"Yes",CARD_LOG!$K:$K,"&lt;14")&gt;0,"No","Yes"))</f>
        <v/>
      </c>
      <c r="F221" s="2" t="str">
        <f t="shared" si="1"/>
        <v/>
      </c>
    </row>
    <row r="222" ht="15.75" customHeight="1">
      <c r="B222" s="2" t="str">
        <f>IF(A222="","",VLOOKUP(A222,ROSTER!$A$2:$F$500,3,FALSE))</f>
        <v/>
      </c>
      <c r="C222" s="2" t="str">
        <f>IF(A222="","",COUNTIF(CARD_LOG!$C:$C,A222))</f>
        <v/>
      </c>
      <c r="D222" s="4" t="str">
        <f>IF(A222="","",IFERROR(AVERAGEIF(CARD_LOG!$C:$C,A222,CARD_LOG!$M:$M),""))</f>
        <v/>
      </c>
      <c r="E222" s="2" t="str">
        <f>IF(A222="","",IF(COUNTIFS(CARD_LOG!$C:$C,A222,CARD_LOG!$L:$L,"Yes",CARD_LOG!$K:$K,"&lt;14")&gt;0,"No","Yes"))</f>
        <v/>
      </c>
      <c r="F222" s="2" t="str">
        <f t="shared" si="1"/>
        <v/>
      </c>
    </row>
    <row r="223" ht="15.75" customHeight="1">
      <c r="B223" s="2" t="str">
        <f>IF(A223="","",VLOOKUP(A223,ROSTER!$A$2:$F$500,3,FALSE))</f>
        <v/>
      </c>
      <c r="C223" s="2" t="str">
        <f>IF(A223="","",COUNTIF(CARD_LOG!$C:$C,A223))</f>
        <v/>
      </c>
      <c r="D223" s="4" t="str">
        <f>IF(A223="","",IFERROR(AVERAGEIF(CARD_LOG!$C:$C,A223,CARD_LOG!$M:$M),""))</f>
        <v/>
      </c>
      <c r="E223" s="2" t="str">
        <f>IF(A223="","",IF(COUNTIFS(CARD_LOG!$C:$C,A223,CARD_LOG!$L:$L,"Yes",CARD_LOG!$K:$K,"&lt;14")&gt;0,"No","Yes"))</f>
        <v/>
      </c>
      <c r="F223" s="2" t="str">
        <f t="shared" si="1"/>
        <v/>
      </c>
    </row>
    <row r="224" ht="15.75" customHeight="1">
      <c r="B224" s="2" t="str">
        <f>IF(A224="","",VLOOKUP(A224,ROSTER!$A$2:$F$500,3,FALSE))</f>
        <v/>
      </c>
      <c r="C224" s="2" t="str">
        <f>IF(A224="","",COUNTIF(CARD_LOG!$C:$C,A224))</f>
        <v/>
      </c>
      <c r="D224" s="4" t="str">
        <f>IF(A224="","",IFERROR(AVERAGEIF(CARD_LOG!$C:$C,A224,CARD_LOG!$M:$M),""))</f>
        <v/>
      </c>
      <c r="E224" s="2" t="str">
        <f>IF(A224="","",IF(COUNTIFS(CARD_LOG!$C:$C,A224,CARD_LOG!$L:$L,"Yes",CARD_LOG!$K:$K,"&lt;14")&gt;0,"No","Yes"))</f>
        <v/>
      </c>
      <c r="F224" s="2" t="str">
        <f t="shared" si="1"/>
        <v/>
      </c>
    </row>
    <row r="225" ht="15.75" customHeight="1">
      <c r="B225" s="2" t="str">
        <f>IF(A225="","",VLOOKUP(A225,ROSTER!$A$2:$F$500,3,FALSE))</f>
        <v/>
      </c>
      <c r="C225" s="2" t="str">
        <f>IF(A225="","",COUNTIF(CARD_LOG!$C:$C,A225))</f>
        <v/>
      </c>
      <c r="D225" s="4" t="str">
        <f>IF(A225="","",IFERROR(AVERAGEIF(CARD_LOG!$C:$C,A225,CARD_LOG!$M:$M),""))</f>
        <v/>
      </c>
      <c r="E225" s="2" t="str">
        <f>IF(A225="","",IF(COUNTIFS(CARD_LOG!$C:$C,A225,CARD_LOG!$L:$L,"Yes",CARD_LOG!$K:$K,"&lt;14")&gt;0,"No","Yes"))</f>
        <v/>
      </c>
      <c r="F225" s="2" t="str">
        <f t="shared" si="1"/>
        <v/>
      </c>
    </row>
    <row r="226" ht="15.75" customHeight="1">
      <c r="B226" s="2" t="str">
        <f>IF(A226="","",VLOOKUP(A226,ROSTER!$A$2:$F$500,3,FALSE))</f>
        <v/>
      </c>
      <c r="C226" s="2" t="str">
        <f>IF(A226="","",COUNTIF(CARD_LOG!$C:$C,A226))</f>
        <v/>
      </c>
      <c r="D226" s="4" t="str">
        <f>IF(A226="","",IFERROR(AVERAGEIF(CARD_LOG!$C:$C,A226,CARD_LOG!$M:$M),""))</f>
        <v/>
      </c>
      <c r="E226" s="2" t="str">
        <f>IF(A226="","",IF(COUNTIFS(CARD_LOG!$C:$C,A226,CARD_LOG!$L:$L,"Yes",CARD_LOG!$K:$K,"&lt;14")&gt;0,"No","Yes"))</f>
        <v/>
      </c>
      <c r="F226" s="2" t="str">
        <f t="shared" si="1"/>
        <v/>
      </c>
    </row>
    <row r="227" ht="15.75" customHeight="1">
      <c r="B227" s="2" t="str">
        <f>IF(A227="","",VLOOKUP(A227,ROSTER!$A$2:$F$500,3,FALSE))</f>
        <v/>
      </c>
      <c r="C227" s="2" t="str">
        <f>IF(A227="","",COUNTIF(CARD_LOG!$C:$C,A227))</f>
        <v/>
      </c>
      <c r="D227" s="4" t="str">
        <f>IF(A227="","",IFERROR(AVERAGEIF(CARD_LOG!$C:$C,A227,CARD_LOG!$M:$M),""))</f>
        <v/>
      </c>
      <c r="E227" s="2" t="str">
        <f>IF(A227="","",IF(COUNTIFS(CARD_LOG!$C:$C,A227,CARD_LOG!$L:$L,"Yes",CARD_LOG!$K:$K,"&lt;14")&gt;0,"No","Yes"))</f>
        <v/>
      </c>
      <c r="F227" s="2" t="str">
        <f t="shared" si="1"/>
        <v/>
      </c>
    </row>
    <row r="228" ht="15.75" customHeight="1">
      <c r="B228" s="2" t="str">
        <f>IF(A228="","",VLOOKUP(A228,ROSTER!$A$2:$F$500,3,FALSE))</f>
        <v/>
      </c>
      <c r="C228" s="2" t="str">
        <f>IF(A228="","",COUNTIF(CARD_LOG!$C:$C,A228))</f>
        <v/>
      </c>
      <c r="D228" s="4" t="str">
        <f>IF(A228="","",IFERROR(AVERAGEIF(CARD_LOG!$C:$C,A228,CARD_LOG!$M:$M),""))</f>
        <v/>
      </c>
      <c r="E228" s="2" t="str">
        <f>IF(A228="","",IF(COUNTIFS(CARD_LOG!$C:$C,A228,CARD_LOG!$L:$L,"Yes",CARD_LOG!$K:$K,"&lt;14")&gt;0,"No","Yes"))</f>
        <v/>
      </c>
      <c r="F228" s="2" t="str">
        <f t="shared" si="1"/>
        <v/>
      </c>
    </row>
    <row r="229" ht="15.75" customHeight="1">
      <c r="B229" s="2" t="str">
        <f>IF(A229="","",VLOOKUP(A229,ROSTER!$A$2:$F$500,3,FALSE))</f>
        <v/>
      </c>
      <c r="C229" s="2" t="str">
        <f>IF(A229="","",COUNTIF(CARD_LOG!$C:$C,A229))</f>
        <v/>
      </c>
      <c r="D229" s="4" t="str">
        <f>IF(A229="","",IFERROR(AVERAGEIF(CARD_LOG!$C:$C,A229,CARD_LOG!$M:$M),""))</f>
        <v/>
      </c>
      <c r="E229" s="2" t="str">
        <f>IF(A229="","",IF(COUNTIFS(CARD_LOG!$C:$C,A229,CARD_LOG!$L:$L,"Yes",CARD_LOG!$K:$K,"&lt;14")&gt;0,"No","Yes"))</f>
        <v/>
      </c>
      <c r="F229" s="2" t="str">
        <f t="shared" si="1"/>
        <v/>
      </c>
    </row>
    <row r="230" ht="15.75" customHeight="1">
      <c r="B230" s="2" t="str">
        <f>IF(A230="","",VLOOKUP(A230,ROSTER!$A$2:$F$500,3,FALSE))</f>
        <v/>
      </c>
      <c r="C230" s="2" t="str">
        <f>IF(A230="","",COUNTIF(CARD_LOG!$C:$C,A230))</f>
        <v/>
      </c>
      <c r="D230" s="4" t="str">
        <f>IF(A230="","",IFERROR(AVERAGEIF(CARD_LOG!$C:$C,A230,CARD_LOG!$M:$M),""))</f>
        <v/>
      </c>
      <c r="E230" s="2" t="str">
        <f>IF(A230="","",IF(COUNTIFS(CARD_LOG!$C:$C,A230,CARD_LOG!$L:$L,"Yes",CARD_LOG!$K:$K,"&lt;14")&gt;0,"No","Yes"))</f>
        <v/>
      </c>
      <c r="F230" s="2" t="str">
        <f t="shared" si="1"/>
        <v/>
      </c>
    </row>
    <row r="231" ht="15.75" customHeight="1">
      <c r="B231" s="2" t="str">
        <f>IF(A231="","",VLOOKUP(A231,ROSTER!$A$2:$F$500,3,FALSE))</f>
        <v/>
      </c>
      <c r="C231" s="2" t="str">
        <f>IF(A231="","",COUNTIF(CARD_LOG!$C:$C,A231))</f>
        <v/>
      </c>
      <c r="D231" s="4" t="str">
        <f>IF(A231="","",IFERROR(AVERAGEIF(CARD_LOG!$C:$C,A231,CARD_LOG!$M:$M),""))</f>
        <v/>
      </c>
      <c r="E231" s="2" t="str">
        <f>IF(A231="","",IF(COUNTIFS(CARD_LOG!$C:$C,A231,CARD_LOG!$L:$L,"Yes",CARD_LOG!$K:$K,"&lt;14")&gt;0,"No","Yes"))</f>
        <v/>
      </c>
      <c r="F231" s="2" t="str">
        <f t="shared" si="1"/>
        <v/>
      </c>
    </row>
    <row r="232" ht="15.75" customHeight="1">
      <c r="B232" s="2" t="str">
        <f>IF(A232="","",VLOOKUP(A232,ROSTER!$A$2:$F$500,3,FALSE))</f>
        <v/>
      </c>
      <c r="C232" s="2" t="str">
        <f>IF(A232="","",COUNTIF(CARD_LOG!$C:$C,A232))</f>
        <v/>
      </c>
      <c r="D232" s="4" t="str">
        <f>IF(A232="","",IFERROR(AVERAGEIF(CARD_LOG!$C:$C,A232,CARD_LOG!$M:$M),""))</f>
        <v/>
      </c>
      <c r="E232" s="2" t="str">
        <f>IF(A232="","",IF(COUNTIFS(CARD_LOG!$C:$C,A232,CARD_LOG!$L:$L,"Yes",CARD_LOG!$K:$K,"&lt;14")&gt;0,"No","Yes"))</f>
        <v/>
      </c>
      <c r="F232" s="2" t="str">
        <f t="shared" si="1"/>
        <v/>
      </c>
    </row>
    <row r="233" ht="15.75" customHeight="1">
      <c r="B233" s="2" t="str">
        <f>IF(A233="","",VLOOKUP(A233,ROSTER!$A$2:$F$500,3,FALSE))</f>
        <v/>
      </c>
      <c r="C233" s="2" t="str">
        <f>IF(A233="","",COUNTIF(CARD_LOG!$C:$C,A233))</f>
        <v/>
      </c>
      <c r="D233" s="4" t="str">
        <f>IF(A233="","",IFERROR(AVERAGEIF(CARD_LOG!$C:$C,A233,CARD_LOG!$M:$M),""))</f>
        <v/>
      </c>
      <c r="E233" s="2" t="str">
        <f>IF(A233="","",IF(COUNTIFS(CARD_LOG!$C:$C,A233,CARD_LOG!$L:$L,"Yes",CARD_LOG!$K:$K,"&lt;14")&gt;0,"No","Yes"))</f>
        <v/>
      </c>
      <c r="F233" s="2" t="str">
        <f t="shared" si="1"/>
        <v/>
      </c>
    </row>
    <row r="234" ht="15.75" customHeight="1">
      <c r="B234" s="2" t="str">
        <f>IF(A234="","",VLOOKUP(A234,ROSTER!$A$2:$F$500,3,FALSE))</f>
        <v/>
      </c>
      <c r="C234" s="2" t="str">
        <f>IF(A234="","",COUNTIF(CARD_LOG!$C:$C,A234))</f>
        <v/>
      </c>
      <c r="D234" s="4" t="str">
        <f>IF(A234="","",IFERROR(AVERAGEIF(CARD_LOG!$C:$C,A234,CARD_LOG!$M:$M),""))</f>
        <v/>
      </c>
      <c r="E234" s="2" t="str">
        <f>IF(A234="","",IF(COUNTIFS(CARD_LOG!$C:$C,A234,CARD_LOG!$L:$L,"Yes",CARD_LOG!$K:$K,"&lt;14")&gt;0,"No","Yes"))</f>
        <v/>
      </c>
      <c r="F234" s="2" t="str">
        <f t="shared" si="1"/>
        <v/>
      </c>
    </row>
    <row r="235" ht="15.75" customHeight="1">
      <c r="B235" s="2" t="str">
        <f>IF(A235="","",VLOOKUP(A235,ROSTER!$A$2:$F$500,3,FALSE))</f>
        <v/>
      </c>
      <c r="C235" s="2" t="str">
        <f>IF(A235="","",COUNTIF(CARD_LOG!$C:$C,A235))</f>
        <v/>
      </c>
      <c r="D235" s="4" t="str">
        <f>IF(A235="","",IFERROR(AVERAGEIF(CARD_LOG!$C:$C,A235,CARD_LOG!$M:$M),""))</f>
        <v/>
      </c>
      <c r="E235" s="2" t="str">
        <f>IF(A235="","",IF(COUNTIFS(CARD_LOG!$C:$C,A235,CARD_LOG!$L:$L,"Yes",CARD_LOG!$K:$K,"&lt;14")&gt;0,"No","Yes"))</f>
        <v/>
      </c>
      <c r="F235" s="2" t="str">
        <f t="shared" si="1"/>
        <v/>
      </c>
    </row>
    <row r="236" ht="15.75" customHeight="1">
      <c r="B236" s="2" t="str">
        <f>IF(A236="","",VLOOKUP(A236,ROSTER!$A$2:$F$500,3,FALSE))</f>
        <v/>
      </c>
      <c r="C236" s="2" t="str">
        <f>IF(A236="","",COUNTIF(CARD_LOG!$C:$C,A236))</f>
        <v/>
      </c>
      <c r="D236" s="4" t="str">
        <f>IF(A236="","",IFERROR(AVERAGEIF(CARD_LOG!$C:$C,A236,CARD_LOG!$M:$M),""))</f>
        <v/>
      </c>
      <c r="E236" s="2" t="str">
        <f>IF(A236="","",IF(COUNTIFS(CARD_LOG!$C:$C,A236,CARD_LOG!$L:$L,"Yes",CARD_LOG!$K:$K,"&lt;14")&gt;0,"No","Yes"))</f>
        <v/>
      </c>
      <c r="F236" s="2" t="str">
        <f t="shared" si="1"/>
        <v/>
      </c>
    </row>
    <row r="237" ht="15.75" customHeight="1">
      <c r="B237" s="2" t="str">
        <f>IF(A237="","",VLOOKUP(A237,ROSTER!$A$2:$F$500,3,FALSE))</f>
        <v/>
      </c>
      <c r="C237" s="2" t="str">
        <f>IF(A237="","",COUNTIF(CARD_LOG!$C:$C,A237))</f>
        <v/>
      </c>
      <c r="D237" s="4" t="str">
        <f>IF(A237="","",IFERROR(AVERAGEIF(CARD_LOG!$C:$C,A237,CARD_LOG!$M:$M),""))</f>
        <v/>
      </c>
      <c r="E237" s="2" t="str">
        <f>IF(A237="","",IF(COUNTIFS(CARD_LOG!$C:$C,A237,CARD_LOG!$L:$L,"Yes",CARD_LOG!$K:$K,"&lt;14")&gt;0,"No","Yes"))</f>
        <v/>
      </c>
      <c r="F237" s="2" t="str">
        <f t="shared" si="1"/>
        <v/>
      </c>
    </row>
    <row r="238" ht="15.75" customHeight="1">
      <c r="B238" s="2" t="str">
        <f>IF(A238="","",VLOOKUP(A238,ROSTER!$A$2:$F$500,3,FALSE))</f>
        <v/>
      </c>
      <c r="C238" s="2" t="str">
        <f>IF(A238="","",COUNTIF(CARD_LOG!$C:$C,A238))</f>
        <v/>
      </c>
      <c r="D238" s="4" t="str">
        <f>IF(A238="","",IFERROR(AVERAGEIF(CARD_LOG!$C:$C,A238,CARD_LOG!$M:$M),""))</f>
        <v/>
      </c>
      <c r="E238" s="2" t="str">
        <f>IF(A238="","",IF(COUNTIFS(CARD_LOG!$C:$C,A238,CARD_LOG!$L:$L,"Yes",CARD_LOG!$K:$K,"&lt;14")&gt;0,"No","Yes"))</f>
        <v/>
      </c>
      <c r="F238" s="2" t="str">
        <f t="shared" si="1"/>
        <v/>
      </c>
    </row>
    <row r="239" ht="15.75" customHeight="1">
      <c r="B239" s="2" t="str">
        <f>IF(A239="","",VLOOKUP(A239,ROSTER!$A$2:$F$500,3,FALSE))</f>
        <v/>
      </c>
      <c r="C239" s="2" t="str">
        <f>IF(A239="","",COUNTIF(CARD_LOG!$C:$C,A239))</f>
        <v/>
      </c>
      <c r="D239" s="4" t="str">
        <f>IF(A239="","",IFERROR(AVERAGEIF(CARD_LOG!$C:$C,A239,CARD_LOG!$M:$M),""))</f>
        <v/>
      </c>
      <c r="E239" s="2" t="str">
        <f>IF(A239="","",IF(COUNTIFS(CARD_LOG!$C:$C,A239,CARD_LOG!$L:$L,"Yes",CARD_LOG!$K:$K,"&lt;14")&gt;0,"No","Yes"))</f>
        <v/>
      </c>
      <c r="F239" s="2" t="str">
        <f t="shared" si="1"/>
        <v/>
      </c>
    </row>
    <row r="240" ht="15.75" customHeight="1">
      <c r="B240" s="2" t="str">
        <f>IF(A240="","",VLOOKUP(A240,ROSTER!$A$2:$F$500,3,FALSE))</f>
        <v/>
      </c>
      <c r="C240" s="2" t="str">
        <f>IF(A240="","",COUNTIF(CARD_LOG!$C:$C,A240))</f>
        <v/>
      </c>
      <c r="D240" s="4" t="str">
        <f>IF(A240="","",IFERROR(AVERAGEIF(CARD_LOG!$C:$C,A240,CARD_LOG!$M:$M),""))</f>
        <v/>
      </c>
      <c r="E240" s="2" t="str">
        <f>IF(A240="","",IF(COUNTIFS(CARD_LOG!$C:$C,A240,CARD_LOG!$L:$L,"Yes",CARD_LOG!$K:$K,"&lt;14")&gt;0,"No","Yes"))</f>
        <v/>
      </c>
      <c r="F240" s="2" t="str">
        <f t="shared" si="1"/>
        <v/>
      </c>
    </row>
    <row r="241" ht="15.75" customHeight="1">
      <c r="B241" s="2" t="str">
        <f>IF(A241="","",VLOOKUP(A241,ROSTER!$A$2:$F$500,3,FALSE))</f>
        <v/>
      </c>
      <c r="C241" s="2" t="str">
        <f>IF(A241="","",COUNTIF(CARD_LOG!$C:$C,A241))</f>
        <v/>
      </c>
      <c r="D241" s="4" t="str">
        <f>IF(A241="","",IFERROR(AVERAGEIF(CARD_LOG!$C:$C,A241,CARD_LOG!$M:$M),""))</f>
        <v/>
      </c>
      <c r="E241" s="2" t="str">
        <f>IF(A241="","",IF(COUNTIFS(CARD_LOG!$C:$C,A241,CARD_LOG!$L:$L,"Yes",CARD_LOG!$K:$K,"&lt;14")&gt;0,"No","Yes"))</f>
        <v/>
      </c>
      <c r="F241" s="2" t="str">
        <f t="shared" si="1"/>
        <v/>
      </c>
    </row>
    <row r="242" ht="15.75" customHeight="1">
      <c r="B242" s="2" t="str">
        <f>IF(A242="","",VLOOKUP(A242,ROSTER!$A$2:$F$500,3,FALSE))</f>
        <v/>
      </c>
      <c r="C242" s="2" t="str">
        <f>IF(A242="","",COUNTIF(CARD_LOG!$C:$C,A242))</f>
        <v/>
      </c>
      <c r="D242" s="4" t="str">
        <f>IF(A242="","",IFERROR(AVERAGEIF(CARD_LOG!$C:$C,A242,CARD_LOG!$M:$M),""))</f>
        <v/>
      </c>
      <c r="E242" s="2" t="str">
        <f>IF(A242="","",IF(COUNTIFS(CARD_LOG!$C:$C,A242,CARD_LOG!$L:$L,"Yes",CARD_LOG!$K:$K,"&lt;14")&gt;0,"No","Yes"))</f>
        <v/>
      </c>
      <c r="F242" s="2" t="str">
        <f t="shared" si="1"/>
        <v/>
      </c>
    </row>
    <row r="243" ht="15.75" customHeight="1">
      <c r="B243" s="2" t="str">
        <f>IF(A243="","",VLOOKUP(A243,ROSTER!$A$2:$F$500,3,FALSE))</f>
        <v/>
      </c>
      <c r="C243" s="2" t="str">
        <f>IF(A243="","",COUNTIF(CARD_LOG!$C:$C,A243))</f>
        <v/>
      </c>
      <c r="D243" s="4" t="str">
        <f>IF(A243="","",IFERROR(AVERAGEIF(CARD_LOG!$C:$C,A243,CARD_LOG!$M:$M),""))</f>
        <v/>
      </c>
      <c r="E243" s="2" t="str">
        <f>IF(A243="","",IF(COUNTIFS(CARD_LOG!$C:$C,A243,CARD_LOG!$L:$L,"Yes",CARD_LOG!$K:$K,"&lt;14")&gt;0,"No","Yes"))</f>
        <v/>
      </c>
      <c r="F243" s="2" t="str">
        <f t="shared" si="1"/>
        <v/>
      </c>
    </row>
    <row r="244" ht="15.75" customHeight="1">
      <c r="B244" s="2" t="str">
        <f>IF(A244="","",VLOOKUP(A244,ROSTER!$A$2:$F$500,3,FALSE))</f>
        <v/>
      </c>
      <c r="C244" s="2" t="str">
        <f>IF(A244="","",COUNTIF(CARD_LOG!$C:$C,A244))</f>
        <v/>
      </c>
      <c r="D244" s="4" t="str">
        <f>IF(A244="","",IFERROR(AVERAGEIF(CARD_LOG!$C:$C,A244,CARD_LOG!$M:$M),""))</f>
        <v/>
      </c>
      <c r="E244" s="2" t="str">
        <f>IF(A244="","",IF(COUNTIFS(CARD_LOG!$C:$C,A244,CARD_LOG!$L:$L,"Yes",CARD_LOG!$K:$K,"&lt;14")&gt;0,"No","Yes"))</f>
        <v/>
      </c>
      <c r="F244" s="2" t="str">
        <f t="shared" si="1"/>
        <v/>
      </c>
    </row>
    <row r="245" ht="15.75" customHeight="1">
      <c r="B245" s="2" t="str">
        <f>IF(A245="","",VLOOKUP(A245,ROSTER!$A$2:$F$500,3,FALSE))</f>
        <v/>
      </c>
      <c r="C245" s="2" t="str">
        <f>IF(A245="","",COUNTIF(CARD_LOG!$C:$C,A245))</f>
        <v/>
      </c>
      <c r="D245" s="4" t="str">
        <f>IF(A245="","",IFERROR(AVERAGEIF(CARD_LOG!$C:$C,A245,CARD_LOG!$M:$M),""))</f>
        <v/>
      </c>
      <c r="E245" s="2" t="str">
        <f>IF(A245="","",IF(COUNTIFS(CARD_LOG!$C:$C,A245,CARD_LOG!$L:$L,"Yes",CARD_LOG!$K:$K,"&lt;14")&gt;0,"No","Yes"))</f>
        <v/>
      </c>
      <c r="F245" s="2" t="str">
        <f t="shared" si="1"/>
        <v/>
      </c>
    </row>
    <row r="246" ht="15.75" customHeight="1">
      <c r="B246" s="2" t="str">
        <f>IF(A246="","",VLOOKUP(A246,ROSTER!$A$2:$F$500,3,FALSE))</f>
        <v/>
      </c>
      <c r="C246" s="2" t="str">
        <f>IF(A246="","",COUNTIF(CARD_LOG!$C:$C,A246))</f>
        <v/>
      </c>
      <c r="D246" s="4" t="str">
        <f>IF(A246="","",IFERROR(AVERAGEIF(CARD_LOG!$C:$C,A246,CARD_LOG!$M:$M),""))</f>
        <v/>
      </c>
      <c r="E246" s="2" t="str">
        <f>IF(A246="","",IF(COUNTIFS(CARD_LOG!$C:$C,A246,CARD_LOG!$L:$L,"Yes",CARD_LOG!$K:$K,"&lt;14")&gt;0,"No","Yes"))</f>
        <v/>
      </c>
      <c r="F246" s="2" t="str">
        <f t="shared" si="1"/>
        <v/>
      </c>
    </row>
    <row r="247" ht="15.75" customHeight="1">
      <c r="B247" s="2" t="str">
        <f>IF(A247="","",VLOOKUP(A247,ROSTER!$A$2:$F$500,3,FALSE))</f>
        <v/>
      </c>
      <c r="C247" s="2" t="str">
        <f>IF(A247="","",COUNTIF(CARD_LOG!$C:$C,A247))</f>
        <v/>
      </c>
      <c r="D247" s="4" t="str">
        <f>IF(A247="","",IFERROR(AVERAGEIF(CARD_LOG!$C:$C,A247,CARD_LOG!$M:$M),""))</f>
        <v/>
      </c>
      <c r="E247" s="2" t="str">
        <f>IF(A247="","",IF(COUNTIFS(CARD_LOG!$C:$C,A247,CARD_LOG!$L:$L,"Yes",CARD_LOG!$K:$K,"&lt;14")&gt;0,"No","Yes"))</f>
        <v/>
      </c>
      <c r="F247" s="2" t="str">
        <f t="shared" si="1"/>
        <v/>
      </c>
    </row>
    <row r="248" ht="15.75" customHeight="1">
      <c r="B248" s="2" t="str">
        <f>IF(A248="","",VLOOKUP(A248,ROSTER!$A$2:$F$500,3,FALSE))</f>
        <v/>
      </c>
      <c r="C248" s="2" t="str">
        <f>IF(A248="","",COUNTIF(CARD_LOG!$C:$C,A248))</f>
        <v/>
      </c>
      <c r="D248" s="4" t="str">
        <f>IF(A248="","",IFERROR(AVERAGEIF(CARD_LOG!$C:$C,A248,CARD_LOG!$M:$M),""))</f>
        <v/>
      </c>
      <c r="E248" s="2" t="str">
        <f>IF(A248="","",IF(COUNTIFS(CARD_LOG!$C:$C,A248,CARD_LOG!$L:$L,"Yes",CARD_LOG!$K:$K,"&lt;14")&gt;0,"No","Yes"))</f>
        <v/>
      </c>
      <c r="F248" s="2" t="str">
        <f t="shared" si="1"/>
        <v/>
      </c>
    </row>
    <row r="249" ht="15.75" customHeight="1">
      <c r="B249" s="2" t="str">
        <f>IF(A249="","",VLOOKUP(A249,ROSTER!$A$2:$F$500,3,FALSE))</f>
        <v/>
      </c>
      <c r="C249" s="2" t="str">
        <f>IF(A249="","",COUNTIF(CARD_LOG!$C:$C,A249))</f>
        <v/>
      </c>
      <c r="D249" s="4" t="str">
        <f>IF(A249="","",IFERROR(AVERAGEIF(CARD_LOG!$C:$C,A249,CARD_LOG!$M:$M),""))</f>
        <v/>
      </c>
      <c r="E249" s="2" t="str">
        <f>IF(A249="","",IF(COUNTIFS(CARD_LOG!$C:$C,A249,CARD_LOG!$L:$L,"Yes",CARD_LOG!$K:$K,"&lt;14")&gt;0,"No","Yes"))</f>
        <v/>
      </c>
      <c r="F249" s="2" t="str">
        <f t="shared" si="1"/>
        <v/>
      </c>
    </row>
    <row r="250" ht="15.75" customHeight="1">
      <c r="B250" s="2" t="str">
        <f>IF(A250="","",VLOOKUP(A250,ROSTER!$A$2:$F$500,3,FALSE))</f>
        <v/>
      </c>
      <c r="C250" s="2" t="str">
        <f>IF(A250="","",COUNTIF(CARD_LOG!$C:$C,A250))</f>
        <v/>
      </c>
      <c r="D250" s="4" t="str">
        <f>IF(A250="","",IFERROR(AVERAGEIF(CARD_LOG!$C:$C,A250,CARD_LOG!$M:$M),""))</f>
        <v/>
      </c>
      <c r="E250" s="2" t="str">
        <f>IF(A250="","",IF(COUNTIFS(CARD_LOG!$C:$C,A250,CARD_LOG!$L:$L,"Yes",CARD_LOG!$K:$K,"&lt;14")&gt;0,"No","Yes"))</f>
        <v/>
      </c>
      <c r="F250" s="2" t="str">
        <f t="shared" si="1"/>
        <v/>
      </c>
    </row>
    <row r="251" ht="15.75" customHeight="1">
      <c r="B251" s="2" t="str">
        <f>IF(A251="","",VLOOKUP(A251,ROSTER!$A$2:$F$500,3,FALSE))</f>
        <v/>
      </c>
      <c r="C251" s="2" t="str">
        <f>IF(A251="","",COUNTIF(CARD_LOG!$C:$C,A251))</f>
        <v/>
      </c>
      <c r="D251" s="4" t="str">
        <f>IF(A251="","",IFERROR(AVERAGEIF(CARD_LOG!$C:$C,A251,CARD_LOG!$M:$M),""))</f>
        <v/>
      </c>
      <c r="E251" s="2" t="str">
        <f>IF(A251="","",IF(COUNTIFS(CARD_LOG!$C:$C,A251,CARD_LOG!$L:$L,"Yes",CARD_LOG!$K:$K,"&lt;14")&gt;0,"No","Yes"))</f>
        <v/>
      </c>
      <c r="F251" s="2" t="str">
        <f t="shared" si="1"/>
        <v/>
      </c>
    </row>
    <row r="252" ht="15.75" customHeight="1">
      <c r="B252" s="2" t="str">
        <f>IF(A252="","",VLOOKUP(A252,ROSTER!$A$2:$F$500,3,FALSE))</f>
        <v/>
      </c>
      <c r="C252" s="2" t="str">
        <f>IF(A252="","",COUNTIF(CARD_LOG!$C:$C,A252))</f>
        <v/>
      </c>
      <c r="D252" s="4" t="str">
        <f>IF(A252="","",IFERROR(AVERAGEIF(CARD_LOG!$C:$C,A252,CARD_LOG!$M:$M),""))</f>
        <v/>
      </c>
      <c r="E252" s="2" t="str">
        <f>IF(A252="","",IF(COUNTIFS(CARD_LOG!$C:$C,A252,CARD_LOG!$L:$L,"Yes",CARD_LOG!$K:$K,"&lt;14")&gt;0,"No","Yes"))</f>
        <v/>
      </c>
      <c r="F252" s="2" t="str">
        <f t="shared" si="1"/>
        <v/>
      </c>
    </row>
    <row r="253" ht="15.75" customHeight="1">
      <c r="B253" s="2" t="str">
        <f>IF(A253="","",VLOOKUP(A253,ROSTER!$A$2:$F$500,3,FALSE))</f>
        <v/>
      </c>
      <c r="C253" s="2" t="str">
        <f>IF(A253="","",COUNTIF(CARD_LOG!$C:$C,A253))</f>
        <v/>
      </c>
      <c r="D253" s="4" t="str">
        <f>IF(A253="","",IFERROR(AVERAGEIF(CARD_LOG!$C:$C,A253,CARD_LOG!$M:$M),""))</f>
        <v/>
      </c>
      <c r="E253" s="2" t="str">
        <f>IF(A253="","",IF(COUNTIFS(CARD_LOG!$C:$C,A253,CARD_LOG!$L:$L,"Yes",CARD_LOG!$K:$K,"&lt;14")&gt;0,"No","Yes"))</f>
        <v/>
      </c>
      <c r="F253" s="2" t="str">
        <f t="shared" si="1"/>
        <v/>
      </c>
    </row>
    <row r="254" ht="15.75" customHeight="1">
      <c r="B254" s="2" t="str">
        <f>IF(A254="","",VLOOKUP(A254,ROSTER!$A$2:$F$500,3,FALSE))</f>
        <v/>
      </c>
      <c r="C254" s="2" t="str">
        <f>IF(A254="","",COUNTIF(CARD_LOG!$C:$C,A254))</f>
        <v/>
      </c>
      <c r="D254" s="4" t="str">
        <f>IF(A254="","",IFERROR(AVERAGEIF(CARD_LOG!$C:$C,A254,CARD_LOG!$M:$M),""))</f>
        <v/>
      </c>
      <c r="E254" s="2" t="str">
        <f>IF(A254="","",IF(COUNTIFS(CARD_LOG!$C:$C,A254,CARD_LOG!$L:$L,"Yes",CARD_LOG!$K:$K,"&lt;14")&gt;0,"No","Yes"))</f>
        <v/>
      </c>
      <c r="F254" s="2" t="str">
        <f t="shared" si="1"/>
        <v/>
      </c>
    </row>
    <row r="255" ht="15.75" customHeight="1">
      <c r="B255" s="2" t="str">
        <f>IF(A255="","",VLOOKUP(A255,ROSTER!$A$2:$F$500,3,FALSE))</f>
        <v/>
      </c>
      <c r="C255" s="2" t="str">
        <f>IF(A255="","",COUNTIF(CARD_LOG!$C:$C,A255))</f>
        <v/>
      </c>
      <c r="D255" s="4" t="str">
        <f>IF(A255="","",IFERROR(AVERAGEIF(CARD_LOG!$C:$C,A255,CARD_LOG!$M:$M),""))</f>
        <v/>
      </c>
      <c r="E255" s="2" t="str">
        <f>IF(A255="","",IF(COUNTIFS(CARD_LOG!$C:$C,A255,CARD_LOG!$L:$L,"Yes",CARD_LOG!$K:$K,"&lt;14")&gt;0,"No","Yes"))</f>
        <v/>
      </c>
      <c r="F255" s="2" t="str">
        <f t="shared" si="1"/>
        <v/>
      </c>
    </row>
    <row r="256" ht="15.75" customHeight="1">
      <c r="B256" s="2" t="str">
        <f>IF(A256="","",VLOOKUP(A256,ROSTER!$A$2:$F$500,3,FALSE))</f>
        <v/>
      </c>
      <c r="C256" s="2" t="str">
        <f>IF(A256="","",COUNTIF(CARD_LOG!$C:$C,A256))</f>
        <v/>
      </c>
      <c r="D256" s="4" t="str">
        <f>IF(A256="","",IFERROR(AVERAGEIF(CARD_LOG!$C:$C,A256,CARD_LOG!$M:$M),""))</f>
        <v/>
      </c>
      <c r="E256" s="2" t="str">
        <f>IF(A256="","",IF(COUNTIFS(CARD_LOG!$C:$C,A256,CARD_LOG!$L:$L,"Yes",CARD_LOG!$K:$K,"&lt;14")&gt;0,"No","Yes"))</f>
        <v/>
      </c>
      <c r="F256" s="2" t="str">
        <f t="shared" si="1"/>
        <v/>
      </c>
    </row>
    <row r="257" ht="15.75" customHeight="1">
      <c r="B257" s="2" t="str">
        <f>IF(A257="","",VLOOKUP(A257,ROSTER!$A$2:$F$500,3,FALSE))</f>
        <v/>
      </c>
      <c r="C257" s="2" t="str">
        <f>IF(A257="","",COUNTIF(CARD_LOG!$C:$C,A257))</f>
        <v/>
      </c>
      <c r="D257" s="4" t="str">
        <f>IF(A257="","",IFERROR(AVERAGEIF(CARD_LOG!$C:$C,A257,CARD_LOG!$M:$M),""))</f>
        <v/>
      </c>
      <c r="E257" s="2" t="str">
        <f>IF(A257="","",IF(COUNTIFS(CARD_LOG!$C:$C,A257,CARD_LOG!$L:$L,"Yes",CARD_LOG!$K:$K,"&lt;14")&gt;0,"No","Yes"))</f>
        <v/>
      </c>
      <c r="F257" s="2" t="str">
        <f t="shared" si="1"/>
        <v/>
      </c>
    </row>
    <row r="258" ht="15.75" customHeight="1">
      <c r="B258" s="2" t="str">
        <f>IF(A258="","",VLOOKUP(A258,ROSTER!$A$2:$F$500,3,FALSE))</f>
        <v/>
      </c>
      <c r="C258" s="2" t="str">
        <f>IF(A258="","",COUNTIF(CARD_LOG!$C:$C,A258))</f>
        <v/>
      </c>
      <c r="D258" s="4" t="str">
        <f>IF(A258="","",IFERROR(AVERAGEIF(CARD_LOG!$C:$C,A258,CARD_LOG!$M:$M),""))</f>
        <v/>
      </c>
      <c r="E258" s="2" t="str">
        <f>IF(A258="","",IF(COUNTIFS(CARD_LOG!$C:$C,A258,CARD_LOG!$L:$L,"Yes",CARD_LOG!$K:$K,"&lt;14")&gt;0,"No","Yes"))</f>
        <v/>
      </c>
      <c r="F258" s="2" t="str">
        <f t="shared" si="1"/>
        <v/>
      </c>
    </row>
    <row r="259" ht="15.75" customHeight="1">
      <c r="B259" s="2" t="str">
        <f>IF(A259="","",VLOOKUP(A259,ROSTER!$A$2:$F$500,3,FALSE))</f>
        <v/>
      </c>
      <c r="C259" s="2" t="str">
        <f>IF(A259="","",COUNTIF(CARD_LOG!$C:$C,A259))</f>
        <v/>
      </c>
      <c r="D259" s="4" t="str">
        <f>IF(A259="","",IFERROR(AVERAGEIF(CARD_LOG!$C:$C,A259,CARD_LOG!$M:$M),""))</f>
        <v/>
      </c>
      <c r="E259" s="2" t="str">
        <f>IF(A259="","",IF(COUNTIFS(CARD_LOG!$C:$C,A259,CARD_LOG!$L:$L,"Yes",CARD_LOG!$K:$K,"&lt;14")&gt;0,"No","Yes"))</f>
        <v/>
      </c>
      <c r="F259" s="2" t="str">
        <f t="shared" si="1"/>
        <v/>
      </c>
    </row>
    <row r="260" ht="15.75" customHeight="1">
      <c r="B260" s="2" t="str">
        <f>IF(A260="","",VLOOKUP(A260,ROSTER!$A$2:$F$500,3,FALSE))</f>
        <v/>
      </c>
      <c r="C260" s="2" t="str">
        <f>IF(A260="","",COUNTIF(CARD_LOG!$C:$C,A260))</f>
        <v/>
      </c>
      <c r="D260" s="4" t="str">
        <f>IF(A260="","",IFERROR(AVERAGEIF(CARD_LOG!$C:$C,A260,CARD_LOG!$M:$M),""))</f>
        <v/>
      </c>
      <c r="E260" s="2" t="str">
        <f>IF(A260="","",IF(COUNTIFS(CARD_LOG!$C:$C,A260,CARD_LOG!$L:$L,"Yes",CARD_LOG!$K:$K,"&lt;14")&gt;0,"No","Yes"))</f>
        <v/>
      </c>
      <c r="F260" s="2" t="str">
        <f t="shared" si="1"/>
        <v/>
      </c>
    </row>
    <row r="261" ht="15.75" customHeight="1">
      <c r="B261" s="2" t="str">
        <f>IF(A261="","",VLOOKUP(A261,ROSTER!$A$2:$F$500,3,FALSE))</f>
        <v/>
      </c>
      <c r="C261" s="2" t="str">
        <f>IF(A261="","",COUNTIF(CARD_LOG!$C:$C,A261))</f>
        <v/>
      </c>
      <c r="D261" s="4" t="str">
        <f>IF(A261="","",IFERROR(AVERAGEIF(CARD_LOG!$C:$C,A261,CARD_LOG!$M:$M),""))</f>
        <v/>
      </c>
      <c r="E261" s="2" t="str">
        <f>IF(A261="","",IF(COUNTIFS(CARD_LOG!$C:$C,A261,CARD_LOG!$L:$L,"Yes",CARD_LOG!$K:$K,"&lt;14")&gt;0,"No","Yes"))</f>
        <v/>
      </c>
      <c r="F261" s="2" t="str">
        <f t="shared" si="1"/>
        <v/>
      </c>
    </row>
    <row r="262" ht="15.75" customHeight="1">
      <c r="B262" s="2" t="str">
        <f>IF(A262="","",VLOOKUP(A262,ROSTER!$A$2:$F$500,3,FALSE))</f>
        <v/>
      </c>
      <c r="C262" s="2" t="str">
        <f>IF(A262="","",COUNTIF(CARD_LOG!$C:$C,A262))</f>
        <v/>
      </c>
      <c r="D262" s="4" t="str">
        <f>IF(A262="","",IFERROR(AVERAGEIF(CARD_LOG!$C:$C,A262,CARD_LOG!$M:$M),""))</f>
        <v/>
      </c>
      <c r="E262" s="2" t="str">
        <f>IF(A262="","",IF(COUNTIFS(CARD_LOG!$C:$C,A262,CARD_LOG!$L:$L,"Yes",CARD_LOG!$K:$K,"&lt;14")&gt;0,"No","Yes"))</f>
        <v/>
      </c>
      <c r="F262" s="2" t="str">
        <f t="shared" si="1"/>
        <v/>
      </c>
    </row>
    <row r="263" ht="15.75" customHeight="1">
      <c r="B263" s="2" t="str">
        <f>IF(A263="","",VLOOKUP(A263,ROSTER!$A$2:$F$500,3,FALSE))</f>
        <v/>
      </c>
      <c r="C263" s="2" t="str">
        <f>IF(A263="","",COUNTIF(CARD_LOG!$C:$C,A263))</f>
        <v/>
      </c>
      <c r="D263" s="4" t="str">
        <f>IF(A263="","",IFERROR(AVERAGEIF(CARD_LOG!$C:$C,A263,CARD_LOG!$M:$M),""))</f>
        <v/>
      </c>
      <c r="E263" s="2" t="str">
        <f>IF(A263="","",IF(COUNTIFS(CARD_LOG!$C:$C,A263,CARD_LOG!$L:$L,"Yes",CARD_LOG!$K:$K,"&lt;14")&gt;0,"No","Yes"))</f>
        <v/>
      </c>
      <c r="F263" s="2" t="str">
        <f t="shared" si="1"/>
        <v/>
      </c>
    </row>
    <row r="264" ht="15.75" customHeight="1">
      <c r="B264" s="2" t="str">
        <f>IF(A264="","",VLOOKUP(A264,ROSTER!$A$2:$F$500,3,FALSE))</f>
        <v/>
      </c>
      <c r="C264" s="2" t="str">
        <f>IF(A264="","",COUNTIF(CARD_LOG!$C:$C,A264))</f>
        <v/>
      </c>
      <c r="D264" s="4" t="str">
        <f>IF(A264="","",IFERROR(AVERAGEIF(CARD_LOG!$C:$C,A264,CARD_LOG!$M:$M),""))</f>
        <v/>
      </c>
      <c r="E264" s="2" t="str">
        <f>IF(A264="","",IF(COUNTIFS(CARD_LOG!$C:$C,A264,CARD_LOG!$L:$L,"Yes",CARD_LOG!$K:$K,"&lt;14")&gt;0,"No","Yes"))</f>
        <v/>
      </c>
      <c r="F264" s="2" t="str">
        <f t="shared" si="1"/>
        <v/>
      </c>
    </row>
    <row r="265" ht="15.75" customHeight="1">
      <c r="B265" s="2" t="str">
        <f>IF(A265="","",VLOOKUP(A265,ROSTER!$A$2:$F$500,3,FALSE))</f>
        <v/>
      </c>
      <c r="C265" s="2" t="str">
        <f>IF(A265="","",COUNTIF(CARD_LOG!$C:$C,A265))</f>
        <v/>
      </c>
      <c r="D265" s="4" t="str">
        <f>IF(A265="","",IFERROR(AVERAGEIF(CARD_LOG!$C:$C,A265,CARD_LOG!$M:$M),""))</f>
        <v/>
      </c>
      <c r="E265" s="2" t="str">
        <f>IF(A265="","",IF(COUNTIFS(CARD_LOG!$C:$C,A265,CARD_LOG!$L:$L,"Yes",CARD_LOG!$K:$K,"&lt;14")&gt;0,"No","Yes"))</f>
        <v/>
      </c>
      <c r="F265" s="2" t="str">
        <f t="shared" si="1"/>
        <v/>
      </c>
    </row>
    <row r="266" ht="15.75" customHeight="1">
      <c r="B266" s="2" t="str">
        <f>IF(A266="","",VLOOKUP(A266,ROSTER!$A$2:$F$500,3,FALSE))</f>
        <v/>
      </c>
      <c r="C266" s="2" t="str">
        <f>IF(A266="","",COUNTIF(CARD_LOG!$C:$C,A266))</f>
        <v/>
      </c>
      <c r="D266" s="4" t="str">
        <f>IF(A266="","",IFERROR(AVERAGEIF(CARD_LOG!$C:$C,A266,CARD_LOG!$M:$M),""))</f>
        <v/>
      </c>
      <c r="E266" s="2" t="str">
        <f>IF(A266="","",IF(COUNTIFS(CARD_LOG!$C:$C,A266,CARD_LOG!$L:$L,"Yes",CARD_LOG!$K:$K,"&lt;14")&gt;0,"No","Yes"))</f>
        <v/>
      </c>
      <c r="F266" s="2" t="str">
        <f t="shared" si="1"/>
        <v/>
      </c>
    </row>
    <row r="267" ht="15.75" customHeight="1">
      <c r="B267" s="2" t="str">
        <f>IF(A267="","",VLOOKUP(A267,ROSTER!$A$2:$F$500,3,FALSE))</f>
        <v/>
      </c>
      <c r="C267" s="2" t="str">
        <f>IF(A267="","",COUNTIF(CARD_LOG!$C:$C,A267))</f>
        <v/>
      </c>
      <c r="D267" s="4" t="str">
        <f>IF(A267="","",IFERROR(AVERAGEIF(CARD_LOG!$C:$C,A267,CARD_LOG!$M:$M),""))</f>
        <v/>
      </c>
      <c r="E267" s="2" t="str">
        <f>IF(A267="","",IF(COUNTIFS(CARD_LOG!$C:$C,A267,CARD_LOG!$L:$L,"Yes",CARD_LOG!$K:$K,"&lt;14")&gt;0,"No","Yes"))</f>
        <v/>
      </c>
      <c r="F267" s="2" t="str">
        <f t="shared" si="1"/>
        <v/>
      </c>
    </row>
    <row r="268" ht="15.75" customHeight="1">
      <c r="B268" s="2" t="str">
        <f>IF(A268="","",VLOOKUP(A268,ROSTER!$A$2:$F$500,3,FALSE))</f>
        <v/>
      </c>
      <c r="C268" s="2" t="str">
        <f>IF(A268="","",COUNTIF(CARD_LOG!$C:$C,A268))</f>
        <v/>
      </c>
      <c r="D268" s="4" t="str">
        <f>IF(A268="","",IFERROR(AVERAGEIF(CARD_LOG!$C:$C,A268,CARD_LOG!$M:$M),""))</f>
        <v/>
      </c>
      <c r="E268" s="2" t="str">
        <f>IF(A268="","",IF(COUNTIFS(CARD_LOG!$C:$C,A268,CARD_LOG!$L:$L,"Yes",CARD_LOG!$K:$K,"&lt;14")&gt;0,"No","Yes"))</f>
        <v/>
      </c>
      <c r="F268" s="2" t="str">
        <f t="shared" si="1"/>
        <v/>
      </c>
    </row>
    <row r="269" ht="15.75" customHeight="1">
      <c r="B269" s="2" t="str">
        <f>IF(A269="","",VLOOKUP(A269,ROSTER!$A$2:$F$500,3,FALSE))</f>
        <v/>
      </c>
      <c r="C269" s="2" t="str">
        <f>IF(A269="","",COUNTIF(CARD_LOG!$C:$C,A269))</f>
        <v/>
      </c>
      <c r="D269" s="4" t="str">
        <f>IF(A269="","",IFERROR(AVERAGEIF(CARD_LOG!$C:$C,A269,CARD_LOG!$M:$M),""))</f>
        <v/>
      </c>
      <c r="E269" s="2" t="str">
        <f>IF(A269="","",IF(COUNTIFS(CARD_LOG!$C:$C,A269,CARD_LOG!$L:$L,"Yes",CARD_LOG!$K:$K,"&lt;14")&gt;0,"No","Yes"))</f>
        <v/>
      </c>
      <c r="F269" s="2" t="str">
        <f t="shared" si="1"/>
        <v/>
      </c>
    </row>
    <row r="270" ht="15.75" customHeight="1">
      <c r="B270" s="2" t="str">
        <f>IF(A270="","",VLOOKUP(A270,ROSTER!$A$2:$F$500,3,FALSE))</f>
        <v/>
      </c>
      <c r="C270" s="2" t="str">
        <f>IF(A270="","",COUNTIF(CARD_LOG!$C:$C,A270))</f>
        <v/>
      </c>
      <c r="D270" s="4" t="str">
        <f>IF(A270="","",IFERROR(AVERAGEIF(CARD_LOG!$C:$C,A270,CARD_LOG!$M:$M),""))</f>
        <v/>
      </c>
      <c r="E270" s="2" t="str">
        <f>IF(A270="","",IF(COUNTIFS(CARD_LOG!$C:$C,A270,CARD_LOG!$L:$L,"Yes",CARD_LOG!$K:$K,"&lt;14")&gt;0,"No","Yes"))</f>
        <v/>
      </c>
      <c r="F270" s="2" t="str">
        <f t="shared" si="1"/>
        <v/>
      </c>
    </row>
    <row r="271" ht="15.75" customHeight="1">
      <c r="B271" s="2" t="str">
        <f>IF(A271="","",VLOOKUP(A271,ROSTER!$A$2:$F$500,3,FALSE))</f>
        <v/>
      </c>
      <c r="C271" s="2" t="str">
        <f>IF(A271="","",COUNTIF(CARD_LOG!$C:$C,A271))</f>
        <v/>
      </c>
      <c r="D271" s="4" t="str">
        <f>IF(A271="","",IFERROR(AVERAGEIF(CARD_LOG!$C:$C,A271,CARD_LOG!$M:$M),""))</f>
        <v/>
      </c>
      <c r="E271" s="2" t="str">
        <f>IF(A271="","",IF(COUNTIFS(CARD_LOG!$C:$C,A271,CARD_LOG!$L:$L,"Yes",CARD_LOG!$K:$K,"&lt;14")&gt;0,"No","Yes"))</f>
        <v/>
      </c>
      <c r="F271" s="2" t="str">
        <f t="shared" si="1"/>
        <v/>
      </c>
    </row>
    <row r="272" ht="15.75" customHeight="1">
      <c r="B272" s="2" t="str">
        <f>IF(A272="","",VLOOKUP(A272,ROSTER!$A$2:$F$500,3,FALSE))</f>
        <v/>
      </c>
      <c r="C272" s="2" t="str">
        <f>IF(A272="","",COUNTIF(CARD_LOG!$C:$C,A272))</f>
        <v/>
      </c>
      <c r="D272" s="4" t="str">
        <f>IF(A272="","",IFERROR(AVERAGEIF(CARD_LOG!$C:$C,A272,CARD_LOG!$M:$M),""))</f>
        <v/>
      </c>
      <c r="E272" s="2" t="str">
        <f>IF(A272="","",IF(COUNTIFS(CARD_LOG!$C:$C,A272,CARD_LOG!$L:$L,"Yes",CARD_LOG!$K:$K,"&lt;14")&gt;0,"No","Yes"))</f>
        <v/>
      </c>
      <c r="F272" s="2" t="str">
        <f t="shared" si="1"/>
        <v/>
      </c>
    </row>
    <row r="273" ht="15.75" customHeight="1">
      <c r="B273" s="2" t="str">
        <f>IF(A273="","",VLOOKUP(A273,ROSTER!$A$2:$F$500,3,FALSE))</f>
        <v/>
      </c>
      <c r="C273" s="2" t="str">
        <f>IF(A273="","",COUNTIF(CARD_LOG!$C:$C,A273))</f>
        <v/>
      </c>
      <c r="D273" s="4" t="str">
        <f>IF(A273="","",IFERROR(AVERAGEIF(CARD_LOG!$C:$C,A273,CARD_LOG!$M:$M),""))</f>
        <v/>
      </c>
      <c r="E273" s="2" t="str">
        <f>IF(A273="","",IF(COUNTIFS(CARD_LOG!$C:$C,A273,CARD_LOG!$L:$L,"Yes",CARD_LOG!$K:$K,"&lt;14")&gt;0,"No","Yes"))</f>
        <v/>
      </c>
      <c r="F273" s="2" t="str">
        <f t="shared" si="1"/>
        <v/>
      </c>
    </row>
    <row r="274" ht="15.75" customHeight="1">
      <c r="B274" s="2" t="str">
        <f>IF(A274="","",VLOOKUP(A274,ROSTER!$A$2:$F$500,3,FALSE))</f>
        <v/>
      </c>
      <c r="C274" s="2" t="str">
        <f>IF(A274="","",COUNTIF(CARD_LOG!$C:$C,A274))</f>
        <v/>
      </c>
      <c r="D274" s="4" t="str">
        <f>IF(A274="","",IFERROR(AVERAGEIF(CARD_LOG!$C:$C,A274,CARD_LOG!$M:$M),""))</f>
        <v/>
      </c>
      <c r="E274" s="2" t="str">
        <f>IF(A274="","",IF(COUNTIFS(CARD_LOG!$C:$C,A274,CARD_LOG!$L:$L,"Yes",CARD_LOG!$K:$K,"&lt;14")&gt;0,"No","Yes"))</f>
        <v/>
      </c>
      <c r="F274" s="2" t="str">
        <f t="shared" si="1"/>
        <v/>
      </c>
    </row>
    <row r="275" ht="15.75" customHeight="1">
      <c r="B275" s="2" t="str">
        <f>IF(A275="","",VLOOKUP(A275,ROSTER!$A$2:$F$500,3,FALSE))</f>
        <v/>
      </c>
      <c r="C275" s="2" t="str">
        <f>IF(A275="","",COUNTIF(CARD_LOG!$C:$C,A275))</f>
        <v/>
      </c>
      <c r="D275" s="4" t="str">
        <f>IF(A275="","",IFERROR(AVERAGEIF(CARD_LOG!$C:$C,A275,CARD_LOG!$M:$M),""))</f>
        <v/>
      </c>
      <c r="E275" s="2" t="str">
        <f>IF(A275="","",IF(COUNTIFS(CARD_LOG!$C:$C,A275,CARD_LOG!$L:$L,"Yes",CARD_LOG!$K:$K,"&lt;14")&gt;0,"No","Yes"))</f>
        <v/>
      </c>
      <c r="F275" s="2" t="str">
        <f t="shared" si="1"/>
        <v/>
      </c>
    </row>
    <row r="276" ht="15.75" customHeight="1">
      <c r="B276" s="2" t="str">
        <f>IF(A276="","",VLOOKUP(A276,ROSTER!$A$2:$F$500,3,FALSE))</f>
        <v/>
      </c>
      <c r="C276" s="2" t="str">
        <f>IF(A276="","",COUNTIF(CARD_LOG!$C:$C,A276))</f>
        <v/>
      </c>
      <c r="D276" s="4" t="str">
        <f>IF(A276="","",IFERROR(AVERAGEIF(CARD_LOG!$C:$C,A276,CARD_LOG!$M:$M),""))</f>
        <v/>
      </c>
      <c r="E276" s="2" t="str">
        <f>IF(A276="","",IF(COUNTIFS(CARD_LOG!$C:$C,A276,CARD_LOG!$L:$L,"Yes",CARD_LOG!$K:$K,"&lt;14")&gt;0,"No","Yes"))</f>
        <v/>
      </c>
      <c r="F276" s="2" t="str">
        <f t="shared" si="1"/>
        <v/>
      </c>
    </row>
    <row r="277" ht="15.75" customHeight="1">
      <c r="B277" s="2" t="str">
        <f>IF(A277="","",VLOOKUP(A277,ROSTER!$A$2:$F$500,3,FALSE))</f>
        <v/>
      </c>
      <c r="C277" s="2" t="str">
        <f>IF(A277="","",COUNTIF(CARD_LOG!$C:$C,A277))</f>
        <v/>
      </c>
      <c r="D277" s="4" t="str">
        <f>IF(A277="","",IFERROR(AVERAGEIF(CARD_LOG!$C:$C,A277,CARD_LOG!$M:$M),""))</f>
        <v/>
      </c>
      <c r="E277" s="2" t="str">
        <f>IF(A277="","",IF(COUNTIFS(CARD_LOG!$C:$C,A277,CARD_LOG!$L:$L,"Yes",CARD_LOG!$K:$K,"&lt;14")&gt;0,"No","Yes"))</f>
        <v/>
      </c>
      <c r="F277" s="2" t="str">
        <f t="shared" si="1"/>
        <v/>
      </c>
    </row>
    <row r="278" ht="15.75" customHeight="1">
      <c r="B278" s="2" t="str">
        <f>IF(A278="","",VLOOKUP(A278,ROSTER!$A$2:$F$500,3,FALSE))</f>
        <v/>
      </c>
      <c r="C278" s="2" t="str">
        <f>IF(A278="","",COUNTIF(CARD_LOG!$C:$C,A278))</f>
        <v/>
      </c>
      <c r="D278" s="4" t="str">
        <f>IF(A278="","",IFERROR(AVERAGEIF(CARD_LOG!$C:$C,A278,CARD_LOG!$M:$M),""))</f>
        <v/>
      </c>
      <c r="E278" s="2" t="str">
        <f>IF(A278="","",IF(COUNTIFS(CARD_LOG!$C:$C,A278,CARD_LOG!$L:$L,"Yes",CARD_LOG!$K:$K,"&lt;14")&gt;0,"No","Yes"))</f>
        <v/>
      </c>
      <c r="F278" s="2" t="str">
        <f t="shared" si="1"/>
        <v/>
      </c>
    </row>
    <row r="279" ht="15.75" customHeight="1">
      <c r="B279" s="2" t="str">
        <f>IF(A279="","",VLOOKUP(A279,ROSTER!$A$2:$F$500,3,FALSE))</f>
        <v/>
      </c>
      <c r="C279" s="2" t="str">
        <f>IF(A279="","",COUNTIF(CARD_LOG!$C:$C,A279))</f>
        <v/>
      </c>
      <c r="D279" s="4" t="str">
        <f>IF(A279="","",IFERROR(AVERAGEIF(CARD_LOG!$C:$C,A279,CARD_LOG!$M:$M),""))</f>
        <v/>
      </c>
      <c r="E279" s="2" t="str">
        <f>IF(A279="","",IF(COUNTIFS(CARD_LOG!$C:$C,A279,CARD_LOG!$L:$L,"Yes",CARD_LOG!$K:$K,"&lt;14")&gt;0,"No","Yes"))</f>
        <v/>
      </c>
      <c r="F279" s="2" t="str">
        <f t="shared" si="1"/>
        <v/>
      </c>
    </row>
    <row r="280" ht="15.75" customHeight="1">
      <c r="B280" s="2" t="str">
        <f>IF(A280="","",VLOOKUP(A280,ROSTER!$A$2:$F$500,3,FALSE))</f>
        <v/>
      </c>
      <c r="C280" s="2" t="str">
        <f>IF(A280="","",COUNTIF(CARD_LOG!$C:$C,A280))</f>
        <v/>
      </c>
      <c r="D280" s="4" t="str">
        <f>IF(A280="","",IFERROR(AVERAGEIF(CARD_LOG!$C:$C,A280,CARD_LOG!$M:$M),""))</f>
        <v/>
      </c>
      <c r="E280" s="2" t="str">
        <f>IF(A280="","",IF(COUNTIFS(CARD_LOG!$C:$C,A280,CARD_LOG!$L:$L,"Yes",CARD_LOG!$K:$K,"&lt;14")&gt;0,"No","Yes"))</f>
        <v/>
      </c>
      <c r="F280" s="2" t="str">
        <f t="shared" si="1"/>
        <v/>
      </c>
    </row>
    <row r="281" ht="15.75" customHeight="1">
      <c r="B281" s="2" t="str">
        <f>IF(A281="","",VLOOKUP(A281,ROSTER!$A$2:$F$500,3,FALSE))</f>
        <v/>
      </c>
      <c r="C281" s="2" t="str">
        <f>IF(A281="","",COUNTIF(CARD_LOG!$C:$C,A281))</f>
        <v/>
      </c>
      <c r="D281" s="4" t="str">
        <f>IF(A281="","",IFERROR(AVERAGEIF(CARD_LOG!$C:$C,A281,CARD_LOG!$M:$M),""))</f>
        <v/>
      </c>
      <c r="E281" s="2" t="str">
        <f>IF(A281="","",IF(COUNTIFS(CARD_LOG!$C:$C,A281,CARD_LOG!$L:$L,"Yes",CARD_LOG!$K:$K,"&lt;14")&gt;0,"No","Yes"))</f>
        <v/>
      </c>
      <c r="F281" s="2" t="str">
        <f t="shared" si="1"/>
        <v/>
      </c>
    </row>
    <row r="282" ht="15.75" customHeight="1">
      <c r="B282" s="2" t="str">
        <f>IF(A282="","",VLOOKUP(A282,ROSTER!$A$2:$F$500,3,FALSE))</f>
        <v/>
      </c>
      <c r="C282" s="2" t="str">
        <f>IF(A282="","",COUNTIF(CARD_LOG!$C:$C,A282))</f>
        <v/>
      </c>
      <c r="D282" s="4" t="str">
        <f>IF(A282="","",IFERROR(AVERAGEIF(CARD_LOG!$C:$C,A282,CARD_LOG!$M:$M),""))</f>
        <v/>
      </c>
      <c r="E282" s="2" t="str">
        <f>IF(A282="","",IF(COUNTIFS(CARD_LOG!$C:$C,A282,CARD_LOG!$L:$L,"Yes",CARD_LOG!$K:$K,"&lt;14")&gt;0,"No","Yes"))</f>
        <v/>
      </c>
      <c r="F282" s="2" t="str">
        <f t="shared" si="1"/>
        <v/>
      </c>
    </row>
    <row r="283" ht="15.75" customHeight="1">
      <c r="B283" s="2" t="str">
        <f>IF(A283="","",VLOOKUP(A283,ROSTER!$A$2:$F$500,3,FALSE))</f>
        <v/>
      </c>
      <c r="C283" s="2" t="str">
        <f>IF(A283="","",COUNTIF(CARD_LOG!$C:$C,A283))</f>
        <v/>
      </c>
      <c r="D283" s="4" t="str">
        <f>IF(A283="","",IFERROR(AVERAGEIF(CARD_LOG!$C:$C,A283,CARD_LOG!$M:$M),""))</f>
        <v/>
      </c>
      <c r="E283" s="2" t="str">
        <f>IF(A283="","",IF(COUNTIFS(CARD_LOG!$C:$C,A283,CARD_LOG!$L:$L,"Yes",CARD_LOG!$K:$K,"&lt;14")&gt;0,"No","Yes"))</f>
        <v/>
      </c>
      <c r="F283" s="2" t="str">
        <f t="shared" si="1"/>
        <v/>
      </c>
    </row>
    <row r="284" ht="15.75" customHeight="1">
      <c r="B284" s="2" t="str">
        <f>IF(A284="","",VLOOKUP(A284,ROSTER!$A$2:$F$500,3,FALSE))</f>
        <v/>
      </c>
      <c r="C284" s="2" t="str">
        <f>IF(A284="","",COUNTIF(CARD_LOG!$C:$C,A284))</f>
        <v/>
      </c>
      <c r="D284" s="4" t="str">
        <f>IF(A284="","",IFERROR(AVERAGEIF(CARD_LOG!$C:$C,A284,CARD_LOG!$M:$M),""))</f>
        <v/>
      </c>
      <c r="E284" s="2" t="str">
        <f>IF(A284="","",IF(COUNTIFS(CARD_LOG!$C:$C,A284,CARD_LOG!$L:$L,"Yes",CARD_LOG!$K:$K,"&lt;14")&gt;0,"No","Yes"))</f>
        <v/>
      </c>
      <c r="F284" s="2" t="str">
        <f t="shared" si="1"/>
        <v/>
      </c>
    </row>
    <row r="285" ht="15.75" customHeight="1">
      <c r="B285" s="2" t="str">
        <f>IF(A285="","",VLOOKUP(A285,ROSTER!$A$2:$F$500,3,FALSE))</f>
        <v/>
      </c>
      <c r="C285" s="2" t="str">
        <f>IF(A285="","",COUNTIF(CARD_LOG!$C:$C,A285))</f>
        <v/>
      </c>
      <c r="D285" s="4" t="str">
        <f>IF(A285="","",IFERROR(AVERAGEIF(CARD_LOG!$C:$C,A285,CARD_LOG!$M:$M),""))</f>
        <v/>
      </c>
      <c r="E285" s="2" t="str">
        <f>IF(A285="","",IF(COUNTIFS(CARD_LOG!$C:$C,A285,CARD_LOG!$L:$L,"Yes",CARD_LOG!$K:$K,"&lt;14")&gt;0,"No","Yes"))</f>
        <v/>
      </c>
      <c r="F285" s="2" t="str">
        <f t="shared" si="1"/>
        <v/>
      </c>
    </row>
    <row r="286" ht="15.75" customHeight="1">
      <c r="B286" s="2" t="str">
        <f>IF(A286="","",VLOOKUP(A286,ROSTER!$A$2:$F$500,3,FALSE))</f>
        <v/>
      </c>
      <c r="C286" s="2" t="str">
        <f>IF(A286="","",COUNTIF(CARD_LOG!$C:$C,A286))</f>
        <v/>
      </c>
      <c r="D286" s="4" t="str">
        <f>IF(A286="","",IFERROR(AVERAGEIF(CARD_LOG!$C:$C,A286,CARD_LOG!$M:$M),""))</f>
        <v/>
      </c>
      <c r="E286" s="2" t="str">
        <f>IF(A286="","",IF(COUNTIFS(CARD_LOG!$C:$C,A286,CARD_LOG!$L:$L,"Yes",CARD_LOG!$K:$K,"&lt;14")&gt;0,"No","Yes"))</f>
        <v/>
      </c>
      <c r="F286" s="2" t="str">
        <f t="shared" si="1"/>
        <v/>
      </c>
    </row>
    <row r="287" ht="15.75" customHeight="1">
      <c r="B287" s="2" t="str">
        <f>IF(A287="","",VLOOKUP(A287,ROSTER!$A$2:$F$500,3,FALSE))</f>
        <v/>
      </c>
      <c r="C287" s="2" t="str">
        <f>IF(A287="","",COUNTIF(CARD_LOG!$C:$C,A287))</f>
        <v/>
      </c>
      <c r="D287" s="4" t="str">
        <f>IF(A287="","",IFERROR(AVERAGEIF(CARD_LOG!$C:$C,A287,CARD_LOG!$M:$M),""))</f>
        <v/>
      </c>
      <c r="E287" s="2" t="str">
        <f>IF(A287="","",IF(COUNTIFS(CARD_LOG!$C:$C,A287,CARD_LOG!$L:$L,"Yes",CARD_LOG!$K:$K,"&lt;14")&gt;0,"No","Yes"))</f>
        <v/>
      </c>
      <c r="F287" s="2" t="str">
        <f t="shared" si="1"/>
        <v/>
      </c>
    </row>
    <row r="288" ht="15.75" customHeight="1">
      <c r="B288" s="2" t="str">
        <f>IF(A288="","",VLOOKUP(A288,ROSTER!$A$2:$F$500,3,FALSE))</f>
        <v/>
      </c>
      <c r="C288" s="2" t="str">
        <f>IF(A288="","",COUNTIF(CARD_LOG!$C:$C,A288))</f>
        <v/>
      </c>
      <c r="D288" s="4" t="str">
        <f>IF(A288="","",IFERROR(AVERAGEIF(CARD_LOG!$C:$C,A288,CARD_LOG!$M:$M),""))</f>
        <v/>
      </c>
      <c r="E288" s="2" t="str">
        <f>IF(A288="","",IF(COUNTIFS(CARD_LOG!$C:$C,A288,CARD_LOG!$L:$L,"Yes",CARD_LOG!$K:$K,"&lt;14")&gt;0,"No","Yes"))</f>
        <v/>
      </c>
      <c r="F288" s="2" t="str">
        <f t="shared" si="1"/>
        <v/>
      </c>
    </row>
    <row r="289" ht="15.75" customHeight="1">
      <c r="B289" s="2" t="str">
        <f>IF(A289="","",VLOOKUP(A289,ROSTER!$A$2:$F$500,3,FALSE))</f>
        <v/>
      </c>
      <c r="C289" s="2" t="str">
        <f>IF(A289="","",COUNTIF(CARD_LOG!$C:$C,A289))</f>
        <v/>
      </c>
      <c r="D289" s="4" t="str">
        <f>IF(A289="","",IFERROR(AVERAGEIF(CARD_LOG!$C:$C,A289,CARD_LOG!$M:$M),""))</f>
        <v/>
      </c>
      <c r="E289" s="2" t="str">
        <f>IF(A289="","",IF(COUNTIFS(CARD_LOG!$C:$C,A289,CARD_LOG!$L:$L,"Yes",CARD_LOG!$K:$K,"&lt;14")&gt;0,"No","Yes"))</f>
        <v/>
      </c>
      <c r="F289" s="2" t="str">
        <f t="shared" si="1"/>
        <v/>
      </c>
    </row>
    <row r="290" ht="15.75" customHeight="1">
      <c r="B290" s="2" t="str">
        <f>IF(A290="","",VLOOKUP(A290,ROSTER!$A$2:$F$500,3,FALSE))</f>
        <v/>
      </c>
      <c r="C290" s="2" t="str">
        <f>IF(A290="","",COUNTIF(CARD_LOG!$C:$C,A290))</f>
        <v/>
      </c>
      <c r="D290" s="4" t="str">
        <f>IF(A290="","",IFERROR(AVERAGEIF(CARD_LOG!$C:$C,A290,CARD_LOG!$M:$M),""))</f>
        <v/>
      </c>
      <c r="E290" s="2" t="str">
        <f>IF(A290="","",IF(COUNTIFS(CARD_LOG!$C:$C,A290,CARD_LOG!$L:$L,"Yes",CARD_LOG!$K:$K,"&lt;14")&gt;0,"No","Yes"))</f>
        <v/>
      </c>
      <c r="F290" s="2" t="str">
        <f t="shared" si="1"/>
        <v/>
      </c>
    </row>
    <row r="291" ht="15.75" customHeight="1">
      <c r="B291" s="2" t="str">
        <f>IF(A291="","",VLOOKUP(A291,ROSTER!$A$2:$F$500,3,FALSE))</f>
        <v/>
      </c>
      <c r="C291" s="2" t="str">
        <f>IF(A291="","",COUNTIF(CARD_LOG!$C:$C,A291))</f>
        <v/>
      </c>
      <c r="D291" s="4" t="str">
        <f>IF(A291="","",IFERROR(AVERAGEIF(CARD_LOG!$C:$C,A291,CARD_LOG!$M:$M),""))</f>
        <v/>
      </c>
      <c r="E291" s="2" t="str">
        <f>IF(A291="","",IF(COUNTIFS(CARD_LOG!$C:$C,A291,CARD_LOG!$L:$L,"Yes",CARD_LOG!$K:$K,"&lt;14")&gt;0,"No","Yes"))</f>
        <v/>
      </c>
      <c r="F291" s="2" t="str">
        <f t="shared" si="1"/>
        <v/>
      </c>
    </row>
    <row r="292" ht="15.75" customHeight="1">
      <c r="B292" s="2" t="str">
        <f>IF(A292="","",VLOOKUP(A292,ROSTER!$A$2:$F$500,3,FALSE))</f>
        <v/>
      </c>
      <c r="C292" s="2" t="str">
        <f>IF(A292="","",COUNTIF(CARD_LOG!$C:$C,A292))</f>
        <v/>
      </c>
      <c r="D292" s="4" t="str">
        <f>IF(A292="","",IFERROR(AVERAGEIF(CARD_LOG!$C:$C,A292,CARD_LOG!$M:$M),""))</f>
        <v/>
      </c>
      <c r="E292" s="2" t="str">
        <f>IF(A292="","",IF(COUNTIFS(CARD_LOG!$C:$C,A292,CARD_LOG!$L:$L,"Yes",CARD_LOG!$K:$K,"&lt;14")&gt;0,"No","Yes"))</f>
        <v/>
      </c>
      <c r="F292" s="2" t="str">
        <f t="shared" si="1"/>
        <v/>
      </c>
    </row>
    <row r="293" ht="15.75" customHeight="1">
      <c r="B293" s="2" t="str">
        <f>IF(A293="","",VLOOKUP(A293,ROSTER!$A$2:$F$500,3,FALSE))</f>
        <v/>
      </c>
      <c r="C293" s="2" t="str">
        <f>IF(A293="","",COUNTIF(CARD_LOG!$C:$C,A293))</f>
        <v/>
      </c>
      <c r="D293" s="4" t="str">
        <f>IF(A293="","",IFERROR(AVERAGEIF(CARD_LOG!$C:$C,A293,CARD_LOG!$M:$M),""))</f>
        <v/>
      </c>
      <c r="E293" s="2" t="str">
        <f>IF(A293="","",IF(COUNTIFS(CARD_LOG!$C:$C,A293,CARD_LOG!$L:$L,"Yes",CARD_LOG!$K:$K,"&lt;14")&gt;0,"No","Yes"))</f>
        <v/>
      </c>
      <c r="F293" s="2" t="str">
        <f t="shared" si="1"/>
        <v/>
      </c>
    </row>
    <row r="294" ht="15.75" customHeight="1">
      <c r="B294" s="2" t="str">
        <f>IF(A294="","",VLOOKUP(A294,ROSTER!$A$2:$F$500,3,FALSE))</f>
        <v/>
      </c>
      <c r="C294" s="2" t="str">
        <f>IF(A294="","",COUNTIF(CARD_LOG!$C:$C,A294))</f>
        <v/>
      </c>
      <c r="D294" s="4" t="str">
        <f>IF(A294="","",IFERROR(AVERAGEIF(CARD_LOG!$C:$C,A294,CARD_LOG!$M:$M),""))</f>
        <v/>
      </c>
      <c r="E294" s="2" t="str">
        <f>IF(A294="","",IF(COUNTIFS(CARD_LOG!$C:$C,A294,CARD_LOG!$L:$L,"Yes",CARD_LOG!$K:$K,"&lt;14")&gt;0,"No","Yes"))</f>
        <v/>
      </c>
      <c r="F294" s="2" t="str">
        <f t="shared" si="1"/>
        <v/>
      </c>
    </row>
    <row r="295" ht="15.75" customHeight="1">
      <c r="B295" s="2" t="str">
        <f>IF(A295="","",VLOOKUP(A295,ROSTER!$A$2:$F$500,3,FALSE))</f>
        <v/>
      </c>
      <c r="C295" s="2" t="str">
        <f>IF(A295="","",COUNTIF(CARD_LOG!$C:$C,A295))</f>
        <v/>
      </c>
      <c r="D295" s="4" t="str">
        <f>IF(A295="","",IFERROR(AVERAGEIF(CARD_LOG!$C:$C,A295,CARD_LOG!$M:$M),""))</f>
        <v/>
      </c>
      <c r="E295" s="2" t="str">
        <f>IF(A295="","",IF(COUNTIFS(CARD_LOG!$C:$C,A295,CARD_LOG!$L:$L,"Yes",CARD_LOG!$K:$K,"&lt;14")&gt;0,"No","Yes"))</f>
        <v/>
      </c>
      <c r="F295" s="2" t="str">
        <f t="shared" si="1"/>
        <v/>
      </c>
    </row>
    <row r="296" ht="15.75" customHeight="1">
      <c r="B296" s="2" t="str">
        <f>IF(A296="","",VLOOKUP(A296,ROSTER!$A$2:$F$500,3,FALSE))</f>
        <v/>
      </c>
      <c r="C296" s="2" t="str">
        <f>IF(A296="","",COUNTIF(CARD_LOG!$C:$C,A296))</f>
        <v/>
      </c>
      <c r="D296" s="4" t="str">
        <f>IF(A296="","",IFERROR(AVERAGEIF(CARD_LOG!$C:$C,A296,CARD_LOG!$M:$M),""))</f>
        <v/>
      </c>
      <c r="E296" s="2" t="str">
        <f>IF(A296="","",IF(COUNTIFS(CARD_LOG!$C:$C,A296,CARD_LOG!$L:$L,"Yes",CARD_LOG!$K:$K,"&lt;14")&gt;0,"No","Yes"))</f>
        <v/>
      </c>
      <c r="F296" s="2" t="str">
        <f t="shared" si="1"/>
        <v/>
      </c>
    </row>
    <row r="297" ht="15.75" customHeight="1">
      <c r="B297" s="2" t="str">
        <f>IF(A297="","",VLOOKUP(A297,ROSTER!$A$2:$F$500,3,FALSE))</f>
        <v/>
      </c>
      <c r="C297" s="2" t="str">
        <f>IF(A297="","",COUNTIF(CARD_LOG!$C:$C,A297))</f>
        <v/>
      </c>
      <c r="D297" s="4" t="str">
        <f>IF(A297="","",IFERROR(AVERAGEIF(CARD_LOG!$C:$C,A297,CARD_LOG!$M:$M),""))</f>
        <v/>
      </c>
      <c r="E297" s="2" t="str">
        <f>IF(A297="","",IF(COUNTIFS(CARD_LOG!$C:$C,A297,CARD_LOG!$L:$L,"Yes",CARD_LOG!$K:$K,"&lt;14")&gt;0,"No","Yes"))</f>
        <v/>
      </c>
      <c r="F297" s="2" t="str">
        <f t="shared" si="1"/>
        <v/>
      </c>
    </row>
    <row r="298" ht="15.75" customHeight="1">
      <c r="B298" s="2" t="str">
        <f>IF(A298="","",VLOOKUP(A298,ROSTER!$A$2:$F$500,3,FALSE))</f>
        <v/>
      </c>
      <c r="C298" s="2" t="str">
        <f>IF(A298="","",COUNTIF(CARD_LOG!$C:$C,A298))</f>
        <v/>
      </c>
      <c r="D298" s="4" t="str">
        <f>IF(A298="","",IFERROR(AVERAGEIF(CARD_LOG!$C:$C,A298,CARD_LOG!$M:$M),""))</f>
        <v/>
      </c>
      <c r="E298" s="2" t="str">
        <f>IF(A298="","",IF(COUNTIFS(CARD_LOG!$C:$C,A298,CARD_LOG!$L:$L,"Yes",CARD_LOG!$K:$K,"&lt;14")&gt;0,"No","Yes"))</f>
        <v/>
      </c>
      <c r="F298" s="2" t="str">
        <f t="shared" si="1"/>
        <v/>
      </c>
    </row>
    <row r="299" ht="15.75" customHeight="1">
      <c r="B299" s="2" t="str">
        <f>IF(A299="","",VLOOKUP(A299,ROSTER!$A$2:$F$500,3,FALSE))</f>
        <v/>
      </c>
      <c r="C299" s="2" t="str">
        <f>IF(A299="","",COUNTIF(CARD_LOG!$C:$C,A299))</f>
        <v/>
      </c>
      <c r="D299" s="4" t="str">
        <f>IF(A299="","",IFERROR(AVERAGEIF(CARD_LOG!$C:$C,A299,CARD_LOG!$M:$M),""))</f>
        <v/>
      </c>
      <c r="E299" s="2" t="str">
        <f>IF(A299="","",IF(COUNTIFS(CARD_LOG!$C:$C,A299,CARD_LOG!$L:$L,"Yes",CARD_LOG!$K:$K,"&lt;14")&gt;0,"No","Yes"))</f>
        <v/>
      </c>
      <c r="F299" s="2" t="str">
        <f t="shared" si="1"/>
        <v/>
      </c>
    </row>
    <row r="300" ht="15.75" customHeight="1">
      <c r="B300" s="2" t="str">
        <f>IF(A300="","",VLOOKUP(A300,ROSTER!$A$2:$F$500,3,FALSE))</f>
        <v/>
      </c>
      <c r="C300" s="2" t="str">
        <f>IF(A300="","",COUNTIF(CARD_LOG!$C:$C,A300))</f>
        <v/>
      </c>
      <c r="D300" s="4" t="str">
        <f>IF(A300="","",IFERROR(AVERAGEIF(CARD_LOG!$C:$C,A300,CARD_LOG!$M:$M),""))</f>
        <v/>
      </c>
      <c r="E300" s="2" t="str">
        <f>IF(A300="","",IF(COUNTIFS(CARD_LOG!$C:$C,A300,CARD_LOG!$L:$L,"Yes",CARD_LOG!$K:$K,"&lt;14")&gt;0,"No","Yes"))</f>
        <v/>
      </c>
      <c r="F300" s="2" t="str">
        <f t="shared" si="1"/>
        <v/>
      </c>
    </row>
    <row r="301" ht="15.75" customHeight="1">
      <c r="B301" s="2" t="str">
        <f>IF(A301="","",VLOOKUP(A301,ROSTER!$A$2:$F$500,3,FALSE))</f>
        <v/>
      </c>
      <c r="C301" s="2" t="str">
        <f>IF(A301="","",COUNTIF(CARD_LOG!$C:$C,A301))</f>
        <v/>
      </c>
      <c r="D301" s="4" t="str">
        <f>IF(A301="","",IFERROR(AVERAGEIF(CARD_LOG!$C:$C,A301,CARD_LOG!$M:$M),""))</f>
        <v/>
      </c>
      <c r="E301" s="2" t="str">
        <f>IF(A301="","",IF(COUNTIFS(CARD_LOG!$C:$C,A301,CARD_LOG!$L:$L,"Yes",CARD_LOG!$K:$K,"&lt;14")&gt;0,"No","Yes"))</f>
        <v/>
      </c>
      <c r="F301" s="2" t="str">
        <f t="shared" si="1"/>
        <v/>
      </c>
    </row>
    <row r="302" ht="15.75" customHeight="1">
      <c r="B302" s="2" t="str">
        <f>IF(A302="","",VLOOKUP(A302,ROSTER!$A$2:$F$500,3,FALSE))</f>
        <v/>
      </c>
      <c r="C302" s="2" t="str">
        <f>IF(A302="","",COUNTIF(CARD_LOG!$C:$C,A302))</f>
        <v/>
      </c>
      <c r="D302" s="4" t="str">
        <f>IF(A302="","",IFERROR(AVERAGEIF(CARD_LOG!$C:$C,A302,CARD_LOG!$M:$M),""))</f>
        <v/>
      </c>
      <c r="E302" s="2" t="str">
        <f>IF(A302="","",IF(COUNTIFS(CARD_LOG!$C:$C,A302,CARD_LOG!$L:$L,"Yes",CARD_LOG!$K:$K,"&lt;14")&gt;0,"No","Yes"))</f>
        <v/>
      </c>
      <c r="F302" s="2" t="str">
        <f t="shared" si="1"/>
        <v/>
      </c>
    </row>
    <row r="303" ht="15.75" customHeight="1">
      <c r="B303" s="2" t="str">
        <f>IF(A303="","",VLOOKUP(A303,ROSTER!$A$2:$F$500,3,FALSE))</f>
        <v/>
      </c>
      <c r="C303" s="2" t="str">
        <f>IF(A303="","",COUNTIF(CARD_LOG!$C:$C,A303))</f>
        <v/>
      </c>
      <c r="D303" s="4" t="str">
        <f>IF(A303="","",IFERROR(AVERAGEIF(CARD_LOG!$C:$C,A303,CARD_LOG!$M:$M),""))</f>
        <v/>
      </c>
      <c r="E303" s="2" t="str">
        <f>IF(A303="","",IF(COUNTIFS(CARD_LOG!$C:$C,A303,CARD_LOG!$L:$L,"Yes",CARD_LOG!$K:$K,"&lt;14")&gt;0,"No","Yes"))</f>
        <v/>
      </c>
      <c r="F303" s="2" t="str">
        <f t="shared" si="1"/>
        <v/>
      </c>
    </row>
    <row r="304" ht="15.75" customHeight="1">
      <c r="B304" s="2" t="str">
        <f>IF(A304="","",VLOOKUP(A304,ROSTER!$A$2:$F$500,3,FALSE))</f>
        <v/>
      </c>
      <c r="C304" s="2" t="str">
        <f>IF(A304="","",COUNTIF(CARD_LOG!$C:$C,A304))</f>
        <v/>
      </c>
      <c r="D304" s="4" t="str">
        <f>IF(A304="","",IFERROR(AVERAGEIF(CARD_LOG!$C:$C,A304,CARD_LOG!$M:$M),""))</f>
        <v/>
      </c>
      <c r="E304" s="2" t="str">
        <f>IF(A304="","",IF(COUNTIFS(CARD_LOG!$C:$C,A304,CARD_LOG!$L:$L,"Yes",CARD_LOG!$K:$K,"&lt;14")&gt;0,"No","Yes"))</f>
        <v/>
      </c>
      <c r="F304" s="2" t="str">
        <f t="shared" si="1"/>
        <v/>
      </c>
    </row>
    <row r="305" ht="15.75" customHeight="1">
      <c r="B305" s="2" t="str">
        <f>IF(A305="","",VLOOKUP(A305,ROSTER!$A$2:$F$500,3,FALSE))</f>
        <v/>
      </c>
      <c r="C305" s="2" t="str">
        <f>IF(A305="","",COUNTIF(CARD_LOG!$C:$C,A305))</f>
        <v/>
      </c>
      <c r="D305" s="4" t="str">
        <f>IF(A305="","",IFERROR(AVERAGEIF(CARD_LOG!$C:$C,A305,CARD_LOG!$M:$M),""))</f>
        <v/>
      </c>
      <c r="E305" s="2" t="str">
        <f>IF(A305="","",IF(COUNTIFS(CARD_LOG!$C:$C,A305,CARD_LOG!$L:$L,"Yes",CARD_LOG!$K:$K,"&lt;14")&gt;0,"No","Yes"))</f>
        <v/>
      </c>
      <c r="F305" s="2" t="str">
        <f t="shared" si="1"/>
        <v/>
      </c>
    </row>
    <row r="306" ht="15.75" customHeight="1">
      <c r="B306" s="2" t="str">
        <f>IF(A306="","",VLOOKUP(A306,ROSTER!$A$2:$F$500,3,FALSE))</f>
        <v/>
      </c>
      <c r="C306" s="2" t="str">
        <f>IF(A306="","",COUNTIF(CARD_LOG!$C:$C,A306))</f>
        <v/>
      </c>
      <c r="D306" s="4" t="str">
        <f>IF(A306="","",IFERROR(AVERAGEIF(CARD_LOG!$C:$C,A306,CARD_LOG!$M:$M),""))</f>
        <v/>
      </c>
      <c r="E306" s="2" t="str">
        <f>IF(A306="","",IF(COUNTIFS(CARD_LOG!$C:$C,A306,CARD_LOG!$L:$L,"Yes",CARD_LOG!$K:$K,"&lt;14")&gt;0,"No","Yes"))</f>
        <v/>
      </c>
      <c r="F306" s="2" t="str">
        <f t="shared" si="1"/>
        <v/>
      </c>
    </row>
    <row r="307" ht="15.75" customHeight="1">
      <c r="B307" s="2" t="str">
        <f>IF(A307="","",VLOOKUP(A307,ROSTER!$A$2:$F$500,3,FALSE))</f>
        <v/>
      </c>
      <c r="C307" s="2" t="str">
        <f>IF(A307="","",COUNTIF(CARD_LOG!$C:$C,A307))</f>
        <v/>
      </c>
      <c r="D307" s="4" t="str">
        <f>IF(A307="","",IFERROR(AVERAGEIF(CARD_LOG!$C:$C,A307,CARD_LOG!$M:$M),""))</f>
        <v/>
      </c>
      <c r="E307" s="2" t="str">
        <f>IF(A307="","",IF(COUNTIFS(CARD_LOG!$C:$C,A307,CARD_LOG!$L:$L,"Yes",CARD_LOG!$K:$K,"&lt;14")&gt;0,"No","Yes"))</f>
        <v/>
      </c>
      <c r="F307" s="2" t="str">
        <f t="shared" si="1"/>
        <v/>
      </c>
    </row>
    <row r="308" ht="15.75" customHeight="1">
      <c r="B308" s="2" t="str">
        <f>IF(A308="","",VLOOKUP(A308,ROSTER!$A$2:$F$500,3,FALSE))</f>
        <v/>
      </c>
      <c r="C308" s="2" t="str">
        <f>IF(A308="","",COUNTIF(CARD_LOG!$C:$C,A308))</f>
        <v/>
      </c>
      <c r="D308" s="4" t="str">
        <f>IF(A308="","",IFERROR(AVERAGEIF(CARD_LOG!$C:$C,A308,CARD_LOG!$M:$M),""))</f>
        <v/>
      </c>
      <c r="E308" s="2" t="str">
        <f>IF(A308="","",IF(COUNTIFS(CARD_LOG!$C:$C,A308,CARD_LOG!$L:$L,"Yes",CARD_LOG!$K:$K,"&lt;14")&gt;0,"No","Yes"))</f>
        <v/>
      </c>
      <c r="F308" s="2" t="str">
        <f t="shared" si="1"/>
        <v/>
      </c>
    </row>
    <row r="309" ht="15.75" customHeight="1">
      <c r="B309" s="2" t="str">
        <f>IF(A309="","",VLOOKUP(A309,ROSTER!$A$2:$F$500,3,FALSE))</f>
        <v/>
      </c>
      <c r="C309" s="2" t="str">
        <f>IF(A309="","",COUNTIF(CARD_LOG!$C:$C,A309))</f>
        <v/>
      </c>
      <c r="D309" s="4" t="str">
        <f>IF(A309="","",IFERROR(AVERAGEIF(CARD_LOG!$C:$C,A309,CARD_LOG!$M:$M),""))</f>
        <v/>
      </c>
      <c r="E309" s="2" t="str">
        <f>IF(A309="","",IF(COUNTIFS(CARD_LOG!$C:$C,A309,CARD_LOG!$L:$L,"Yes",CARD_LOG!$K:$K,"&lt;14")&gt;0,"No","Yes"))</f>
        <v/>
      </c>
      <c r="F309" s="2" t="str">
        <f t="shared" si="1"/>
        <v/>
      </c>
    </row>
    <row r="310" ht="15.75" customHeight="1">
      <c r="B310" s="2" t="str">
        <f>IF(A310="","",VLOOKUP(A310,ROSTER!$A$2:$F$500,3,FALSE))</f>
        <v/>
      </c>
      <c r="C310" s="2" t="str">
        <f>IF(A310="","",COUNTIF(CARD_LOG!$C:$C,A310))</f>
        <v/>
      </c>
      <c r="D310" s="4" t="str">
        <f>IF(A310="","",IFERROR(AVERAGEIF(CARD_LOG!$C:$C,A310,CARD_LOG!$M:$M),""))</f>
        <v/>
      </c>
      <c r="E310" s="2" t="str">
        <f>IF(A310="","",IF(COUNTIFS(CARD_LOG!$C:$C,A310,CARD_LOG!$L:$L,"Yes",CARD_LOG!$K:$K,"&lt;14")&gt;0,"No","Yes"))</f>
        <v/>
      </c>
      <c r="F310" s="2" t="str">
        <f t="shared" si="1"/>
        <v/>
      </c>
    </row>
    <row r="311" ht="15.75" customHeight="1">
      <c r="B311" s="2" t="str">
        <f>IF(A311="","",VLOOKUP(A311,ROSTER!$A$2:$F$500,3,FALSE))</f>
        <v/>
      </c>
      <c r="C311" s="2" t="str">
        <f>IF(A311="","",COUNTIF(CARD_LOG!$C:$C,A311))</f>
        <v/>
      </c>
      <c r="D311" s="4" t="str">
        <f>IF(A311="","",IFERROR(AVERAGEIF(CARD_LOG!$C:$C,A311,CARD_LOG!$M:$M),""))</f>
        <v/>
      </c>
      <c r="E311" s="2" t="str">
        <f>IF(A311="","",IF(COUNTIFS(CARD_LOG!$C:$C,A311,CARD_LOG!$L:$L,"Yes",CARD_LOG!$K:$K,"&lt;14")&gt;0,"No","Yes"))</f>
        <v/>
      </c>
      <c r="F311" s="2" t="str">
        <f t="shared" si="1"/>
        <v/>
      </c>
    </row>
    <row r="312" ht="15.75" customHeight="1">
      <c r="B312" s="2" t="str">
        <f>IF(A312="","",VLOOKUP(A312,ROSTER!$A$2:$F$500,3,FALSE))</f>
        <v/>
      </c>
      <c r="C312" s="2" t="str">
        <f>IF(A312="","",COUNTIF(CARD_LOG!$C:$C,A312))</f>
        <v/>
      </c>
      <c r="D312" s="4" t="str">
        <f>IF(A312="","",IFERROR(AVERAGEIF(CARD_LOG!$C:$C,A312,CARD_LOG!$M:$M),""))</f>
        <v/>
      </c>
      <c r="E312" s="2" t="str">
        <f>IF(A312="","",IF(COUNTIFS(CARD_LOG!$C:$C,A312,CARD_LOG!$L:$L,"Yes",CARD_LOG!$K:$K,"&lt;14")&gt;0,"No","Yes"))</f>
        <v/>
      </c>
      <c r="F312" s="2" t="str">
        <f t="shared" si="1"/>
        <v/>
      </c>
    </row>
    <row r="313" ht="15.75" customHeight="1">
      <c r="B313" s="2" t="str">
        <f>IF(A313="","",VLOOKUP(A313,ROSTER!$A$2:$F$500,3,FALSE))</f>
        <v/>
      </c>
      <c r="C313" s="2" t="str">
        <f>IF(A313="","",COUNTIF(CARD_LOG!$C:$C,A313))</f>
        <v/>
      </c>
      <c r="D313" s="4" t="str">
        <f>IF(A313="","",IFERROR(AVERAGEIF(CARD_LOG!$C:$C,A313,CARD_LOG!$M:$M),""))</f>
        <v/>
      </c>
      <c r="E313" s="2" t="str">
        <f>IF(A313="","",IF(COUNTIFS(CARD_LOG!$C:$C,A313,CARD_LOG!$L:$L,"Yes",CARD_LOG!$K:$K,"&lt;14")&gt;0,"No","Yes"))</f>
        <v/>
      </c>
      <c r="F313" s="2" t="str">
        <f t="shared" si="1"/>
        <v/>
      </c>
    </row>
    <row r="314" ht="15.75" customHeight="1">
      <c r="B314" s="2" t="str">
        <f>IF(A314="","",VLOOKUP(A314,ROSTER!$A$2:$F$500,3,FALSE))</f>
        <v/>
      </c>
      <c r="C314" s="2" t="str">
        <f>IF(A314="","",COUNTIF(CARD_LOG!$C:$C,A314))</f>
        <v/>
      </c>
      <c r="D314" s="4" t="str">
        <f>IF(A314="","",IFERROR(AVERAGEIF(CARD_LOG!$C:$C,A314,CARD_LOG!$M:$M),""))</f>
        <v/>
      </c>
      <c r="E314" s="2" t="str">
        <f>IF(A314="","",IF(COUNTIFS(CARD_LOG!$C:$C,A314,CARD_LOG!$L:$L,"Yes",CARD_LOG!$K:$K,"&lt;14")&gt;0,"No","Yes"))</f>
        <v/>
      </c>
      <c r="F314" s="2" t="str">
        <f t="shared" si="1"/>
        <v/>
      </c>
    </row>
    <row r="315" ht="15.75" customHeight="1">
      <c r="B315" s="2" t="str">
        <f>IF(A315="","",VLOOKUP(A315,ROSTER!$A$2:$F$500,3,FALSE))</f>
        <v/>
      </c>
      <c r="C315" s="2" t="str">
        <f>IF(A315="","",COUNTIF(CARD_LOG!$C:$C,A315))</f>
        <v/>
      </c>
      <c r="D315" s="4" t="str">
        <f>IF(A315="","",IFERROR(AVERAGEIF(CARD_LOG!$C:$C,A315,CARD_LOG!$M:$M),""))</f>
        <v/>
      </c>
      <c r="E315" s="2" t="str">
        <f>IF(A315="","",IF(COUNTIFS(CARD_LOG!$C:$C,A315,CARD_LOG!$L:$L,"Yes",CARD_LOG!$K:$K,"&lt;14")&gt;0,"No","Yes"))</f>
        <v/>
      </c>
      <c r="F315" s="2" t="str">
        <f t="shared" si="1"/>
        <v/>
      </c>
    </row>
    <row r="316" ht="15.75" customHeight="1">
      <c r="B316" s="2" t="str">
        <f>IF(A316="","",VLOOKUP(A316,ROSTER!$A$2:$F$500,3,FALSE))</f>
        <v/>
      </c>
      <c r="C316" s="2" t="str">
        <f>IF(A316="","",COUNTIF(CARD_LOG!$C:$C,A316))</f>
        <v/>
      </c>
      <c r="D316" s="4" t="str">
        <f>IF(A316="","",IFERROR(AVERAGEIF(CARD_LOG!$C:$C,A316,CARD_LOG!$M:$M),""))</f>
        <v/>
      </c>
      <c r="E316" s="2" t="str">
        <f>IF(A316="","",IF(COUNTIFS(CARD_LOG!$C:$C,A316,CARD_LOG!$L:$L,"Yes",CARD_LOG!$K:$K,"&lt;14")&gt;0,"No","Yes"))</f>
        <v/>
      </c>
      <c r="F316" s="2" t="str">
        <f t="shared" si="1"/>
        <v/>
      </c>
    </row>
    <row r="317" ht="15.75" customHeight="1">
      <c r="B317" s="2" t="str">
        <f>IF(A317="","",VLOOKUP(A317,ROSTER!$A$2:$F$500,3,FALSE))</f>
        <v/>
      </c>
      <c r="C317" s="2" t="str">
        <f>IF(A317="","",COUNTIF(CARD_LOG!$C:$C,A317))</f>
        <v/>
      </c>
      <c r="D317" s="4" t="str">
        <f>IF(A317="","",IFERROR(AVERAGEIF(CARD_LOG!$C:$C,A317,CARD_LOG!$M:$M),""))</f>
        <v/>
      </c>
      <c r="E317" s="2" t="str">
        <f>IF(A317="","",IF(COUNTIFS(CARD_LOG!$C:$C,A317,CARD_LOG!$L:$L,"Yes",CARD_LOG!$K:$K,"&lt;14")&gt;0,"No","Yes"))</f>
        <v/>
      </c>
      <c r="F317" s="2" t="str">
        <f t="shared" si="1"/>
        <v/>
      </c>
    </row>
    <row r="318" ht="15.75" customHeight="1">
      <c r="B318" s="2" t="str">
        <f>IF(A318="","",VLOOKUP(A318,ROSTER!$A$2:$F$500,3,FALSE))</f>
        <v/>
      </c>
      <c r="C318" s="2" t="str">
        <f>IF(A318="","",COUNTIF(CARD_LOG!$C:$C,A318))</f>
        <v/>
      </c>
      <c r="D318" s="4" t="str">
        <f>IF(A318="","",IFERROR(AVERAGEIF(CARD_LOG!$C:$C,A318,CARD_LOG!$M:$M),""))</f>
        <v/>
      </c>
      <c r="E318" s="2" t="str">
        <f>IF(A318="","",IF(COUNTIFS(CARD_LOG!$C:$C,A318,CARD_LOG!$L:$L,"Yes",CARD_LOG!$K:$K,"&lt;14")&gt;0,"No","Yes"))</f>
        <v/>
      </c>
      <c r="F318" s="2" t="str">
        <f t="shared" si="1"/>
        <v/>
      </c>
    </row>
    <row r="319" ht="15.75" customHeight="1">
      <c r="B319" s="2" t="str">
        <f>IF(A319="","",VLOOKUP(A319,ROSTER!$A$2:$F$500,3,FALSE))</f>
        <v/>
      </c>
      <c r="C319" s="2" t="str">
        <f>IF(A319="","",COUNTIF(CARD_LOG!$C:$C,A319))</f>
        <v/>
      </c>
      <c r="D319" s="4" t="str">
        <f>IF(A319="","",IFERROR(AVERAGEIF(CARD_LOG!$C:$C,A319,CARD_LOG!$M:$M),""))</f>
        <v/>
      </c>
      <c r="E319" s="2" t="str">
        <f>IF(A319="","",IF(COUNTIFS(CARD_LOG!$C:$C,A319,CARD_LOG!$L:$L,"Yes",CARD_LOG!$K:$K,"&lt;14")&gt;0,"No","Yes"))</f>
        <v/>
      </c>
      <c r="F319" s="2" t="str">
        <f t="shared" si="1"/>
        <v/>
      </c>
    </row>
    <row r="320" ht="15.75" customHeight="1">
      <c r="B320" s="2" t="str">
        <f>IF(A320="","",VLOOKUP(A320,ROSTER!$A$2:$F$500,3,FALSE))</f>
        <v/>
      </c>
      <c r="C320" s="2" t="str">
        <f>IF(A320="","",COUNTIF(CARD_LOG!$C:$C,A320))</f>
        <v/>
      </c>
      <c r="D320" s="4" t="str">
        <f>IF(A320="","",IFERROR(AVERAGEIF(CARD_LOG!$C:$C,A320,CARD_LOG!$M:$M),""))</f>
        <v/>
      </c>
      <c r="E320" s="2" t="str">
        <f>IF(A320="","",IF(COUNTIFS(CARD_LOG!$C:$C,A320,CARD_LOG!$L:$L,"Yes",CARD_LOG!$K:$K,"&lt;14")&gt;0,"No","Yes"))</f>
        <v/>
      </c>
      <c r="F320" s="2" t="str">
        <f t="shared" si="1"/>
        <v/>
      </c>
    </row>
    <row r="321" ht="15.75" customHeight="1">
      <c r="B321" s="2" t="str">
        <f>IF(A321="","",VLOOKUP(A321,ROSTER!$A$2:$F$500,3,FALSE))</f>
        <v/>
      </c>
      <c r="C321" s="2" t="str">
        <f>IF(A321="","",COUNTIF(CARD_LOG!$C:$C,A321))</f>
        <v/>
      </c>
      <c r="D321" s="4" t="str">
        <f>IF(A321="","",IFERROR(AVERAGEIF(CARD_LOG!$C:$C,A321,CARD_LOG!$M:$M),""))</f>
        <v/>
      </c>
      <c r="E321" s="2" t="str">
        <f>IF(A321="","",IF(COUNTIFS(CARD_LOG!$C:$C,A321,CARD_LOG!$L:$L,"Yes",CARD_LOG!$K:$K,"&lt;14")&gt;0,"No","Yes"))</f>
        <v/>
      </c>
      <c r="F321" s="2" t="str">
        <f t="shared" si="1"/>
        <v/>
      </c>
    </row>
    <row r="322" ht="15.75" customHeight="1">
      <c r="B322" s="2" t="str">
        <f>IF(A322="","",VLOOKUP(A322,ROSTER!$A$2:$F$500,3,FALSE))</f>
        <v/>
      </c>
      <c r="C322" s="2" t="str">
        <f>IF(A322="","",COUNTIF(CARD_LOG!$C:$C,A322))</f>
        <v/>
      </c>
      <c r="D322" s="4" t="str">
        <f>IF(A322="","",IFERROR(AVERAGEIF(CARD_LOG!$C:$C,A322,CARD_LOG!$M:$M),""))</f>
        <v/>
      </c>
      <c r="E322" s="2" t="str">
        <f>IF(A322="","",IF(COUNTIFS(CARD_LOG!$C:$C,A322,CARD_LOG!$L:$L,"Yes",CARD_LOG!$K:$K,"&lt;14")&gt;0,"No","Yes"))</f>
        <v/>
      </c>
      <c r="F322" s="2" t="str">
        <f t="shared" si="1"/>
        <v/>
      </c>
    </row>
    <row r="323" ht="15.75" customHeight="1">
      <c r="B323" s="2" t="str">
        <f>IF(A323="","",VLOOKUP(A323,ROSTER!$A$2:$F$500,3,FALSE))</f>
        <v/>
      </c>
      <c r="C323" s="2" t="str">
        <f>IF(A323="","",COUNTIF(CARD_LOG!$C:$C,A323))</f>
        <v/>
      </c>
      <c r="D323" s="4" t="str">
        <f>IF(A323="","",IFERROR(AVERAGEIF(CARD_LOG!$C:$C,A323,CARD_LOG!$M:$M),""))</f>
        <v/>
      </c>
      <c r="E323" s="2" t="str">
        <f>IF(A323="","",IF(COUNTIFS(CARD_LOG!$C:$C,A323,CARD_LOG!$L:$L,"Yes",CARD_LOG!$K:$K,"&lt;14")&gt;0,"No","Yes"))</f>
        <v/>
      </c>
      <c r="F323" s="2" t="str">
        <f t="shared" si="1"/>
        <v/>
      </c>
    </row>
    <row r="324" ht="15.75" customHeight="1">
      <c r="B324" s="2" t="str">
        <f>IF(A324="","",VLOOKUP(A324,ROSTER!$A$2:$F$500,3,FALSE))</f>
        <v/>
      </c>
      <c r="C324" s="2" t="str">
        <f>IF(A324="","",COUNTIF(CARD_LOG!$C:$C,A324))</f>
        <v/>
      </c>
      <c r="D324" s="4" t="str">
        <f>IF(A324="","",IFERROR(AVERAGEIF(CARD_LOG!$C:$C,A324,CARD_LOG!$M:$M),""))</f>
        <v/>
      </c>
      <c r="E324" s="2" t="str">
        <f>IF(A324="","",IF(COUNTIFS(CARD_LOG!$C:$C,A324,CARD_LOG!$L:$L,"Yes",CARD_LOG!$K:$K,"&lt;14")&gt;0,"No","Yes"))</f>
        <v/>
      </c>
      <c r="F324" s="2" t="str">
        <f t="shared" si="1"/>
        <v/>
      </c>
    </row>
    <row r="325" ht="15.75" customHeight="1">
      <c r="B325" s="2" t="str">
        <f>IF(A325="","",VLOOKUP(A325,ROSTER!$A$2:$F$500,3,FALSE))</f>
        <v/>
      </c>
      <c r="C325" s="2" t="str">
        <f>IF(A325="","",COUNTIF(CARD_LOG!$C:$C,A325))</f>
        <v/>
      </c>
      <c r="D325" s="4" t="str">
        <f>IF(A325="","",IFERROR(AVERAGEIF(CARD_LOG!$C:$C,A325,CARD_LOG!$M:$M),""))</f>
        <v/>
      </c>
      <c r="E325" s="2" t="str">
        <f>IF(A325="","",IF(COUNTIFS(CARD_LOG!$C:$C,A325,CARD_LOG!$L:$L,"Yes",CARD_LOG!$K:$K,"&lt;14")&gt;0,"No","Yes"))</f>
        <v/>
      </c>
      <c r="F325" s="2" t="str">
        <f t="shared" si="1"/>
        <v/>
      </c>
    </row>
    <row r="326" ht="15.75" customHeight="1">
      <c r="B326" s="2" t="str">
        <f>IF(A326="","",VLOOKUP(A326,ROSTER!$A$2:$F$500,3,FALSE))</f>
        <v/>
      </c>
      <c r="C326" s="2" t="str">
        <f>IF(A326="","",COUNTIF(CARD_LOG!$C:$C,A326))</f>
        <v/>
      </c>
      <c r="D326" s="4" t="str">
        <f>IF(A326="","",IFERROR(AVERAGEIF(CARD_LOG!$C:$C,A326,CARD_LOG!$M:$M),""))</f>
        <v/>
      </c>
      <c r="E326" s="2" t="str">
        <f>IF(A326="","",IF(COUNTIFS(CARD_LOG!$C:$C,A326,CARD_LOG!$L:$L,"Yes",CARD_LOG!$K:$K,"&lt;14")&gt;0,"No","Yes"))</f>
        <v/>
      </c>
      <c r="F326" s="2" t="str">
        <f t="shared" si="1"/>
        <v/>
      </c>
    </row>
    <row r="327" ht="15.75" customHeight="1">
      <c r="B327" s="2" t="str">
        <f>IF(A327="","",VLOOKUP(A327,ROSTER!$A$2:$F$500,3,FALSE))</f>
        <v/>
      </c>
      <c r="C327" s="2" t="str">
        <f>IF(A327="","",COUNTIF(CARD_LOG!$C:$C,A327))</f>
        <v/>
      </c>
      <c r="D327" s="4" t="str">
        <f>IF(A327="","",IFERROR(AVERAGEIF(CARD_LOG!$C:$C,A327,CARD_LOG!$M:$M),""))</f>
        <v/>
      </c>
      <c r="E327" s="2" t="str">
        <f>IF(A327="","",IF(COUNTIFS(CARD_LOG!$C:$C,A327,CARD_LOG!$L:$L,"Yes",CARD_LOG!$K:$K,"&lt;14")&gt;0,"No","Yes"))</f>
        <v/>
      </c>
      <c r="F327" s="2" t="str">
        <f t="shared" si="1"/>
        <v/>
      </c>
    </row>
    <row r="328" ht="15.75" customHeight="1">
      <c r="B328" s="2" t="str">
        <f>IF(A328="","",VLOOKUP(A328,ROSTER!$A$2:$F$500,3,FALSE))</f>
        <v/>
      </c>
      <c r="C328" s="2" t="str">
        <f>IF(A328="","",COUNTIF(CARD_LOG!$C:$C,A328))</f>
        <v/>
      </c>
      <c r="D328" s="4" t="str">
        <f>IF(A328="","",IFERROR(AVERAGEIF(CARD_LOG!$C:$C,A328,CARD_LOG!$M:$M),""))</f>
        <v/>
      </c>
      <c r="E328" s="2" t="str">
        <f>IF(A328="","",IF(COUNTIFS(CARD_LOG!$C:$C,A328,CARD_LOG!$L:$L,"Yes",CARD_LOG!$K:$K,"&lt;14")&gt;0,"No","Yes"))</f>
        <v/>
      </c>
      <c r="F328" s="2" t="str">
        <f t="shared" si="1"/>
        <v/>
      </c>
    </row>
    <row r="329" ht="15.75" customHeight="1">
      <c r="B329" s="2" t="str">
        <f>IF(A329="","",VLOOKUP(A329,ROSTER!$A$2:$F$500,3,FALSE))</f>
        <v/>
      </c>
      <c r="C329" s="2" t="str">
        <f>IF(A329="","",COUNTIF(CARD_LOG!$C:$C,A329))</f>
        <v/>
      </c>
      <c r="D329" s="4" t="str">
        <f>IF(A329="","",IFERROR(AVERAGEIF(CARD_LOG!$C:$C,A329,CARD_LOG!$M:$M),""))</f>
        <v/>
      </c>
      <c r="E329" s="2" t="str">
        <f>IF(A329="","",IF(COUNTIFS(CARD_LOG!$C:$C,A329,CARD_LOG!$L:$L,"Yes",CARD_LOG!$K:$K,"&lt;14")&gt;0,"No","Yes"))</f>
        <v/>
      </c>
      <c r="F329" s="2" t="str">
        <f t="shared" si="1"/>
        <v/>
      </c>
    </row>
    <row r="330" ht="15.75" customHeight="1">
      <c r="B330" s="2" t="str">
        <f>IF(A330="","",VLOOKUP(A330,ROSTER!$A$2:$F$500,3,FALSE))</f>
        <v/>
      </c>
      <c r="C330" s="2" t="str">
        <f>IF(A330="","",COUNTIF(CARD_LOG!$C:$C,A330))</f>
        <v/>
      </c>
      <c r="D330" s="4" t="str">
        <f>IF(A330="","",IFERROR(AVERAGEIF(CARD_LOG!$C:$C,A330,CARD_LOG!$M:$M),""))</f>
        <v/>
      </c>
      <c r="E330" s="2" t="str">
        <f>IF(A330="","",IF(COUNTIFS(CARD_LOG!$C:$C,A330,CARD_LOG!$L:$L,"Yes",CARD_LOG!$K:$K,"&lt;14")&gt;0,"No","Yes"))</f>
        <v/>
      </c>
      <c r="F330" s="2" t="str">
        <f t="shared" si="1"/>
        <v/>
      </c>
    </row>
    <row r="331" ht="15.75" customHeight="1">
      <c r="B331" s="2" t="str">
        <f>IF(A331="","",VLOOKUP(A331,ROSTER!$A$2:$F$500,3,FALSE))</f>
        <v/>
      </c>
      <c r="C331" s="2" t="str">
        <f>IF(A331="","",COUNTIF(CARD_LOG!$C:$C,A331))</f>
        <v/>
      </c>
      <c r="D331" s="4" t="str">
        <f>IF(A331="","",IFERROR(AVERAGEIF(CARD_LOG!$C:$C,A331,CARD_LOG!$M:$M),""))</f>
        <v/>
      </c>
      <c r="E331" s="2" t="str">
        <f>IF(A331="","",IF(COUNTIFS(CARD_LOG!$C:$C,A331,CARD_LOG!$L:$L,"Yes",CARD_LOG!$K:$K,"&lt;14")&gt;0,"No","Yes"))</f>
        <v/>
      </c>
      <c r="F331" s="2" t="str">
        <f t="shared" si="1"/>
        <v/>
      </c>
    </row>
    <row r="332" ht="15.75" customHeight="1">
      <c r="B332" s="2" t="str">
        <f>IF(A332="","",VLOOKUP(A332,ROSTER!$A$2:$F$500,3,FALSE))</f>
        <v/>
      </c>
      <c r="C332" s="2" t="str">
        <f>IF(A332="","",COUNTIF(CARD_LOG!$C:$C,A332))</f>
        <v/>
      </c>
      <c r="D332" s="4" t="str">
        <f>IF(A332="","",IFERROR(AVERAGEIF(CARD_LOG!$C:$C,A332,CARD_LOG!$M:$M),""))</f>
        <v/>
      </c>
      <c r="E332" s="2" t="str">
        <f>IF(A332="","",IF(COUNTIFS(CARD_LOG!$C:$C,A332,CARD_LOG!$L:$L,"Yes",CARD_LOG!$K:$K,"&lt;14")&gt;0,"No","Yes"))</f>
        <v/>
      </c>
      <c r="F332" s="2" t="str">
        <f t="shared" si="1"/>
        <v/>
      </c>
    </row>
    <row r="333" ht="15.75" customHeight="1">
      <c r="B333" s="2" t="str">
        <f>IF(A333="","",VLOOKUP(A333,ROSTER!$A$2:$F$500,3,FALSE))</f>
        <v/>
      </c>
      <c r="C333" s="2" t="str">
        <f>IF(A333="","",COUNTIF(CARD_LOG!$C:$C,A333))</f>
        <v/>
      </c>
      <c r="D333" s="4" t="str">
        <f>IF(A333="","",IFERROR(AVERAGEIF(CARD_LOG!$C:$C,A333,CARD_LOG!$M:$M),""))</f>
        <v/>
      </c>
      <c r="E333" s="2" t="str">
        <f>IF(A333="","",IF(COUNTIFS(CARD_LOG!$C:$C,A333,CARD_LOG!$L:$L,"Yes",CARD_LOG!$K:$K,"&lt;14")&gt;0,"No","Yes"))</f>
        <v/>
      </c>
      <c r="F333" s="2" t="str">
        <f t="shared" si="1"/>
        <v/>
      </c>
    </row>
    <row r="334" ht="15.75" customHeight="1">
      <c r="B334" s="2" t="str">
        <f>IF(A334="","",VLOOKUP(A334,ROSTER!$A$2:$F$500,3,FALSE))</f>
        <v/>
      </c>
      <c r="C334" s="2" t="str">
        <f>IF(A334="","",COUNTIF(CARD_LOG!$C:$C,A334))</f>
        <v/>
      </c>
      <c r="D334" s="4" t="str">
        <f>IF(A334="","",IFERROR(AVERAGEIF(CARD_LOG!$C:$C,A334,CARD_LOG!$M:$M),""))</f>
        <v/>
      </c>
      <c r="E334" s="2" t="str">
        <f>IF(A334="","",IF(COUNTIFS(CARD_LOG!$C:$C,A334,CARD_LOG!$L:$L,"Yes",CARD_LOG!$K:$K,"&lt;14")&gt;0,"No","Yes"))</f>
        <v/>
      </c>
      <c r="F334" s="2" t="str">
        <f t="shared" si="1"/>
        <v/>
      </c>
    </row>
    <row r="335" ht="15.75" customHeight="1">
      <c r="B335" s="2" t="str">
        <f>IF(A335="","",VLOOKUP(A335,ROSTER!$A$2:$F$500,3,FALSE))</f>
        <v/>
      </c>
      <c r="C335" s="2" t="str">
        <f>IF(A335="","",COUNTIF(CARD_LOG!$C:$C,A335))</f>
        <v/>
      </c>
      <c r="D335" s="4" t="str">
        <f>IF(A335="","",IFERROR(AVERAGEIF(CARD_LOG!$C:$C,A335,CARD_LOG!$M:$M),""))</f>
        <v/>
      </c>
      <c r="E335" s="2" t="str">
        <f>IF(A335="","",IF(COUNTIFS(CARD_LOG!$C:$C,A335,CARD_LOG!$L:$L,"Yes",CARD_LOG!$K:$K,"&lt;14")&gt;0,"No","Yes"))</f>
        <v/>
      </c>
      <c r="F335" s="2" t="str">
        <f t="shared" si="1"/>
        <v/>
      </c>
    </row>
    <row r="336" ht="15.75" customHeight="1">
      <c r="B336" s="2" t="str">
        <f>IF(A336="","",VLOOKUP(A336,ROSTER!$A$2:$F$500,3,FALSE))</f>
        <v/>
      </c>
      <c r="C336" s="2" t="str">
        <f>IF(A336="","",COUNTIF(CARD_LOG!$C:$C,A336))</f>
        <v/>
      </c>
      <c r="D336" s="4" t="str">
        <f>IF(A336="","",IFERROR(AVERAGEIF(CARD_LOG!$C:$C,A336,CARD_LOG!$M:$M),""))</f>
        <v/>
      </c>
      <c r="E336" s="2" t="str">
        <f>IF(A336="","",IF(COUNTIFS(CARD_LOG!$C:$C,A336,CARD_LOG!$L:$L,"Yes",CARD_LOG!$K:$K,"&lt;14")&gt;0,"No","Yes"))</f>
        <v/>
      </c>
      <c r="F336" s="2" t="str">
        <f t="shared" si="1"/>
        <v/>
      </c>
    </row>
    <row r="337" ht="15.75" customHeight="1">
      <c r="B337" s="2" t="str">
        <f>IF(A337="","",VLOOKUP(A337,ROSTER!$A$2:$F$500,3,FALSE))</f>
        <v/>
      </c>
      <c r="C337" s="2" t="str">
        <f>IF(A337="","",COUNTIF(CARD_LOG!$C:$C,A337))</f>
        <v/>
      </c>
      <c r="D337" s="4" t="str">
        <f>IF(A337="","",IFERROR(AVERAGEIF(CARD_LOG!$C:$C,A337,CARD_LOG!$M:$M),""))</f>
        <v/>
      </c>
      <c r="E337" s="2" t="str">
        <f>IF(A337="","",IF(COUNTIFS(CARD_LOG!$C:$C,A337,CARD_LOG!$L:$L,"Yes",CARD_LOG!$K:$K,"&lt;14")&gt;0,"No","Yes"))</f>
        <v/>
      </c>
      <c r="F337" s="2" t="str">
        <f t="shared" si="1"/>
        <v/>
      </c>
    </row>
    <row r="338" ht="15.75" customHeight="1">
      <c r="B338" s="2" t="str">
        <f>IF(A338="","",VLOOKUP(A338,ROSTER!$A$2:$F$500,3,FALSE))</f>
        <v/>
      </c>
      <c r="C338" s="2" t="str">
        <f>IF(A338="","",COUNTIF(CARD_LOG!$C:$C,A338))</f>
        <v/>
      </c>
      <c r="D338" s="4" t="str">
        <f>IF(A338="","",IFERROR(AVERAGEIF(CARD_LOG!$C:$C,A338,CARD_LOG!$M:$M),""))</f>
        <v/>
      </c>
      <c r="E338" s="2" t="str">
        <f>IF(A338="","",IF(COUNTIFS(CARD_LOG!$C:$C,A338,CARD_LOG!$L:$L,"Yes",CARD_LOG!$K:$K,"&lt;14")&gt;0,"No","Yes"))</f>
        <v/>
      </c>
      <c r="F338" s="2" t="str">
        <f t="shared" si="1"/>
        <v/>
      </c>
    </row>
    <row r="339" ht="15.75" customHeight="1">
      <c r="B339" s="2" t="str">
        <f>IF(A339="","",VLOOKUP(A339,ROSTER!$A$2:$F$500,3,FALSE))</f>
        <v/>
      </c>
      <c r="C339" s="2" t="str">
        <f>IF(A339="","",COUNTIF(CARD_LOG!$C:$C,A339))</f>
        <v/>
      </c>
      <c r="D339" s="4" t="str">
        <f>IF(A339="","",IFERROR(AVERAGEIF(CARD_LOG!$C:$C,A339,CARD_LOG!$M:$M),""))</f>
        <v/>
      </c>
      <c r="E339" s="2" t="str">
        <f>IF(A339="","",IF(COUNTIFS(CARD_LOG!$C:$C,A339,CARD_LOG!$L:$L,"Yes",CARD_LOG!$K:$K,"&lt;14")&gt;0,"No","Yes"))</f>
        <v/>
      </c>
      <c r="F339" s="2" t="str">
        <f t="shared" si="1"/>
        <v/>
      </c>
    </row>
    <row r="340" ht="15.75" customHeight="1">
      <c r="B340" s="2" t="str">
        <f>IF(A340="","",VLOOKUP(A340,ROSTER!$A$2:$F$500,3,FALSE))</f>
        <v/>
      </c>
      <c r="C340" s="2" t="str">
        <f>IF(A340="","",COUNTIF(CARD_LOG!$C:$C,A340))</f>
        <v/>
      </c>
      <c r="D340" s="4" t="str">
        <f>IF(A340="","",IFERROR(AVERAGEIF(CARD_LOG!$C:$C,A340,CARD_LOG!$M:$M),""))</f>
        <v/>
      </c>
      <c r="E340" s="2" t="str">
        <f>IF(A340="","",IF(COUNTIFS(CARD_LOG!$C:$C,A340,CARD_LOG!$L:$L,"Yes",CARD_LOG!$K:$K,"&lt;14")&gt;0,"No","Yes"))</f>
        <v/>
      </c>
      <c r="F340" s="2" t="str">
        <f t="shared" si="1"/>
        <v/>
      </c>
    </row>
    <row r="341" ht="15.75" customHeight="1">
      <c r="B341" s="2" t="str">
        <f>IF(A341="","",VLOOKUP(A341,ROSTER!$A$2:$F$500,3,FALSE))</f>
        <v/>
      </c>
      <c r="C341" s="2" t="str">
        <f>IF(A341="","",COUNTIF(CARD_LOG!$C:$C,A341))</f>
        <v/>
      </c>
      <c r="D341" s="4" t="str">
        <f>IF(A341="","",IFERROR(AVERAGEIF(CARD_LOG!$C:$C,A341,CARD_LOG!$M:$M),""))</f>
        <v/>
      </c>
      <c r="E341" s="2" t="str">
        <f>IF(A341="","",IF(COUNTIFS(CARD_LOG!$C:$C,A341,CARD_LOG!$L:$L,"Yes",CARD_LOG!$K:$K,"&lt;14")&gt;0,"No","Yes"))</f>
        <v/>
      </c>
      <c r="F341" s="2" t="str">
        <f t="shared" si="1"/>
        <v/>
      </c>
    </row>
    <row r="342" ht="15.75" customHeight="1">
      <c r="B342" s="2" t="str">
        <f>IF(A342="","",VLOOKUP(A342,ROSTER!$A$2:$F$500,3,FALSE))</f>
        <v/>
      </c>
      <c r="C342" s="2" t="str">
        <f>IF(A342="","",COUNTIF(CARD_LOG!$C:$C,A342))</f>
        <v/>
      </c>
      <c r="D342" s="4" t="str">
        <f>IF(A342="","",IFERROR(AVERAGEIF(CARD_LOG!$C:$C,A342,CARD_LOG!$M:$M),""))</f>
        <v/>
      </c>
      <c r="E342" s="2" t="str">
        <f>IF(A342="","",IF(COUNTIFS(CARD_LOG!$C:$C,A342,CARD_LOG!$L:$L,"Yes",CARD_LOG!$K:$K,"&lt;14")&gt;0,"No","Yes"))</f>
        <v/>
      </c>
      <c r="F342" s="2" t="str">
        <f t="shared" si="1"/>
        <v/>
      </c>
    </row>
    <row r="343" ht="15.75" customHeight="1">
      <c r="B343" s="2" t="str">
        <f>IF(A343="","",VLOOKUP(A343,ROSTER!$A$2:$F$500,3,FALSE))</f>
        <v/>
      </c>
      <c r="C343" s="2" t="str">
        <f>IF(A343="","",COUNTIF(CARD_LOG!$C:$C,A343))</f>
        <v/>
      </c>
      <c r="D343" s="4" t="str">
        <f>IF(A343="","",IFERROR(AVERAGEIF(CARD_LOG!$C:$C,A343,CARD_LOG!$M:$M),""))</f>
        <v/>
      </c>
      <c r="E343" s="2" t="str">
        <f>IF(A343="","",IF(COUNTIFS(CARD_LOG!$C:$C,A343,CARD_LOG!$L:$L,"Yes",CARD_LOG!$K:$K,"&lt;14")&gt;0,"No","Yes"))</f>
        <v/>
      </c>
      <c r="F343" s="2" t="str">
        <f t="shared" si="1"/>
        <v/>
      </c>
    </row>
    <row r="344" ht="15.75" customHeight="1">
      <c r="B344" s="2" t="str">
        <f>IF(A344="","",VLOOKUP(A344,ROSTER!$A$2:$F$500,3,FALSE))</f>
        <v/>
      </c>
      <c r="C344" s="2" t="str">
        <f>IF(A344="","",COUNTIF(CARD_LOG!$C:$C,A344))</f>
        <v/>
      </c>
      <c r="D344" s="4" t="str">
        <f>IF(A344="","",IFERROR(AVERAGEIF(CARD_LOG!$C:$C,A344,CARD_LOG!$M:$M),""))</f>
        <v/>
      </c>
      <c r="E344" s="2" t="str">
        <f>IF(A344="","",IF(COUNTIFS(CARD_LOG!$C:$C,A344,CARD_LOG!$L:$L,"Yes",CARD_LOG!$K:$K,"&lt;14")&gt;0,"No","Yes"))</f>
        <v/>
      </c>
      <c r="F344" s="2" t="str">
        <f t="shared" si="1"/>
        <v/>
      </c>
    </row>
    <row r="345" ht="15.75" customHeight="1">
      <c r="B345" s="2" t="str">
        <f>IF(A345="","",VLOOKUP(A345,ROSTER!$A$2:$F$500,3,FALSE))</f>
        <v/>
      </c>
      <c r="C345" s="2" t="str">
        <f>IF(A345="","",COUNTIF(CARD_LOG!$C:$C,A345))</f>
        <v/>
      </c>
      <c r="D345" s="4" t="str">
        <f>IF(A345="","",IFERROR(AVERAGEIF(CARD_LOG!$C:$C,A345,CARD_LOG!$M:$M),""))</f>
        <v/>
      </c>
      <c r="E345" s="2" t="str">
        <f>IF(A345="","",IF(COUNTIFS(CARD_LOG!$C:$C,A345,CARD_LOG!$L:$L,"Yes",CARD_LOG!$K:$K,"&lt;14")&gt;0,"No","Yes"))</f>
        <v/>
      </c>
      <c r="F345" s="2" t="str">
        <f t="shared" si="1"/>
        <v/>
      </c>
    </row>
    <row r="346" ht="15.75" customHeight="1">
      <c r="B346" s="2" t="str">
        <f>IF(A346="","",VLOOKUP(A346,ROSTER!$A$2:$F$500,3,FALSE))</f>
        <v/>
      </c>
      <c r="C346" s="2" t="str">
        <f>IF(A346="","",COUNTIF(CARD_LOG!$C:$C,A346))</f>
        <v/>
      </c>
      <c r="D346" s="4" t="str">
        <f>IF(A346="","",IFERROR(AVERAGEIF(CARD_LOG!$C:$C,A346,CARD_LOG!$M:$M),""))</f>
        <v/>
      </c>
      <c r="E346" s="2" t="str">
        <f>IF(A346="","",IF(COUNTIFS(CARD_LOG!$C:$C,A346,CARD_LOG!$L:$L,"Yes",CARD_LOG!$K:$K,"&lt;14")&gt;0,"No","Yes"))</f>
        <v/>
      </c>
      <c r="F346" s="2" t="str">
        <f t="shared" si="1"/>
        <v/>
      </c>
    </row>
    <row r="347" ht="15.75" customHeight="1">
      <c r="B347" s="2" t="str">
        <f>IF(A347="","",VLOOKUP(A347,ROSTER!$A$2:$F$500,3,FALSE))</f>
        <v/>
      </c>
      <c r="C347" s="2" t="str">
        <f>IF(A347="","",COUNTIF(CARD_LOG!$C:$C,A347))</f>
        <v/>
      </c>
      <c r="D347" s="4" t="str">
        <f>IF(A347="","",IFERROR(AVERAGEIF(CARD_LOG!$C:$C,A347,CARD_LOG!$M:$M),""))</f>
        <v/>
      </c>
      <c r="E347" s="2" t="str">
        <f>IF(A347="","",IF(COUNTIFS(CARD_LOG!$C:$C,A347,CARD_LOG!$L:$L,"Yes",CARD_LOG!$K:$K,"&lt;14")&gt;0,"No","Yes"))</f>
        <v/>
      </c>
      <c r="F347" s="2" t="str">
        <f t="shared" si="1"/>
        <v/>
      </c>
    </row>
    <row r="348" ht="15.75" customHeight="1">
      <c r="B348" s="2" t="str">
        <f>IF(A348="","",VLOOKUP(A348,ROSTER!$A$2:$F$500,3,FALSE))</f>
        <v/>
      </c>
      <c r="C348" s="2" t="str">
        <f>IF(A348="","",COUNTIF(CARD_LOG!$C:$C,A348))</f>
        <v/>
      </c>
      <c r="D348" s="4" t="str">
        <f>IF(A348="","",IFERROR(AVERAGEIF(CARD_LOG!$C:$C,A348,CARD_LOG!$M:$M),""))</f>
        <v/>
      </c>
      <c r="E348" s="2" t="str">
        <f>IF(A348="","",IF(COUNTIFS(CARD_LOG!$C:$C,A348,CARD_LOG!$L:$L,"Yes",CARD_LOG!$K:$K,"&lt;14")&gt;0,"No","Yes"))</f>
        <v/>
      </c>
      <c r="F348" s="2" t="str">
        <f t="shared" si="1"/>
        <v/>
      </c>
    </row>
    <row r="349" ht="15.75" customHeight="1">
      <c r="B349" s="2" t="str">
        <f>IF(A349="","",VLOOKUP(A349,ROSTER!$A$2:$F$500,3,FALSE))</f>
        <v/>
      </c>
      <c r="C349" s="2" t="str">
        <f>IF(A349="","",COUNTIF(CARD_LOG!$C:$C,A349))</f>
        <v/>
      </c>
      <c r="D349" s="4" t="str">
        <f>IF(A349="","",IFERROR(AVERAGEIF(CARD_LOG!$C:$C,A349,CARD_LOG!$M:$M),""))</f>
        <v/>
      </c>
      <c r="E349" s="2" t="str">
        <f>IF(A349="","",IF(COUNTIFS(CARD_LOG!$C:$C,A349,CARD_LOG!$L:$L,"Yes",CARD_LOG!$K:$K,"&lt;14")&gt;0,"No","Yes"))</f>
        <v/>
      </c>
      <c r="F349" s="2" t="str">
        <f t="shared" si="1"/>
        <v/>
      </c>
    </row>
    <row r="350" ht="15.75" customHeight="1">
      <c r="B350" s="2" t="str">
        <f>IF(A350="","",VLOOKUP(A350,ROSTER!$A$2:$F$500,3,FALSE))</f>
        <v/>
      </c>
      <c r="C350" s="2" t="str">
        <f>IF(A350="","",COUNTIF(CARD_LOG!$C:$C,A350))</f>
        <v/>
      </c>
      <c r="D350" s="4" t="str">
        <f>IF(A350="","",IFERROR(AVERAGEIF(CARD_LOG!$C:$C,A350,CARD_LOG!$M:$M),""))</f>
        <v/>
      </c>
      <c r="E350" s="2" t="str">
        <f>IF(A350="","",IF(COUNTIFS(CARD_LOG!$C:$C,A350,CARD_LOG!$L:$L,"Yes",CARD_LOG!$K:$K,"&lt;14")&gt;0,"No","Yes"))</f>
        <v/>
      </c>
      <c r="F350" s="2" t="str">
        <f t="shared" si="1"/>
        <v/>
      </c>
    </row>
    <row r="351" ht="15.75" customHeight="1">
      <c r="B351" s="2" t="str">
        <f>IF(A351="","",VLOOKUP(A351,ROSTER!$A$2:$F$500,3,FALSE))</f>
        <v/>
      </c>
      <c r="C351" s="2" t="str">
        <f>IF(A351="","",COUNTIF(CARD_LOG!$C:$C,A351))</f>
        <v/>
      </c>
      <c r="D351" s="4" t="str">
        <f>IF(A351="","",IFERROR(AVERAGEIF(CARD_LOG!$C:$C,A351,CARD_LOG!$M:$M),""))</f>
        <v/>
      </c>
      <c r="E351" s="2" t="str">
        <f>IF(A351="","",IF(COUNTIFS(CARD_LOG!$C:$C,A351,CARD_LOG!$L:$L,"Yes",CARD_LOG!$K:$K,"&lt;14")&gt;0,"No","Yes"))</f>
        <v/>
      </c>
      <c r="F351" s="2" t="str">
        <f t="shared" si="1"/>
        <v/>
      </c>
    </row>
    <row r="352" ht="15.75" customHeight="1">
      <c r="B352" s="2" t="str">
        <f>IF(A352="","",VLOOKUP(A352,ROSTER!$A$2:$F$500,3,FALSE))</f>
        <v/>
      </c>
      <c r="C352" s="2" t="str">
        <f>IF(A352="","",COUNTIF(CARD_LOG!$C:$C,A352))</f>
        <v/>
      </c>
      <c r="D352" s="4" t="str">
        <f>IF(A352="","",IFERROR(AVERAGEIF(CARD_LOG!$C:$C,A352,CARD_LOG!$M:$M),""))</f>
        <v/>
      </c>
      <c r="E352" s="2" t="str">
        <f>IF(A352="","",IF(COUNTIFS(CARD_LOG!$C:$C,A352,CARD_LOG!$L:$L,"Yes",CARD_LOG!$K:$K,"&lt;14")&gt;0,"No","Yes"))</f>
        <v/>
      </c>
      <c r="F352" s="2" t="str">
        <f t="shared" si="1"/>
        <v/>
      </c>
    </row>
    <row r="353" ht="15.75" customHeight="1">
      <c r="B353" s="2" t="str">
        <f>IF(A353="","",VLOOKUP(A353,ROSTER!$A$2:$F$500,3,FALSE))</f>
        <v/>
      </c>
      <c r="C353" s="2" t="str">
        <f>IF(A353="","",COUNTIF(CARD_LOG!$C:$C,A353))</f>
        <v/>
      </c>
      <c r="D353" s="4" t="str">
        <f>IF(A353="","",IFERROR(AVERAGEIF(CARD_LOG!$C:$C,A353,CARD_LOG!$M:$M),""))</f>
        <v/>
      </c>
      <c r="E353" s="2" t="str">
        <f>IF(A353="","",IF(COUNTIFS(CARD_LOG!$C:$C,A353,CARD_LOG!$L:$L,"Yes",CARD_LOG!$K:$K,"&lt;14")&gt;0,"No","Yes"))</f>
        <v/>
      </c>
      <c r="F353" s="2" t="str">
        <f t="shared" si="1"/>
        <v/>
      </c>
    </row>
    <row r="354" ht="15.75" customHeight="1">
      <c r="B354" s="2" t="str">
        <f>IF(A354="","",VLOOKUP(A354,ROSTER!$A$2:$F$500,3,FALSE))</f>
        <v/>
      </c>
      <c r="C354" s="2" t="str">
        <f>IF(A354="","",COUNTIF(CARD_LOG!$C:$C,A354))</f>
        <v/>
      </c>
      <c r="D354" s="4" t="str">
        <f>IF(A354="","",IFERROR(AVERAGEIF(CARD_LOG!$C:$C,A354,CARD_LOG!$M:$M),""))</f>
        <v/>
      </c>
      <c r="E354" s="2" t="str">
        <f>IF(A354="","",IF(COUNTIFS(CARD_LOG!$C:$C,A354,CARD_LOG!$L:$L,"Yes",CARD_LOG!$K:$K,"&lt;14")&gt;0,"No","Yes"))</f>
        <v/>
      </c>
      <c r="F354" s="2" t="str">
        <f t="shared" si="1"/>
        <v/>
      </c>
    </row>
    <row r="355" ht="15.75" customHeight="1">
      <c r="B355" s="2" t="str">
        <f>IF(A355="","",VLOOKUP(A355,ROSTER!$A$2:$F$500,3,FALSE))</f>
        <v/>
      </c>
      <c r="C355" s="2" t="str">
        <f>IF(A355="","",COUNTIF(CARD_LOG!$C:$C,A355))</f>
        <v/>
      </c>
      <c r="D355" s="4" t="str">
        <f>IF(A355="","",IFERROR(AVERAGEIF(CARD_LOG!$C:$C,A355,CARD_LOG!$M:$M),""))</f>
        <v/>
      </c>
      <c r="E355" s="2" t="str">
        <f>IF(A355="","",IF(COUNTIFS(CARD_LOG!$C:$C,A355,CARD_LOG!$L:$L,"Yes",CARD_LOG!$K:$K,"&lt;14")&gt;0,"No","Yes"))</f>
        <v/>
      </c>
      <c r="F355" s="2" t="str">
        <f t="shared" si="1"/>
        <v/>
      </c>
    </row>
    <row r="356" ht="15.75" customHeight="1">
      <c r="B356" s="2" t="str">
        <f>IF(A356="","",VLOOKUP(A356,ROSTER!$A$2:$F$500,3,FALSE))</f>
        <v/>
      </c>
      <c r="C356" s="2" t="str">
        <f>IF(A356="","",COUNTIF(CARD_LOG!$C:$C,A356))</f>
        <v/>
      </c>
      <c r="D356" s="4" t="str">
        <f>IF(A356="","",IFERROR(AVERAGEIF(CARD_LOG!$C:$C,A356,CARD_LOG!$M:$M),""))</f>
        <v/>
      </c>
      <c r="E356" s="2" t="str">
        <f>IF(A356="","",IF(COUNTIFS(CARD_LOG!$C:$C,A356,CARD_LOG!$L:$L,"Yes",CARD_LOG!$K:$K,"&lt;14")&gt;0,"No","Yes"))</f>
        <v/>
      </c>
      <c r="F356" s="2" t="str">
        <f t="shared" si="1"/>
        <v/>
      </c>
    </row>
    <row r="357" ht="15.75" customHeight="1">
      <c r="B357" s="2" t="str">
        <f>IF(A357="","",VLOOKUP(A357,ROSTER!$A$2:$F$500,3,FALSE))</f>
        <v/>
      </c>
      <c r="C357" s="2" t="str">
        <f>IF(A357="","",COUNTIF(CARD_LOG!$C:$C,A357))</f>
        <v/>
      </c>
      <c r="D357" s="4" t="str">
        <f>IF(A357="","",IFERROR(AVERAGEIF(CARD_LOG!$C:$C,A357,CARD_LOG!$M:$M),""))</f>
        <v/>
      </c>
      <c r="E357" s="2" t="str">
        <f>IF(A357="","",IF(COUNTIFS(CARD_LOG!$C:$C,A357,CARD_LOG!$L:$L,"Yes",CARD_LOG!$K:$K,"&lt;14")&gt;0,"No","Yes"))</f>
        <v/>
      </c>
      <c r="F357" s="2" t="str">
        <f t="shared" si="1"/>
        <v/>
      </c>
    </row>
    <row r="358" ht="15.75" customHeight="1">
      <c r="B358" s="2" t="str">
        <f>IF(A358="","",VLOOKUP(A358,ROSTER!$A$2:$F$500,3,FALSE))</f>
        <v/>
      </c>
      <c r="C358" s="2" t="str">
        <f>IF(A358="","",COUNTIF(CARD_LOG!$C:$C,A358))</f>
        <v/>
      </c>
      <c r="D358" s="4" t="str">
        <f>IF(A358="","",IFERROR(AVERAGEIF(CARD_LOG!$C:$C,A358,CARD_LOG!$M:$M),""))</f>
        <v/>
      </c>
      <c r="E358" s="2" t="str">
        <f>IF(A358="","",IF(COUNTIFS(CARD_LOG!$C:$C,A358,CARD_LOG!$L:$L,"Yes",CARD_LOG!$K:$K,"&lt;14")&gt;0,"No","Yes"))</f>
        <v/>
      </c>
      <c r="F358" s="2" t="str">
        <f t="shared" si="1"/>
        <v/>
      </c>
    </row>
    <row r="359" ht="15.75" customHeight="1">
      <c r="B359" s="2" t="str">
        <f>IF(A359="","",VLOOKUP(A359,ROSTER!$A$2:$F$500,3,FALSE))</f>
        <v/>
      </c>
      <c r="C359" s="2" t="str">
        <f>IF(A359="","",COUNTIF(CARD_LOG!$C:$C,A359))</f>
        <v/>
      </c>
      <c r="D359" s="4" t="str">
        <f>IF(A359="","",IFERROR(AVERAGEIF(CARD_LOG!$C:$C,A359,CARD_LOG!$M:$M),""))</f>
        <v/>
      </c>
      <c r="E359" s="2" t="str">
        <f>IF(A359="","",IF(COUNTIFS(CARD_LOG!$C:$C,A359,CARD_LOG!$L:$L,"Yes",CARD_LOG!$K:$K,"&lt;14")&gt;0,"No","Yes"))</f>
        <v/>
      </c>
      <c r="F359" s="2" t="str">
        <f t="shared" si="1"/>
        <v/>
      </c>
    </row>
    <row r="360" ht="15.75" customHeight="1">
      <c r="B360" s="2" t="str">
        <f>IF(A360="","",VLOOKUP(A360,ROSTER!$A$2:$F$500,3,FALSE))</f>
        <v/>
      </c>
      <c r="C360" s="2" t="str">
        <f>IF(A360="","",COUNTIF(CARD_LOG!$C:$C,A360))</f>
        <v/>
      </c>
      <c r="D360" s="4" t="str">
        <f>IF(A360="","",IFERROR(AVERAGEIF(CARD_LOG!$C:$C,A360,CARD_LOG!$M:$M),""))</f>
        <v/>
      </c>
      <c r="E360" s="2" t="str">
        <f>IF(A360="","",IF(COUNTIFS(CARD_LOG!$C:$C,A360,CARD_LOG!$L:$L,"Yes",CARD_LOG!$K:$K,"&lt;14")&gt;0,"No","Yes"))</f>
        <v/>
      </c>
      <c r="F360" s="2" t="str">
        <f t="shared" si="1"/>
        <v/>
      </c>
    </row>
    <row r="361" ht="15.75" customHeight="1">
      <c r="B361" s="2" t="str">
        <f>IF(A361="","",VLOOKUP(A361,ROSTER!$A$2:$F$500,3,FALSE))</f>
        <v/>
      </c>
      <c r="C361" s="2" t="str">
        <f>IF(A361="","",COUNTIF(CARD_LOG!$C:$C,A361))</f>
        <v/>
      </c>
      <c r="D361" s="4" t="str">
        <f>IF(A361="","",IFERROR(AVERAGEIF(CARD_LOG!$C:$C,A361,CARD_LOG!$M:$M),""))</f>
        <v/>
      </c>
      <c r="E361" s="2" t="str">
        <f>IF(A361="","",IF(COUNTIFS(CARD_LOG!$C:$C,A361,CARD_LOG!$L:$L,"Yes",CARD_LOG!$K:$K,"&lt;14")&gt;0,"No","Yes"))</f>
        <v/>
      </c>
      <c r="F361" s="2" t="str">
        <f t="shared" si="1"/>
        <v/>
      </c>
    </row>
    <row r="362" ht="15.75" customHeight="1">
      <c r="B362" s="2" t="str">
        <f>IF(A362="","",VLOOKUP(A362,ROSTER!$A$2:$F$500,3,FALSE))</f>
        <v/>
      </c>
      <c r="C362" s="2" t="str">
        <f>IF(A362="","",COUNTIF(CARD_LOG!$C:$C,A362))</f>
        <v/>
      </c>
      <c r="D362" s="4" t="str">
        <f>IF(A362="","",IFERROR(AVERAGEIF(CARD_LOG!$C:$C,A362,CARD_LOG!$M:$M),""))</f>
        <v/>
      </c>
      <c r="E362" s="2" t="str">
        <f>IF(A362="","",IF(COUNTIFS(CARD_LOG!$C:$C,A362,CARD_LOG!$L:$L,"Yes",CARD_LOG!$K:$K,"&lt;14")&gt;0,"No","Yes"))</f>
        <v/>
      </c>
      <c r="F362" s="2" t="str">
        <f t="shared" si="1"/>
        <v/>
      </c>
    </row>
    <row r="363" ht="15.75" customHeight="1">
      <c r="B363" s="2" t="str">
        <f>IF(A363="","",VLOOKUP(A363,ROSTER!$A$2:$F$500,3,FALSE))</f>
        <v/>
      </c>
      <c r="C363" s="2" t="str">
        <f>IF(A363="","",COUNTIF(CARD_LOG!$C:$C,A363))</f>
        <v/>
      </c>
      <c r="D363" s="4" t="str">
        <f>IF(A363="","",IFERROR(AVERAGEIF(CARD_LOG!$C:$C,A363,CARD_LOG!$M:$M),""))</f>
        <v/>
      </c>
      <c r="E363" s="2" t="str">
        <f>IF(A363="","",IF(COUNTIFS(CARD_LOG!$C:$C,A363,CARD_LOG!$L:$L,"Yes",CARD_LOG!$K:$K,"&lt;14")&gt;0,"No","Yes"))</f>
        <v/>
      </c>
      <c r="F363" s="2" t="str">
        <f t="shared" si="1"/>
        <v/>
      </c>
    </row>
    <row r="364" ht="15.75" customHeight="1">
      <c r="B364" s="2" t="str">
        <f>IF(A364="","",VLOOKUP(A364,ROSTER!$A$2:$F$500,3,FALSE))</f>
        <v/>
      </c>
      <c r="C364" s="2" t="str">
        <f>IF(A364="","",COUNTIF(CARD_LOG!$C:$C,A364))</f>
        <v/>
      </c>
      <c r="D364" s="4" t="str">
        <f>IF(A364="","",IFERROR(AVERAGEIF(CARD_LOG!$C:$C,A364,CARD_LOG!$M:$M),""))</f>
        <v/>
      </c>
      <c r="E364" s="2" t="str">
        <f>IF(A364="","",IF(COUNTIFS(CARD_LOG!$C:$C,A364,CARD_LOG!$L:$L,"Yes",CARD_LOG!$K:$K,"&lt;14")&gt;0,"No","Yes"))</f>
        <v/>
      </c>
      <c r="F364" s="2" t="str">
        <f t="shared" si="1"/>
        <v/>
      </c>
    </row>
    <row r="365" ht="15.75" customHeight="1">
      <c r="B365" s="2" t="str">
        <f>IF(A365="","",VLOOKUP(A365,ROSTER!$A$2:$F$500,3,FALSE))</f>
        <v/>
      </c>
      <c r="C365" s="2" t="str">
        <f>IF(A365="","",COUNTIF(CARD_LOG!$C:$C,A365))</f>
        <v/>
      </c>
      <c r="D365" s="4" t="str">
        <f>IF(A365="","",IFERROR(AVERAGEIF(CARD_LOG!$C:$C,A365,CARD_LOG!$M:$M),""))</f>
        <v/>
      </c>
      <c r="E365" s="2" t="str">
        <f>IF(A365="","",IF(COUNTIFS(CARD_LOG!$C:$C,A365,CARD_LOG!$L:$L,"Yes",CARD_LOG!$K:$K,"&lt;14")&gt;0,"No","Yes"))</f>
        <v/>
      </c>
      <c r="F365" s="2" t="str">
        <f t="shared" si="1"/>
        <v/>
      </c>
    </row>
    <row r="366" ht="15.75" customHeight="1">
      <c r="B366" s="2" t="str">
        <f>IF(A366="","",VLOOKUP(A366,ROSTER!$A$2:$F$500,3,FALSE))</f>
        <v/>
      </c>
      <c r="C366" s="2" t="str">
        <f>IF(A366="","",COUNTIF(CARD_LOG!$C:$C,A366))</f>
        <v/>
      </c>
      <c r="D366" s="4" t="str">
        <f>IF(A366="","",IFERROR(AVERAGEIF(CARD_LOG!$C:$C,A366,CARD_LOG!$M:$M),""))</f>
        <v/>
      </c>
      <c r="E366" s="2" t="str">
        <f>IF(A366="","",IF(COUNTIFS(CARD_LOG!$C:$C,A366,CARD_LOG!$L:$L,"Yes",CARD_LOG!$K:$K,"&lt;14")&gt;0,"No","Yes"))</f>
        <v/>
      </c>
      <c r="F366" s="2" t="str">
        <f t="shared" si="1"/>
        <v/>
      </c>
    </row>
    <row r="367" ht="15.75" customHeight="1">
      <c r="B367" s="2" t="str">
        <f>IF(A367="","",VLOOKUP(A367,ROSTER!$A$2:$F$500,3,FALSE))</f>
        <v/>
      </c>
      <c r="C367" s="2" t="str">
        <f>IF(A367="","",COUNTIF(CARD_LOG!$C:$C,A367))</f>
        <v/>
      </c>
      <c r="D367" s="4" t="str">
        <f>IF(A367="","",IFERROR(AVERAGEIF(CARD_LOG!$C:$C,A367,CARD_LOG!$M:$M),""))</f>
        <v/>
      </c>
      <c r="E367" s="2" t="str">
        <f>IF(A367="","",IF(COUNTIFS(CARD_LOG!$C:$C,A367,CARD_LOG!$L:$L,"Yes",CARD_LOG!$K:$K,"&lt;14")&gt;0,"No","Yes"))</f>
        <v/>
      </c>
      <c r="F367" s="2" t="str">
        <f t="shared" si="1"/>
        <v/>
      </c>
    </row>
    <row r="368" ht="15.75" customHeight="1">
      <c r="B368" s="2" t="str">
        <f>IF(A368="","",VLOOKUP(A368,ROSTER!$A$2:$F$500,3,FALSE))</f>
        <v/>
      </c>
      <c r="C368" s="2" t="str">
        <f>IF(A368="","",COUNTIF(CARD_LOG!$C:$C,A368))</f>
        <v/>
      </c>
      <c r="D368" s="4" t="str">
        <f>IF(A368="","",IFERROR(AVERAGEIF(CARD_LOG!$C:$C,A368,CARD_LOG!$M:$M),""))</f>
        <v/>
      </c>
      <c r="E368" s="2" t="str">
        <f>IF(A368="","",IF(COUNTIFS(CARD_LOG!$C:$C,A368,CARD_LOG!$L:$L,"Yes",CARD_LOG!$K:$K,"&lt;14")&gt;0,"No","Yes"))</f>
        <v/>
      </c>
      <c r="F368" s="2" t="str">
        <f t="shared" si="1"/>
        <v/>
      </c>
    </row>
    <row r="369" ht="15.75" customHeight="1">
      <c r="B369" s="2" t="str">
        <f>IF(A369="","",VLOOKUP(A369,ROSTER!$A$2:$F$500,3,FALSE))</f>
        <v/>
      </c>
      <c r="C369" s="2" t="str">
        <f>IF(A369="","",COUNTIF(CARD_LOG!$C:$C,A369))</f>
        <v/>
      </c>
      <c r="D369" s="4" t="str">
        <f>IF(A369="","",IFERROR(AVERAGEIF(CARD_LOG!$C:$C,A369,CARD_LOG!$M:$M),""))</f>
        <v/>
      </c>
      <c r="E369" s="2" t="str">
        <f>IF(A369="","",IF(COUNTIFS(CARD_LOG!$C:$C,A369,CARD_LOG!$L:$L,"Yes",CARD_LOG!$K:$K,"&lt;14")&gt;0,"No","Yes"))</f>
        <v/>
      </c>
      <c r="F369" s="2" t="str">
        <f t="shared" si="1"/>
        <v/>
      </c>
    </row>
    <row r="370" ht="15.75" customHeight="1">
      <c r="B370" s="2" t="str">
        <f>IF(A370="","",VLOOKUP(A370,ROSTER!$A$2:$F$500,3,FALSE))</f>
        <v/>
      </c>
      <c r="C370" s="2" t="str">
        <f>IF(A370="","",COUNTIF(CARD_LOG!$C:$C,A370))</f>
        <v/>
      </c>
      <c r="D370" s="4" t="str">
        <f>IF(A370="","",IFERROR(AVERAGEIF(CARD_LOG!$C:$C,A370,CARD_LOG!$M:$M),""))</f>
        <v/>
      </c>
      <c r="E370" s="2" t="str">
        <f>IF(A370="","",IF(COUNTIFS(CARD_LOG!$C:$C,A370,CARD_LOG!$L:$L,"Yes",CARD_LOG!$K:$K,"&lt;14")&gt;0,"No","Yes"))</f>
        <v/>
      </c>
      <c r="F370" s="2" t="str">
        <f t="shared" si="1"/>
        <v/>
      </c>
    </row>
    <row r="371" ht="15.75" customHeight="1">
      <c r="B371" s="2" t="str">
        <f>IF(A371="","",VLOOKUP(A371,ROSTER!$A$2:$F$500,3,FALSE))</f>
        <v/>
      </c>
      <c r="C371" s="2" t="str">
        <f>IF(A371="","",COUNTIF(CARD_LOG!$C:$C,A371))</f>
        <v/>
      </c>
      <c r="D371" s="4" t="str">
        <f>IF(A371="","",IFERROR(AVERAGEIF(CARD_LOG!$C:$C,A371,CARD_LOG!$M:$M),""))</f>
        <v/>
      </c>
      <c r="E371" s="2" t="str">
        <f>IF(A371="","",IF(COUNTIFS(CARD_LOG!$C:$C,A371,CARD_LOG!$L:$L,"Yes",CARD_LOG!$K:$K,"&lt;14")&gt;0,"No","Yes"))</f>
        <v/>
      </c>
      <c r="F371" s="2" t="str">
        <f t="shared" si="1"/>
        <v/>
      </c>
    </row>
    <row r="372" ht="15.75" customHeight="1">
      <c r="B372" s="2" t="str">
        <f>IF(A372="","",VLOOKUP(A372,ROSTER!$A$2:$F$500,3,FALSE))</f>
        <v/>
      </c>
      <c r="C372" s="2" t="str">
        <f>IF(A372="","",COUNTIF(CARD_LOG!$C:$C,A372))</f>
        <v/>
      </c>
      <c r="D372" s="4" t="str">
        <f>IF(A372="","",IFERROR(AVERAGEIF(CARD_LOG!$C:$C,A372,CARD_LOG!$M:$M),""))</f>
        <v/>
      </c>
      <c r="E372" s="2" t="str">
        <f>IF(A372="","",IF(COUNTIFS(CARD_LOG!$C:$C,A372,CARD_LOG!$L:$L,"Yes",CARD_LOG!$K:$K,"&lt;14")&gt;0,"No","Yes"))</f>
        <v/>
      </c>
      <c r="F372" s="2" t="str">
        <f t="shared" si="1"/>
        <v/>
      </c>
    </row>
    <row r="373" ht="15.75" customHeight="1">
      <c r="B373" s="2" t="str">
        <f>IF(A373="","",VLOOKUP(A373,ROSTER!$A$2:$F$500,3,FALSE))</f>
        <v/>
      </c>
      <c r="C373" s="2" t="str">
        <f>IF(A373="","",COUNTIF(CARD_LOG!$C:$C,A373))</f>
        <v/>
      </c>
      <c r="D373" s="4" t="str">
        <f>IF(A373="","",IFERROR(AVERAGEIF(CARD_LOG!$C:$C,A373,CARD_LOG!$M:$M),""))</f>
        <v/>
      </c>
      <c r="E373" s="2" t="str">
        <f>IF(A373="","",IF(COUNTIFS(CARD_LOG!$C:$C,A373,CARD_LOG!$L:$L,"Yes",CARD_LOG!$K:$K,"&lt;14")&gt;0,"No","Yes"))</f>
        <v/>
      </c>
      <c r="F373" s="2" t="str">
        <f t="shared" si="1"/>
        <v/>
      </c>
    </row>
    <row r="374" ht="15.75" customHeight="1">
      <c r="B374" s="2" t="str">
        <f>IF(A374="","",VLOOKUP(A374,ROSTER!$A$2:$F$500,3,FALSE))</f>
        <v/>
      </c>
      <c r="C374" s="2" t="str">
        <f>IF(A374="","",COUNTIF(CARD_LOG!$C:$C,A374))</f>
        <v/>
      </c>
      <c r="D374" s="4" t="str">
        <f>IF(A374="","",IFERROR(AVERAGEIF(CARD_LOG!$C:$C,A374,CARD_LOG!$M:$M),""))</f>
        <v/>
      </c>
      <c r="E374" s="2" t="str">
        <f>IF(A374="","",IF(COUNTIFS(CARD_LOG!$C:$C,A374,CARD_LOG!$L:$L,"Yes",CARD_LOG!$K:$K,"&lt;14")&gt;0,"No","Yes"))</f>
        <v/>
      </c>
      <c r="F374" s="2" t="str">
        <f t="shared" si="1"/>
        <v/>
      </c>
    </row>
    <row r="375" ht="15.75" customHeight="1">
      <c r="B375" s="2" t="str">
        <f>IF(A375="","",VLOOKUP(A375,ROSTER!$A$2:$F$500,3,FALSE))</f>
        <v/>
      </c>
      <c r="C375" s="2" t="str">
        <f>IF(A375="","",COUNTIF(CARD_LOG!$C:$C,A375))</f>
        <v/>
      </c>
      <c r="D375" s="4" t="str">
        <f>IF(A375="","",IFERROR(AVERAGEIF(CARD_LOG!$C:$C,A375,CARD_LOG!$M:$M),""))</f>
        <v/>
      </c>
      <c r="E375" s="2" t="str">
        <f>IF(A375="","",IF(COUNTIFS(CARD_LOG!$C:$C,A375,CARD_LOG!$L:$L,"Yes",CARD_LOG!$K:$K,"&lt;14")&gt;0,"No","Yes"))</f>
        <v/>
      </c>
      <c r="F375" s="2" t="str">
        <f t="shared" si="1"/>
        <v/>
      </c>
    </row>
    <row r="376" ht="15.75" customHeight="1">
      <c r="B376" s="2" t="str">
        <f>IF(A376="","",VLOOKUP(A376,ROSTER!$A$2:$F$500,3,FALSE))</f>
        <v/>
      </c>
      <c r="C376" s="2" t="str">
        <f>IF(A376="","",COUNTIF(CARD_LOG!$C:$C,A376))</f>
        <v/>
      </c>
      <c r="D376" s="4" t="str">
        <f>IF(A376="","",IFERROR(AVERAGEIF(CARD_LOG!$C:$C,A376,CARD_LOG!$M:$M),""))</f>
        <v/>
      </c>
      <c r="E376" s="2" t="str">
        <f>IF(A376="","",IF(COUNTIFS(CARD_LOG!$C:$C,A376,CARD_LOG!$L:$L,"Yes",CARD_LOG!$K:$K,"&lt;14")&gt;0,"No","Yes"))</f>
        <v/>
      </c>
      <c r="F376" s="2" t="str">
        <f t="shared" si="1"/>
        <v/>
      </c>
    </row>
    <row r="377" ht="15.75" customHeight="1">
      <c r="B377" s="2" t="str">
        <f>IF(A377="","",VLOOKUP(A377,ROSTER!$A$2:$F$500,3,FALSE))</f>
        <v/>
      </c>
      <c r="C377" s="2" t="str">
        <f>IF(A377="","",COUNTIF(CARD_LOG!$C:$C,A377))</f>
        <v/>
      </c>
      <c r="D377" s="4" t="str">
        <f>IF(A377="","",IFERROR(AVERAGEIF(CARD_LOG!$C:$C,A377,CARD_LOG!$M:$M),""))</f>
        <v/>
      </c>
      <c r="E377" s="2" t="str">
        <f>IF(A377="","",IF(COUNTIFS(CARD_LOG!$C:$C,A377,CARD_LOG!$L:$L,"Yes",CARD_LOG!$K:$K,"&lt;14")&gt;0,"No","Yes"))</f>
        <v/>
      </c>
      <c r="F377" s="2" t="str">
        <f t="shared" si="1"/>
        <v/>
      </c>
    </row>
    <row r="378" ht="15.75" customHeight="1">
      <c r="B378" s="2" t="str">
        <f>IF(A378="","",VLOOKUP(A378,ROSTER!$A$2:$F$500,3,FALSE))</f>
        <v/>
      </c>
      <c r="C378" s="2" t="str">
        <f>IF(A378="","",COUNTIF(CARD_LOG!$C:$C,A378))</f>
        <v/>
      </c>
      <c r="D378" s="4" t="str">
        <f>IF(A378="","",IFERROR(AVERAGEIF(CARD_LOG!$C:$C,A378,CARD_LOG!$M:$M),""))</f>
        <v/>
      </c>
      <c r="E378" s="2" t="str">
        <f>IF(A378="","",IF(COUNTIFS(CARD_LOG!$C:$C,A378,CARD_LOG!$L:$L,"Yes",CARD_LOG!$K:$K,"&lt;14")&gt;0,"No","Yes"))</f>
        <v/>
      </c>
      <c r="F378" s="2" t="str">
        <f t="shared" si="1"/>
        <v/>
      </c>
    </row>
    <row r="379" ht="15.75" customHeight="1">
      <c r="B379" s="2" t="str">
        <f>IF(A379="","",VLOOKUP(A379,ROSTER!$A$2:$F$500,3,FALSE))</f>
        <v/>
      </c>
      <c r="C379" s="2" t="str">
        <f>IF(A379="","",COUNTIF(CARD_LOG!$C:$C,A379))</f>
        <v/>
      </c>
      <c r="D379" s="4" t="str">
        <f>IF(A379="","",IFERROR(AVERAGEIF(CARD_LOG!$C:$C,A379,CARD_LOG!$M:$M),""))</f>
        <v/>
      </c>
      <c r="E379" s="2" t="str">
        <f>IF(A379="","",IF(COUNTIFS(CARD_LOG!$C:$C,A379,CARD_LOG!$L:$L,"Yes",CARD_LOG!$K:$K,"&lt;14")&gt;0,"No","Yes"))</f>
        <v/>
      </c>
      <c r="F379" s="2" t="str">
        <f t="shared" si="1"/>
        <v/>
      </c>
    </row>
    <row r="380" ht="15.75" customHeight="1">
      <c r="B380" s="2" t="str">
        <f>IF(A380="","",VLOOKUP(A380,ROSTER!$A$2:$F$500,3,FALSE))</f>
        <v/>
      </c>
      <c r="C380" s="2" t="str">
        <f>IF(A380="","",COUNTIF(CARD_LOG!$C:$C,A380))</f>
        <v/>
      </c>
      <c r="D380" s="4" t="str">
        <f>IF(A380="","",IFERROR(AVERAGEIF(CARD_LOG!$C:$C,A380,CARD_LOG!$M:$M),""))</f>
        <v/>
      </c>
      <c r="E380" s="2" t="str">
        <f>IF(A380="","",IF(COUNTIFS(CARD_LOG!$C:$C,A380,CARD_LOG!$L:$L,"Yes",CARD_LOG!$K:$K,"&lt;14")&gt;0,"No","Yes"))</f>
        <v/>
      </c>
      <c r="F380" s="2" t="str">
        <f t="shared" si="1"/>
        <v/>
      </c>
    </row>
    <row r="381" ht="15.75" customHeight="1">
      <c r="B381" s="2" t="str">
        <f>IF(A381="","",VLOOKUP(A381,ROSTER!$A$2:$F$500,3,FALSE))</f>
        <v/>
      </c>
      <c r="C381" s="2" t="str">
        <f>IF(A381="","",COUNTIF(CARD_LOG!$C:$C,A381))</f>
        <v/>
      </c>
      <c r="D381" s="4" t="str">
        <f>IF(A381="","",IFERROR(AVERAGEIF(CARD_LOG!$C:$C,A381,CARD_LOG!$M:$M),""))</f>
        <v/>
      </c>
      <c r="E381" s="2" t="str">
        <f>IF(A381="","",IF(COUNTIFS(CARD_LOG!$C:$C,A381,CARD_LOG!$L:$L,"Yes",CARD_LOG!$K:$K,"&lt;14")&gt;0,"No","Yes"))</f>
        <v/>
      </c>
      <c r="F381" s="2" t="str">
        <f t="shared" si="1"/>
        <v/>
      </c>
    </row>
    <row r="382" ht="15.75" customHeight="1">
      <c r="B382" s="2" t="str">
        <f>IF(A382="","",VLOOKUP(A382,ROSTER!$A$2:$F$500,3,FALSE))</f>
        <v/>
      </c>
      <c r="C382" s="2" t="str">
        <f>IF(A382="","",COUNTIF(CARD_LOG!$C:$C,A382))</f>
        <v/>
      </c>
      <c r="D382" s="4" t="str">
        <f>IF(A382="","",IFERROR(AVERAGEIF(CARD_LOG!$C:$C,A382,CARD_LOG!$M:$M),""))</f>
        <v/>
      </c>
      <c r="E382" s="2" t="str">
        <f>IF(A382="","",IF(COUNTIFS(CARD_LOG!$C:$C,A382,CARD_LOG!$L:$L,"Yes",CARD_LOG!$K:$K,"&lt;14")&gt;0,"No","Yes"))</f>
        <v/>
      </c>
      <c r="F382" s="2" t="str">
        <f t="shared" si="1"/>
        <v/>
      </c>
    </row>
    <row r="383" ht="15.75" customHeight="1">
      <c r="B383" s="2" t="str">
        <f>IF(A383="","",VLOOKUP(A383,ROSTER!$A$2:$F$500,3,FALSE))</f>
        <v/>
      </c>
      <c r="C383" s="2" t="str">
        <f>IF(A383="","",COUNTIF(CARD_LOG!$C:$C,A383))</f>
        <v/>
      </c>
      <c r="D383" s="4" t="str">
        <f>IF(A383="","",IFERROR(AVERAGEIF(CARD_LOG!$C:$C,A383,CARD_LOG!$M:$M),""))</f>
        <v/>
      </c>
      <c r="E383" s="2" t="str">
        <f>IF(A383="","",IF(COUNTIFS(CARD_LOG!$C:$C,A383,CARD_LOG!$L:$L,"Yes",CARD_LOG!$K:$K,"&lt;14")&gt;0,"No","Yes"))</f>
        <v/>
      </c>
      <c r="F383" s="2" t="str">
        <f t="shared" si="1"/>
        <v/>
      </c>
    </row>
    <row r="384" ht="15.75" customHeight="1">
      <c r="B384" s="2" t="str">
        <f>IF(A384="","",VLOOKUP(A384,ROSTER!$A$2:$F$500,3,FALSE))</f>
        <v/>
      </c>
      <c r="C384" s="2" t="str">
        <f>IF(A384="","",COUNTIF(CARD_LOG!$C:$C,A384))</f>
        <v/>
      </c>
      <c r="D384" s="4" t="str">
        <f>IF(A384="","",IFERROR(AVERAGEIF(CARD_LOG!$C:$C,A384,CARD_LOG!$M:$M),""))</f>
        <v/>
      </c>
      <c r="E384" s="2" t="str">
        <f>IF(A384="","",IF(COUNTIFS(CARD_LOG!$C:$C,A384,CARD_LOG!$L:$L,"Yes",CARD_LOG!$K:$K,"&lt;14")&gt;0,"No","Yes"))</f>
        <v/>
      </c>
      <c r="F384" s="2" t="str">
        <f t="shared" si="1"/>
        <v/>
      </c>
    </row>
    <row r="385" ht="15.75" customHeight="1">
      <c r="B385" s="2" t="str">
        <f>IF(A385="","",VLOOKUP(A385,ROSTER!$A$2:$F$500,3,FALSE))</f>
        <v/>
      </c>
      <c r="C385" s="2" t="str">
        <f>IF(A385="","",COUNTIF(CARD_LOG!$C:$C,A385))</f>
        <v/>
      </c>
      <c r="D385" s="4" t="str">
        <f>IF(A385="","",IFERROR(AVERAGEIF(CARD_LOG!$C:$C,A385,CARD_LOG!$M:$M),""))</f>
        <v/>
      </c>
      <c r="E385" s="2" t="str">
        <f>IF(A385="","",IF(COUNTIFS(CARD_LOG!$C:$C,A385,CARD_LOG!$L:$L,"Yes",CARD_LOG!$K:$K,"&lt;14")&gt;0,"No","Yes"))</f>
        <v/>
      </c>
      <c r="F385" s="2" t="str">
        <f t="shared" si="1"/>
        <v/>
      </c>
    </row>
    <row r="386" ht="15.75" customHeight="1">
      <c r="B386" s="2" t="str">
        <f>IF(A386="","",VLOOKUP(A386,ROSTER!$A$2:$F$500,3,FALSE))</f>
        <v/>
      </c>
      <c r="C386" s="2" t="str">
        <f>IF(A386="","",COUNTIF(CARD_LOG!$C:$C,A386))</f>
        <v/>
      </c>
      <c r="D386" s="4" t="str">
        <f>IF(A386="","",IFERROR(AVERAGEIF(CARD_LOG!$C:$C,A386,CARD_LOG!$M:$M),""))</f>
        <v/>
      </c>
      <c r="E386" s="2" t="str">
        <f>IF(A386="","",IF(COUNTIFS(CARD_LOG!$C:$C,A386,CARD_LOG!$L:$L,"Yes",CARD_LOG!$K:$K,"&lt;14")&gt;0,"No","Yes"))</f>
        <v/>
      </c>
      <c r="F386" s="2" t="str">
        <f t="shared" si="1"/>
        <v/>
      </c>
    </row>
    <row r="387" ht="15.75" customHeight="1">
      <c r="B387" s="2" t="str">
        <f>IF(A387="","",VLOOKUP(A387,ROSTER!$A$2:$F$500,3,FALSE))</f>
        <v/>
      </c>
      <c r="C387" s="2" t="str">
        <f>IF(A387="","",COUNTIF(CARD_LOG!$C:$C,A387))</f>
        <v/>
      </c>
      <c r="D387" s="4" t="str">
        <f>IF(A387="","",IFERROR(AVERAGEIF(CARD_LOG!$C:$C,A387,CARD_LOG!$M:$M),""))</f>
        <v/>
      </c>
      <c r="E387" s="2" t="str">
        <f>IF(A387="","",IF(COUNTIFS(CARD_LOG!$C:$C,A387,CARD_LOG!$L:$L,"Yes",CARD_LOG!$K:$K,"&lt;14")&gt;0,"No","Yes"))</f>
        <v/>
      </c>
      <c r="F387" s="2" t="str">
        <f t="shared" si="1"/>
        <v/>
      </c>
    </row>
    <row r="388" ht="15.75" customHeight="1">
      <c r="B388" s="2" t="str">
        <f>IF(A388="","",VLOOKUP(A388,ROSTER!$A$2:$F$500,3,FALSE))</f>
        <v/>
      </c>
      <c r="C388" s="2" t="str">
        <f>IF(A388="","",COUNTIF(CARD_LOG!$C:$C,A388))</f>
        <v/>
      </c>
      <c r="D388" s="4" t="str">
        <f>IF(A388="","",IFERROR(AVERAGEIF(CARD_LOG!$C:$C,A388,CARD_LOG!$M:$M),""))</f>
        <v/>
      </c>
      <c r="E388" s="2" t="str">
        <f>IF(A388="","",IF(COUNTIFS(CARD_LOG!$C:$C,A388,CARD_LOG!$L:$L,"Yes",CARD_LOG!$K:$K,"&lt;14")&gt;0,"No","Yes"))</f>
        <v/>
      </c>
      <c r="F388" s="2" t="str">
        <f t="shared" si="1"/>
        <v/>
      </c>
    </row>
    <row r="389" ht="15.75" customHeight="1">
      <c r="B389" s="2" t="str">
        <f>IF(A389="","",VLOOKUP(A389,ROSTER!$A$2:$F$500,3,FALSE))</f>
        <v/>
      </c>
      <c r="C389" s="2" t="str">
        <f>IF(A389="","",COUNTIF(CARD_LOG!$C:$C,A389))</f>
        <v/>
      </c>
      <c r="D389" s="4" t="str">
        <f>IF(A389="","",IFERROR(AVERAGEIF(CARD_LOG!$C:$C,A389,CARD_LOG!$M:$M),""))</f>
        <v/>
      </c>
      <c r="E389" s="2" t="str">
        <f>IF(A389="","",IF(COUNTIFS(CARD_LOG!$C:$C,A389,CARD_LOG!$L:$L,"Yes",CARD_LOG!$K:$K,"&lt;14")&gt;0,"No","Yes"))</f>
        <v/>
      </c>
      <c r="F389" s="2" t="str">
        <f t="shared" si="1"/>
        <v/>
      </c>
    </row>
    <row r="390" ht="15.75" customHeight="1">
      <c r="B390" s="2" t="str">
        <f>IF(A390="","",VLOOKUP(A390,ROSTER!$A$2:$F$500,3,FALSE))</f>
        <v/>
      </c>
      <c r="C390" s="2" t="str">
        <f>IF(A390="","",COUNTIF(CARD_LOG!$C:$C,A390))</f>
        <v/>
      </c>
      <c r="D390" s="4" t="str">
        <f>IF(A390="","",IFERROR(AVERAGEIF(CARD_LOG!$C:$C,A390,CARD_LOG!$M:$M),""))</f>
        <v/>
      </c>
      <c r="E390" s="2" t="str">
        <f>IF(A390="","",IF(COUNTIFS(CARD_LOG!$C:$C,A390,CARD_LOG!$L:$L,"Yes",CARD_LOG!$K:$K,"&lt;14")&gt;0,"No","Yes"))</f>
        <v/>
      </c>
      <c r="F390" s="2" t="str">
        <f t="shared" si="1"/>
        <v/>
      </c>
    </row>
    <row r="391" ht="15.75" customHeight="1">
      <c r="B391" s="2" t="str">
        <f>IF(A391="","",VLOOKUP(A391,ROSTER!$A$2:$F$500,3,FALSE))</f>
        <v/>
      </c>
      <c r="C391" s="2" t="str">
        <f>IF(A391="","",COUNTIF(CARD_LOG!$C:$C,A391))</f>
        <v/>
      </c>
      <c r="D391" s="4" t="str">
        <f>IF(A391="","",IFERROR(AVERAGEIF(CARD_LOG!$C:$C,A391,CARD_LOG!$M:$M),""))</f>
        <v/>
      </c>
      <c r="E391" s="2" t="str">
        <f>IF(A391="","",IF(COUNTIFS(CARD_LOG!$C:$C,A391,CARD_LOG!$L:$L,"Yes",CARD_LOG!$K:$K,"&lt;14")&gt;0,"No","Yes"))</f>
        <v/>
      </c>
      <c r="F391" s="2" t="str">
        <f t="shared" si="1"/>
        <v/>
      </c>
    </row>
    <row r="392" ht="15.75" customHeight="1">
      <c r="B392" s="2" t="str">
        <f>IF(A392="","",VLOOKUP(A392,ROSTER!$A$2:$F$500,3,FALSE))</f>
        <v/>
      </c>
      <c r="C392" s="2" t="str">
        <f>IF(A392="","",COUNTIF(CARD_LOG!$C:$C,A392))</f>
        <v/>
      </c>
      <c r="D392" s="4" t="str">
        <f>IF(A392="","",IFERROR(AVERAGEIF(CARD_LOG!$C:$C,A392,CARD_LOG!$M:$M),""))</f>
        <v/>
      </c>
      <c r="E392" s="2" t="str">
        <f>IF(A392="","",IF(COUNTIFS(CARD_LOG!$C:$C,A392,CARD_LOG!$L:$L,"Yes",CARD_LOG!$K:$K,"&lt;14")&gt;0,"No","Yes"))</f>
        <v/>
      </c>
      <c r="F392" s="2" t="str">
        <f t="shared" si="1"/>
        <v/>
      </c>
    </row>
    <row r="393" ht="15.75" customHeight="1">
      <c r="B393" s="2" t="str">
        <f>IF(A393="","",VLOOKUP(A393,ROSTER!$A$2:$F$500,3,FALSE))</f>
        <v/>
      </c>
      <c r="C393" s="2" t="str">
        <f>IF(A393="","",COUNTIF(CARD_LOG!$C:$C,A393))</f>
        <v/>
      </c>
      <c r="D393" s="4" t="str">
        <f>IF(A393="","",IFERROR(AVERAGEIF(CARD_LOG!$C:$C,A393,CARD_LOG!$M:$M),""))</f>
        <v/>
      </c>
      <c r="E393" s="2" t="str">
        <f>IF(A393="","",IF(COUNTIFS(CARD_LOG!$C:$C,A393,CARD_LOG!$L:$L,"Yes",CARD_LOG!$K:$K,"&lt;14")&gt;0,"No","Yes"))</f>
        <v/>
      </c>
      <c r="F393" s="2" t="str">
        <f t="shared" si="1"/>
        <v/>
      </c>
    </row>
    <row r="394" ht="15.75" customHeight="1">
      <c r="B394" s="2" t="str">
        <f>IF(A394="","",VLOOKUP(A394,ROSTER!$A$2:$F$500,3,FALSE))</f>
        <v/>
      </c>
      <c r="C394" s="2" t="str">
        <f>IF(A394="","",COUNTIF(CARD_LOG!$C:$C,A394))</f>
        <v/>
      </c>
      <c r="D394" s="4" t="str">
        <f>IF(A394="","",IFERROR(AVERAGEIF(CARD_LOG!$C:$C,A394,CARD_LOG!$M:$M),""))</f>
        <v/>
      </c>
      <c r="E394" s="2" t="str">
        <f>IF(A394="","",IF(COUNTIFS(CARD_LOG!$C:$C,A394,CARD_LOG!$L:$L,"Yes",CARD_LOG!$K:$K,"&lt;14")&gt;0,"No","Yes"))</f>
        <v/>
      </c>
      <c r="F394" s="2" t="str">
        <f t="shared" si="1"/>
        <v/>
      </c>
    </row>
    <row r="395" ht="15.75" customHeight="1">
      <c r="B395" s="2" t="str">
        <f>IF(A395="","",VLOOKUP(A395,ROSTER!$A$2:$F$500,3,FALSE))</f>
        <v/>
      </c>
      <c r="C395" s="2" t="str">
        <f>IF(A395="","",COUNTIF(CARD_LOG!$C:$C,A395))</f>
        <v/>
      </c>
      <c r="D395" s="4" t="str">
        <f>IF(A395="","",IFERROR(AVERAGEIF(CARD_LOG!$C:$C,A395,CARD_LOG!$M:$M),""))</f>
        <v/>
      </c>
      <c r="E395" s="2" t="str">
        <f>IF(A395="","",IF(COUNTIFS(CARD_LOG!$C:$C,A395,CARD_LOG!$L:$L,"Yes",CARD_LOG!$K:$K,"&lt;14")&gt;0,"No","Yes"))</f>
        <v/>
      </c>
      <c r="F395" s="2" t="str">
        <f t="shared" si="1"/>
        <v/>
      </c>
    </row>
    <row r="396" ht="15.75" customHeight="1">
      <c r="B396" s="2" t="str">
        <f>IF(A396="","",VLOOKUP(A396,ROSTER!$A$2:$F$500,3,FALSE))</f>
        <v/>
      </c>
      <c r="C396" s="2" t="str">
        <f>IF(A396="","",COUNTIF(CARD_LOG!$C:$C,A396))</f>
        <v/>
      </c>
      <c r="D396" s="4" t="str">
        <f>IF(A396="","",IFERROR(AVERAGEIF(CARD_LOG!$C:$C,A396,CARD_LOG!$M:$M),""))</f>
        <v/>
      </c>
      <c r="E396" s="2" t="str">
        <f>IF(A396="","",IF(COUNTIFS(CARD_LOG!$C:$C,A396,CARD_LOG!$L:$L,"Yes",CARD_LOG!$K:$K,"&lt;14")&gt;0,"No","Yes"))</f>
        <v/>
      </c>
      <c r="F396" s="2" t="str">
        <f t="shared" si="1"/>
        <v/>
      </c>
    </row>
    <row r="397" ht="15.75" customHeight="1">
      <c r="B397" s="2" t="str">
        <f>IF(A397="","",VLOOKUP(A397,ROSTER!$A$2:$F$500,3,FALSE))</f>
        <v/>
      </c>
      <c r="C397" s="2" t="str">
        <f>IF(A397="","",COUNTIF(CARD_LOG!$C:$C,A397))</f>
        <v/>
      </c>
      <c r="D397" s="4" t="str">
        <f>IF(A397="","",IFERROR(AVERAGEIF(CARD_LOG!$C:$C,A397,CARD_LOG!$M:$M),""))</f>
        <v/>
      </c>
      <c r="E397" s="2" t="str">
        <f>IF(A397="","",IF(COUNTIFS(CARD_LOG!$C:$C,A397,CARD_LOG!$L:$L,"Yes",CARD_LOG!$K:$K,"&lt;14")&gt;0,"No","Yes"))</f>
        <v/>
      </c>
      <c r="F397" s="2" t="str">
        <f t="shared" si="1"/>
        <v/>
      </c>
    </row>
    <row r="398" ht="15.75" customHeight="1">
      <c r="B398" s="2" t="str">
        <f>IF(A398="","",VLOOKUP(A398,ROSTER!$A$2:$F$500,3,FALSE))</f>
        <v/>
      </c>
      <c r="C398" s="2" t="str">
        <f>IF(A398="","",COUNTIF(CARD_LOG!$C:$C,A398))</f>
        <v/>
      </c>
      <c r="D398" s="4" t="str">
        <f>IF(A398="","",IFERROR(AVERAGEIF(CARD_LOG!$C:$C,A398,CARD_LOG!$M:$M),""))</f>
        <v/>
      </c>
      <c r="E398" s="2" t="str">
        <f>IF(A398="","",IF(COUNTIFS(CARD_LOG!$C:$C,A398,CARD_LOG!$L:$L,"Yes",CARD_LOG!$K:$K,"&lt;14")&gt;0,"No","Yes"))</f>
        <v/>
      </c>
      <c r="F398" s="2" t="str">
        <f t="shared" si="1"/>
        <v/>
      </c>
    </row>
    <row r="399" ht="15.75" customHeight="1">
      <c r="B399" s="2" t="str">
        <f>IF(A399="","",VLOOKUP(A399,ROSTER!$A$2:$F$500,3,FALSE))</f>
        <v/>
      </c>
      <c r="C399" s="2" t="str">
        <f>IF(A399="","",COUNTIF(CARD_LOG!$C:$C,A399))</f>
        <v/>
      </c>
      <c r="D399" s="4" t="str">
        <f>IF(A399="","",IFERROR(AVERAGEIF(CARD_LOG!$C:$C,A399,CARD_LOG!$M:$M),""))</f>
        <v/>
      </c>
      <c r="E399" s="2" t="str">
        <f>IF(A399="","",IF(COUNTIFS(CARD_LOG!$C:$C,A399,CARD_LOG!$L:$L,"Yes",CARD_LOG!$K:$K,"&lt;14")&gt;0,"No","Yes"))</f>
        <v/>
      </c>
      <c r="F399" s="2" t="str">
        <f t="shared" si="1"/>
        <v/>
      </c>
    </row>
    <row r="400" ht="15.75" customHeight="1">
      <c r="B400" s="2" t="str">
        <f>IF(A400="","",VLOOKUP(A400,ROSTER!$A$2:$F$500,3,FALSE))</f>
        <v/>
      </c>
      <c r="C400" s="2" t="str">
        <f>IF(A400="","",COUNTIF(CARD_LOG!$C:$C,A400))</f>
        <v/>
      </c>
      <c r="D400" s="4" t="str">
        <f>IF(A400="","",IFERROR(AVERAGEIF(CARD_LOG!$C:$C,A400,CARD_LOG!$M:$M),""))</f>
        <v/>
      </c>
      <c r="E400" s="2" t="str">
        <f>IF(A400="","",IF(COUNTIFS(CARD_LOG!$C:$C,A400,CARD_LOG!$L:$L,"Yes",CARD_LOG!$K:$K,"&lt;14")&gt;0,"No","Yes"))</f>
        <v/>
      </c>
      <c r="F400" s="2" t="str">
        <f t="shared" si="1"/>
        <v/>
      </c>
    </row>
    <row r="401" ht="15.75" customHeight="1">
      <c r="B401" s="2" t="str">
        <f>IF(A401="","",VLOOKUP(A401,ROSTER!$A$2:$F$500,3,FALSE))</f>
        <v/>
      </c>
      <c r="C401" s="2" t="str">
        <f>IF(A401="","",COUNTIF(CARD_LOG!$C:$C,A401))</f>
        <v/>
      </c>
      <c r="D401" s="4" t="str">
        <f>IF(A401="","",IFERROR(AVERAGEIF(CARD_LOG!$C:$C,A401,CARD_LOG!$M:$M),""))</f>
        <v/>
      </c>
      <c r="E401" s="2" t="str">
        <f>IF(A401="","",IF(COUNTIFS(CARD_LOG!$C:$C,A401,CARD_LOG!$L:$L,"Yes",CARD_LOG!$K:$K,"&lt;14")&gt;0,"No","Yes"))</f>
        <v/>
      </c>
      <c r="F401" s="2" t="str">
        <f t="shared" si="1"/>
        <v/>
      </c>
    </row>
    <row r="402" ht="15.75" customHeight="1">
      <c r="B402" s="2" t="str">
        <f>IF(A402="","",VLOOKUP(A402,ROSTER!$A$2:$F$500,3,FALSE))</f>
        <v/>
      </c>
      <c r="C402" s="2" t="str">
        <f>IF(A402="","",COUNTIF(CARD_LOG!$C:$C,A402))</f>
        <v/>
      </c>
      <c r="D402" s="4" t="str">
        <f>IF(A402="","",IFERROR(AVERAGEIF(CARD_LOG!$C:$C,A402,CARD_LOG!$M:$M),""))</f>
        <v/>
      </c>
      <c r="E402" s="2" t="str">
        <f>IF(A402="","",IF(COUNTIFS(CARD_LOG!$C:$C,A402,CARD_LOG!$L:$L,"Yes",CARD_LOG!$K:$K,"&lt;14")&gt;0,"No","Yes"))</f>
        <v/>
      </c>
      <c r="F402" s="2" t="str">
        <f t="shared" si="1"/>
        <v/>
      </c>
    </row>
    <row r="403" ht="15.75" customHeight="1">
      <c r="B403" s="2" t="str">
        <f>IF(A403="","",VLOOKUP(A403,ROSTER!$A$2:$F$500,3,FALSE))</f>
        <v/>
      </c>
      <c r="C403" s="2" t="str">
        <f>IF(A403="","",COUNTIF(CARD_LOG!$C:$C,A403))</f>
        <v/>
      </c>
      <c r="D403" s="4" t="str">
        <f>IF(A403="","",IFERROR(AVERAGEIF(CARD_LOG!$C:$C,A403,CARD_LOG!$M:$M),""))</f>
        <v/>
      </c>
      <c r="E403" s="2" t="str">
        <f>IF(A403="","",IF(COUNTIFS(CARD_LOG!$C:$C,A403,CARD_LOG!$L:$L,"Yes",CARD_LOG!$K:$K,"&lt;14")&gt;0,"No","Yes"))</f>
        <v/>
      </c>
      <c r="F403" s="2" t="str">
        <f t="shared" si="1"/>
        <v/>
      </c>
    </row>
    <row r="404" ht="15.75" customHeight="1">
      <c r="B404" s="2" t="str">
        <f>IF(A404="","",VLOOKUP(A404,ROSTER!$A$2:$F$500,3,FALSE))</f>
        <v/>
      </c>
      <c r="C404" s="2" t="str">
        <f>IF(A404="","",COUNTIF(CARD_LOG!$C:$C,A404))</f>
        <v/>
      </c>
      <c r="D404" s="4" t="str">
        <f>IF(A404="","",IFERROR(AVERAGEIF(CARD_LOG!$C:$C,A404,CARD_LOG!$M:$M),""))</f>
        <v/>
      </c>
      <c r="E404" s="2" t="str">
        <f>IF(A404="","",IF(COUNTIFS(CARD_LOG!$C:$C,A404,CARD_LOG!$L:$L,"Yes",CARD_LOG!$K:$K,"&lt;14")&gt;0,"No","Yes"))</f>
        <v/>
      </c>
      <c r="F404" s="2" t="str">
        <f t="shared" si="1"/>
        <v/>
      </c>
    </row>
    <row r="405" ht="15.75" customHeight="1">
      <c r="B405" s="2" t="str">
        <f>IF(A405="","",VLOOKUP(A405,ROSTER!$A$2:$F$500,3,FALSE))</f>
        <v/>
      </c>
      <c r="C405" s="2" t="str">
        <f>IF(A405="","",COUNTIF(CARD_LOG!$C:$C,A405))</f>
        <v/>
      </c>
      <c r="D405" s="4" t="str">
        <f>IF(A405="","",IFERROR(AVERAGEIF(CARD_LOG!$C:$C,A405,CARD_LOG!$M:$M),""))</f>
        <v/>
      </c>
      <c r="E405" s="2" t="str">
        <f>IF(A405="","",IF(COUNTIFS(CARD_LOG!$C:$C,A405,CARD_LOG!$L:$L,"Yes",CARD_LOG!$K:$K,"&lt;14")&gt;0,"No","Yes"))</f>
        <v/>
      </c>
      <c r="F405" s="2" t="str">
        <f t="shared" si="1"/>
        <v/>
      </c>
    </row>
    <row r="406" ht="15.75" customHeight="1">
      <c r="B406" s="2" t="str">
        <f>IF(A406="","",VLOOKUP(A406,ROSTER!$A$2:$F$500,3,FALSE))</f>
        <v/>
      </c>
      <c r="C406" s="2" t="str">
        <f>IF(A406="","",COUNTIF(CARD_LOG!$C:$C,A406))</f>
        <v/>
      </c>
      <c r="D406" s="4" t="str">
        <f>IF(A406="","",IFERROR(AVERAGEIF(CARD_LOG!$C:$C,A406,CARD_LOG!$M:$M),""))</f>
        <v/>
      </c>
      <c r="E406" s="2" t="str">
        <f>IF(A406="","",IF(COUNTIFS(CARD_LOG!$C:$C,A406,CARD_LOG!$L:$L,"Yes",CARD_LOG!$K:$K,"&lt;14")&gt;0,"No","Yes"))</f>
        <v/>
      </c>
      <c r="F406" s="2" t="str">
        <f t="shared" si="1"/>
        <v/>
      </c>
    </row>
    <row r="407" ht="15.75" customHeight="1">
      <c r="B407" s="2" t="str">
        <f>IF(A407="","",VLOOKUP(A407,ROSTER!$A$2:$F$500,3,FALSE))</f>
        <v/>
      </c>
      <c r="C407" s="2" t="str">
        <f>IF(A407="","",COUNTIF(CARD_LOG!$C:$C,A407))</f>
        <v/>
      </c>
      <c r="D407" s="4" t="str">
        <f>IF(A407="","",IFERROR(AVERAGEIF(CARD_LOG!$C:$C,A407,CARD_LOG!$M:$M),""))</f>
        <v/>
      </c>
      <c r="E407" s="2" t="str">
        <f>IF(A407="","",IF(COUNTIFS(CARD_LOG!$C:$C,A407,CARD_LOG!$L:$L,"Yes",CARD_LOG!$K:$K,"&lt;14")&gt;0,"No","Yes"))</f>
        <v/>
      </c>
      <c r="F407" s="2" t="str">
        <f t="shared" si="1"/>
        <v/>
      </c>
    </row>
    <row r="408" ht="15.75" customHeight="1">
      <c r="B408" s="2" t="str">
        <f>IF(A408="","",VLOOKUP(A408,ROSTER!$A$2:$F$500,3,FALSE))</f>
        <v/>
      </c>
      <c r="C408" s="2" t="str">
        <f>IF(A408="","",COUNTIF(CARD_LOG!$C:$C,A408))</f>
        <v/>
      </c>
      <c r="D408" s="4" t="str">
        <f>IF(A408="","",IFERROR(AVERAGEIF(CARD_LOG!$C:$C,A408,CARD_LOG!$M:$M),""))</f>
        <v/>
      </c>
      <c r="E408" s="2" t="str">
        <f>IF(A408="","",IF(COUNTIFS(CARD_LOG!$C:$C,A408,CARD_LOG!$L:$L,"Yes",CARD_LOG!$K:$K,"&lt;14")&gt;0,"No","Yes"))</f>
        <v/>
      </c>
      <c r="F408" s="2" t="str">
        <f t="shared" si="1"/>
        <v/>
      </c>
    </row>
    <row r="409" ht="15.75" customHeight="1">
      <c r="B409" s="2" t="str">
        <f>IF(A409="","",VLOOKUP(A409,ROSTER!$A$2:$F$500,3,FALSE))</f>
        <v/>
      </c>
      <c r="C409" s="2" t="str">
        <f>IF(A409="","",COUNTIF(CARD_LOG!$C:$C,A409))</f>
        <v/>
      </c>
      <c r="D409" s="4" t="str">
        <f>IF(A409="","",IFERROR(AVERAGEIF(CARD_LOG!$C:$C,A409,CARD_LOG!$M:$M),""))</f>
        <v/>
      </c>
      <c r="E409" s="2" t="str">
        <f>IF(A409="","",IF(COUNTIFS(CARD_LOG!$C:$C,A409,CARD_LOG!$L:$L,"Yes",CARD_LOG!$K:$K,"&lt;14")&gt;0,"No","Yes"))</f>
        <v/>
      </c>
      <c r="F409" s="2" t="str">
        <f t="shared" si="1"/>
        <v/>
      </c>
    </row>
    <row r="410" ht="15.75" customHeight="1">
      <c r="B410" s="2" t="str">
        <f>IF(A410="","",VLOOKUP(A410,ROSTER!$A$2:$F$500,3,FALSE))</f>
        <v/>
      </c>
      <c r="C410" s="2" t="str">
        <f>IF(A410="","",COUNTIF(CARD_LOG!$C:$C,A410))</f>
        <v/>
      </c>
      <c r="D410" s="4" t="str">
        <f>IF(A410="","",IFERROR(AVERAGEIF(CARD_LOG!$C:$C,A410,CARD_LOG!$M:$M),""))</f>
        <v/>
      </c>
      <c r="E410" s="2" t="str">
        <f>IF(A410="","",IF(COUNTIFS(CARD_LOG!$C:$C,A410,CARD_LOG!$L:$L,"Yes",CARD_LOG!$K:$K,"&lt;14")&gt;0,"No","Yes"))</f>
        <v/>
      </c>
      <c r="F410" s="2" t="str">
        <f t="shared" si="1"/>
        <v/>
      </c>
    </row>
    <row r="411" ht="15.75" customHeight="1">
      <c r="B411" s="2" t="str">
        <f>IF(A411="","",VLOOKUP(A411,ROSTER!$A$2:$F$500,3,FALSE))</f>
        <v/>
      </c>
      <c r="C411" s="2" t="str">
        <f>IF(A411="","",COUNTIF(CARD_LOG!$C:$C,A411))</f>
        <v/>
      </c>
      <c r="D411" s="4" t="str">
        <f>IF(A411="","",IFERROR(AVERAGEIF(CARD_LOG!$C:$C,A411,CARD_LOG!$M:$M),""))</f>
        <v/>
      </c>
      <c r="E411" s="2" t="str">
        <f>IF(A411="","",IF(COUNTIFS(CARD_LOG!$C:$C,A411,CARD_LOG!$L:$L,"Yes",CARD_LOG!$K:$K,"&lt;14")&gt;0,"No","Yes"))</f>
        <v/>
      </c>
      <c r="F411" s="2" t="str">
        <f t="shared" si="1"/>
        <v/>
      </c>
    </row>
    <row r="412" ht="15.75" customHeight="1">
      <c r="B412" s="2" t="str">
        <f>IF(A412="","",VLOOKUP(A412,ROSTER!$A$2:$F$500,3,FALSE))</f>
        <v/>
      </c>
      <c r="C412" s="2" t="str">
        <f>IF(A412="","",COUNTIF(CARD_LOG!$C:$C,A412))</f>
        <v/>
      </c>
      <c r="D412" s="4" t="str">
        <f>IF(A412="","",IFERROR(AVERAGEIF(CARD_LOG!$C:$C,A412,CARD_LOG!$M:$M),""))</f>
        <v/>
      </c>
      <c r="E412" s="2" t="str">
        <f>IF(A412="","",IF(COUNTIFS(CARD_LOG!$C:$C,A412,CARD_LOG!$L:$L,"Yes",CARD_LOG!$K:$K,"&lt;14")&gt;0,"No","Yes"))</f>
        <v/>
      </c>
      <c r="F412" s="2" t="str">
        <f t="shared" si="1"/>
        <v/>
      </c>
    </row>
    <row r="413" ht="15.75" customHeight="1">
      <c r="B413" s="2" t="str">
        <f>IF(A413="","",VLOOKUP(A413,ROSTER!$A$2:$F$500,3,FALSE))</f>
        <v/>
      </c>
      <c r="C413" s="2" t="str">
        <f>IF(A413="","",COUNTIF(CARD_LOG!$C:$C,A413))</f>
        <v/>
      </c>
      <c r="D413" s="4" t="str">
        <f>IF(A413="","",IFERROR(AVERAGEIF(CARD_LOG!$C:$C,A413,CARD_LOG!$M:$M),""))</f>
        <v/>
      </c>
      <c r="E413" s="2" t="str">
        <f>IF(A413="","",IF(COUNTIFS(CARD_LOG!$C:$C,A413,CARD_LOG!$L:$L,"Yes",CARD_LOG!$K:$K,"&lt;14")&gt;0,"No","Yes"))</f>
        <v/>
      </c>
      <c r="F413" s="2" t="str">
        <f t="shared" si="1"/>
        <v/>
      </c>
    </row>
    <row r="414" ht="15.75" customHeight="1">
      <c r="B414" s="2" t="str">
        <f>IF(A414="","",VLOOKUP(A414,ROSTER!$A$2:$F$500,3,FALSE))</f>
        <v/>
      </c>
      <c r="C414" s="2" t="str">
        <f>IF(A414="","",COUNTIF(CARD_LOG!$C:$C,A414))</f>
        <v/>
      </c>
      <c r="D414" s="4" t="str">
        <f>IF(A414="","",IFERROR(AVERAGEIF(CARD_LOG!$C:$C,A414,CARD_LOG!$M:$M),""))</f>
        <v/>
      </c>
      <c r="E414" s="2" t="str">
        <f>IF(A414="","",IF(COUNTIFS(CARD_LOG!$C:$C,A414,CARD_LOG!$L:$L,"Yes",CARD_LOG!$K:$K,"&lt;14")&gt;0,"No","Yes"))</f>
        <v/>
      </c>
      <c r="F414" s="2" t="str">
        <f t="shared" si="1"/>
        <v/>
      </c>
    </row>
    <row r="415" ht="15.75" customHeight="1">
      <c r="B415" s="2" t="str">
        <f>IF(A415="","",VLOOKUP(A415,ROSTER!$A$2:$F$500,3,FALSE))</f>
        <v/>
      </c>
      <c r="C415" s="2" t="str">
        <f>IF(A415="","",COUNTIF(CARD_LOG!$C:$C,A415))</f>
        <v/>
      </c>
      <c r="D415" s="4" t="str">
        <f>IF(A415="","",IFERROR(AVERAGEIF(CARD_LOG!$C:$C,A415,CARD_LOG!$M:$M),""))</f>
        <v/>
      </c>
      <c r="E415" s="2" t="str">
        <f>IF(A415="","",IF(COUNTIFS(CARD_LOG!$C:$C,A415,CARD_LOG!$L:$L,"Yes",CARD_LOG!$K:$K,"&lt;14")&gt;0,"No","Yes"))</f>
        <v/>
      </c>
      <c r="F415" s="2" t="str">
        <f t="shared" si="1"/>
        <v/>
      </c>
    </row>
    <row r="416" ht="15.75" customHeight="1">
      <c r="B416" s="2" t="str">
        <f>IF(A416="","",VLOOKUP(A416,ROSTER!$A$2:$F$500,3,FALSE))</f>
        <v/>
      </c>
      <c r="C416" s="2" t="str">
        <f>IF(A416="","",COUNTIF(CARD_LOG!$C:$C,A416))</f>
        <v/>
      </c>
      <c r="D416" s="4" t="str">
        <f>IF(A416="","",IFERROR(AVERAGEIF(CARD_LOG!$C:$C,A416,CARD_LOG!$M:$M),""))</f>
        <v/>
      </c>
      <c r="E416" s="2" t="str">
        <f>IF(A416="","",IF(COUNTIFS(CARD_LOG!$C:$C,A416,CARD_LOG!$L:$L,"Yes",CARD_LOG!$K:$K,"&lt;14")&gt;0,"No","Yes"))</f>
        <v/>
      </c>
      <c r="F416" s="2" t="str">
        <f t="shared" si="1"/>
        <v/>
      </c>
    </row>
    <row r="417" ht="15.75" customHeight="1">
      <c r="B417" s="2" t="str">
        <f>IF(A417="","",VLOOKUP(A417,ROSTER!$A$2:$F$500,3,FALSE))</f>
        <v/>
      </c>
      <c r="C417" s="2" t="str">
        <f>IF(A417="","",COUNTIF(CARD_LOG!$C:$C,A417))</f>
        <v/>
      </c>
      <c r="D417" s="4" t="str">
        <f>IF(A417="","",IFERROR(AVERAGEIF(CARD_LOG!$C:$C,A417,CARD_LOG!$M:$M),""))</f>
        <v/>
      </c>
      <c r="E417" s="2" t="str">
        <f>IF(A417="","",IF(COUNTIFS(CARD_LOG!$C:$C,A417,CARD_LOG!$L:$L,"Yes",CARD_LOG!$K:$K,"&lt;14")&gt;0,"No","Yes"))</f>
        <v/>
      </c>
      <c r="F417" s="2" t="str">
        <f t="shared" si="1"/>
        <v/>
      </c>
    </row>
    <row r="418" ht="15.75" customHeight="1">
      <c r="B418" s="2" t="str">
        <f>IF(A418="","",VLOOKUP(A418,ROSTER!$A$2:$F$500,3,FALSE))</f>
        <v/>
      </c>
      <c r="C418" s="2" t="str">
        <f>IF(A418="","",COUNTIF(CARD_LOG!$C:$C,A418))</f>
        <v/>
      </c>
      <c r="D418" s="4" t="str">
        <f>IF(A418="","",IFERROR(AVERAGEIF(CARD_LOG!$C:$C,A418,CARD_LOG!$M:$M),""))</f>
        <v/>
      </c>
      <c r="E418" s="2" t="str">
        <f>IF(A418="","",IF(COUNTIFS(CARD_LOG!$C:$C,A418,CARD_LOG!$L:$L,"Yes",CARD_LOG!$K:$K,"&lt;14")&gt;0,"No","Yes"))</f>
        <v/>
      </c>
      <c r="F418" s="2" t="str">
        <f t="shared" si="1"/>
        <v/>
      </c>
    </row>
    <row r="419" ht="15.75" customHeight="1">
      <c r="B419" s="2" t="str">
        <f>IF(A419="","",VLOOKUP(A419,ROSTER!$A$2:$F$500,3,FALSE))</f>
        <v/>
      </c>
      <c r="C419" s="2" t="str">
        <f>IF(A419="","",COUNTIF(CARD_LOG!$C:$C,A419))</f>
        <v/>
      </c>
      <c r="D419" s="4" t="str">
        <f>IF(A419="","",IFERROR(AVERAGEIF(CARD_LOG!$C:$C,A419,CARD_LOG!$M:$M),""))</f>
        <v/>
      </c>
      <c r="E419" s="2" t="str">
        <f>IF(A419="","",IF(COUNTIFS(CARD_LOG!$C:$C,A419,CARD_LOG!$L:$L,"Yes",CARD_LOG!$K:$K,"&lt;14")&gt;0,"No","Yes"))</f>
        <v/>
      </c>
      <c r="F419" s="2" t="str">
        <f t="shared" si="1"/>
        <v/>
      </c>
    </row>
    <row r="420" ht="15.75" customHeight="1">
      <c r="B420" s="2" t="str">
        <f>IF(A420="","",VLOOKUP(A420,ROSTER!$A$2:$F$500,3,FALSE))</f>
        <v/>
      </c>
      <c r="C420" s="2" t="str">
        <f>IF(A420="","",COUNTIF(CARD_LOG!$C:$C,A420))</f>
        <v/>
      </c>
      <c r="D420" s="4" t="str">
        <f>IF(A420="","",IFERROR(AVERAGEIF(CARD_LOG!$C:$C,A420,CARD_LOG!$M:$M),""))</f>
        <v/>
      </c>
      <c r="E420" s="2" t="str">
        <f>IF(A420="","",IF(COUNTIFS(CARD_LOG!$C:$C,A420,CARD_LOG!$L:$L,"Yes",CARD_LOG!$K:$K,"&lt;14")&gt;0,"No","Yes"))</f>
        <v/>
      </c>
      <c r="F420" s="2" t="str">
        <f t="shared" si="1"/>
        <v/>
      </c>
    </row>
    <row r="421" ht="15.75" customHeight="1">
      <c r="B421" s="2" t="str">
        <f>IF(A421="","",VLOOKUP(A421,ROSTER!$A$2:$F$500,3,FALSE))</f>
        <v/>
      </c>
      <c r="C421" s="2" t="str">
        <f>IF(A421="","",COUNTIF(CARD_LOG!$C:$C,A421))</f>
        <v/>
      </c>
      <c r="D421" s="4" t="str">
        <f>IF(A421="","",IFERROR(AVERAGEIF(CARD_LOG!$C:$C,A421,CARD_LOG!$M:$M),""))</f>
        <v/>
      </c>
      <c r="E421" s="2" t="str">
        <f>IF(A421="","",IF(COUNTIFS(CARD_LOG!$C:$C,A421,CARD_LOG!$L:$L,"Yes",CARD_LOG!$K:$K,"&lt;14")&gt;0,"No","Yes"))</f>
        <v/>
      </c>
      <c r="F421" s="2" t="str">
        <f t="shared" si="1"/>
        <v/>
      </c>
    </row>
    <row r="422" ht="15.75" customHeight="1">
      <c r="B422" s="2" t="str">
        <f>IF(A422="","",VLOOKUP(A422,ROSTER!$A$2:$F$500,3,FALSE))</f>
        <v/>
      </c>
      <c r="C422" s="2" t="str">
        <f>IF(A422="","",COUNTIF(CARD_LOG!$C:$C,A422))</f>
        <v/>
      </c>
      <c r="D422" s="4" t="str">
        <f>IF(A422="","",IFERROR(AVERAGEIF(CARD_LOG!$C:$C,A422,CARD_LOG!$M:$M),""))</f>
        <v/>
      </c>
      <c r="E422" s="2" t="str">
        <f>IF(A422="","",IF(COUNTIFS(CARD_LOG!$C:$C,A422,CARD_LOG!$L:$L,"Yes",CARD_LOG!$K:$K,"&lt;14")&gt;0,"No","Yes"))</f>
        <v/>
      </c>
      <c r="F422" s="2" t="str">
        <f t="shared" si="1"/>
        <v/>
      </c>
    </row>
    <row r="423" ht="15.75" customHeight="1">
      <c r="B423" s="2" t="str">
        <f>IF(A423="","",VLOOKUP(A423,ROSTER!$A$2:$F$500,3,FALSE))</f>
        <v/>
      </c>
      <c r="C423" s="2" t="str">
        <f>IF(A423="","",COUNTIF(CARD_LOG!$C:$C,A423))</f>
        <v/>
      </c>
      <c r="D423" s="4" t="str">
        <f>IF(A423="","",IFERROR(AVERAGEIF(CARD_LOG!$C:$C,A423,CARD_LOG!$M:$M),""))</f>
        <v/>
      </c>
      <c r="E423" s="2" t="str">
        <f>IF(A423="","",IF(COUNTIFS(CARD_LOG!$C:$C,A423,CARD_LOG!$L:$L,"Yes",CARD_LOG!$K:$K,"&lt;14")&gt;0,"No","Yes"))</f>
        <v/>
      </c>
      <c r="F423" s="2" t="str">
        <f t="shared" si="1"/>
        <v/>
      </c>
    </row>
    <row r="424" ht="15.75" customHeight="1">
      <c r="B424" s="2" t="str">
        <f>IF(A424="","",VLOOKUP(A424,ROSTER!$A$2:$F$500,3,FALSE))</f>
        <v/>
      </c>
      <c r="C424" s="2" t="str">
        <f>IF(A424="","",COUNTIF(CARD_LOG!$C:$C,A424))</f>
        <v/>
      </c>
      <c r="D424" s="4" t="str">
        <f>IF(A424="","",IFERROR(AVERAGEIF(CARD_LOG!$C:$C,A424,CARD_LOG!$M:$M),""))</f>
        <v/>
      </c>
      <c r="E424" s="2" t="str">
        <f>IF(A424="","",IF(COUNTIFS(CARD_LOG!$C:$C,A424,CARD_LOG!$L:$L,"Yes",CARD_LOG!$K:$K,"&lt;14")&gt;0,"No","Yes"))</f>
        <v/>
      </c>
      <c r="F424" s="2" t="str">
        <f t="shared" si="1"/>
        <v/>
      </c>
    </row>
    <row r="425" ht="15.75" customHeight="1">
      <c r="B425" s="2" t="str">
        <f>IF(A425="","",VLOOKUP(A425,ROSTER!$A$2:$F$500,3,FALSE))</f>
        <v/>
      </c>
      <c r="C425" s="2" t="str">
        <f>IF(A425="","",COUNTIF(CARD_LOG!$C:$C,A425))</f>
        <v/>
      </c>
      <c r="D425" s="4" t="str">
        <f>IF(A425="","",IFERROR(AVERAGEIF(CARD_LOG!$C:$C,A425,CARD_LOG!$M:$M),""))</f>
        <v/>
      </c>
      <c r="E425" s="2" t="str">
        <f>IF(A425="","",IF(COUNTIFS(CARD_LOG!$C:$C,A425,CARD_LOG!$L:$L,"Yes",CARD_LOG!$K:$K,"&lt;14")&gt;0,"No","Yes"))</f>
        <v/>
      </c>
      <c r="F425" s="2" t="str">
        <f t="shared" si="1"/>
        <v/>
      </c>
    </row>
    <row r="426" ht="15.75" customHeight="1">
      <c r="B426" s="2" t="str">
        <f>IF(A426="","",VLOOKUP(A426,ROSTER!$A$2:$F$500,3,FALSE))</f>
        <v/>
      </c>
      <c r="C426" s="2" t="str">
        <f>IF(A426="","",COUNTIF(CARD_LOG!$C:$C,A426))</f>
        <v/>
      </c>
      <c r="D426" s="4" t="str">
        <f>IF(A426="","",IFERROR(AVERAGEIF(CARD_LOG!$C:$C,A426,CARD_LOG!$M:$M),""))</f>
        <v/>
      </c>
      <c r="E426" s="2" t="str">
        <f>IF(A426="","",IF(COUNTIFS(CARD_LOG!$C:$C,A426,CARD_LOG!$L:$L,"Yes",CARD_LOG!$K:$K,"&lt;14")&gt;0,"No","Yes"))</f>
        <v/>
      </c>
      <c r="F426" s="2" t="str">
        <f t="shared" si="1"/>
        <v/>
      </c>
    </row>
    <row r="427" ht="15.75" customHeight="1">
      <c r="B427" s="2" t="str">
        <f>IF(A427="","",VLOOKUP(A427,ROSTER!$A$2:$F$500,3,FALSE))</f>
        <v/>
      </c>
      <c r="C427" s="2" t="str">
        <f>IF(A427="","",COUNTIF(CARD_LOG!$C:$C,A427))</f>
        <v/>
      </c>
      <c r="D427" s="4" t="str">
        <f>IF(A427="","",IFERROR(AVERAGEIF(CARD_LOG!$C:$C,A427,CARD_LOG!$M:$M),""))</f>
        <v/>
      </c>
      <c r="E427" s="2" t="str">
        <f>IF(A427="","",IF(COUNTIFS(CARD_LOG!$C:$C,A427,CARD_LOG!$L:$L,"Yes",CARD_LOG!$K:$K,"&lt;14")&gt;0,"No","Yes"))</f>
        <v/>
      </c>
      <c r="F427" s="2" t="str">
        <f t="shared" si="1"/>
        <v/>
      </c>
    </row>
    <row r="428" ht="15.75" customHeight="1">
      <c r="B428" s="2" t="str">
        <f>IF(A428="","",VLOOKUP(A428,ROSTER!$A$2:$F$500,3,FALSE))</f>
        <v/>
      </c>
      <c r="C428" s="2" t="str">
        <f>IF(A428="","",COUNTIF(CARD_LOG!$C:$C,A428))</f>
        <v/>
      </c>
      <c r="D428" s="4" t="str">
        <f>IF(A428="","",IFERROR(AVERAGEIF(CARD_LOG!$C:$C,A428,CARD_LOG!$M:$M),""))</f>
        <v/>
      </c>
      <c r="E428" s="2" t="str">
        <f>IF(A428="","",IF(COUNTIFS(CARD_LOG!$C:$C,A428,CARD_LOG!$L:$L,"Yes",CARD_LOG!$K:$K,"&lt;14")&gt;0,"No","Yes"))</f>
        <v/>
      </c>
      <c r="F428" s="2" t="str">
        <f t="shared" si="1"/>
        <v/>
      </c>
    </row>
    <row r="429" ht="15.75" customHeight="1">
      <c r="B429" s="2" t="str">
        <f>IF(A429="","",VLOOKUP(A429,ROSTER!$A$2:$F$500,3,FALSE))</f>
        <v/>
      </c>
      <c r="C429" s="2" t="str">
        <f>IF(A429="","",COUNTIF(CARD_LOG!$C:$C,A429))</f>
        <v/>
      </c>
      <c r="D429" s="4" t="str">
        <f>IF(A429="","",IFERROR(AVERAGEIF(CARD_LOG!$C:$C,A429,CARD_LOG!$M:$M),""))</f>
        <v/>
      </c>
      <c r="E429" s="2" t="str">
        <f>IF(A429="","",IF(COUNTIFS(CARD_LOG!$C:$C,A429,CARD_LOG!$L:$L,"Yes",CARD_LOG!$K:$K,"&lt;14")&gt;0,"No","Yes"))</f>
        <v/>
      </c>
      <c r="F429" s="2" t="str">
        <f t="shared" si="1"/>
        <v/>
      </c>
    </row>
    <row r="430" ht="15.75" customHeight="1">
      <c r="B430" s="2" t="str">
        <f>IF(A430="","",VLOOKUP(A430,ROSTER!$A$2:$F$500,3,FALSE))</f>
        <v/>
      </c>
      <c r="C430" s="2" t="str">
        <f>IF(A430="","",COUNTIF(CARD_LOG!$C:$C,A430))</f>
        <v/>
      </c>
      <c r="D430" s="4" t="str">
        <f>IF(A430="","",IFERROR(AVERAGEIF(CARD_LOG!$C:$C,A430,CARD_LOG!$M:$M),""))</f>
        <v/>
      </c>
      <c r="E430" s="2" t="str">
        <f>IF(A430="","",IF(COUNTIFS(CARD_LOG!$C:$C,A430,CARD_LOG!$L:$L,"Yes",CARD_LOG!$K:$K,"&lt;14")&gt;0,"No","Yes"))</f>
        <v/>
      </c>
      <c r="F430" s="2" t="str">
        <f t="shared" si="1"/>
        <v/>
      </c>
    </row>
    <row r="431" ht="15.75" customHeight="1">
      <c r="B431" s="2" t="str">
        <f>IF(A431="","",VLOOKUP(A431,ROSTER!$A$2:$F$500,3,FALSE))</f>
        <v/>
      </c>
      <c r="C431" s="2" t="str">
        <f>IF(A431="","",COUNTIF(CARD_LOG!$C:$C,A431))</f>
        <v/>
      </c>
      <c r="D431" s="4" t="str">
        <f>IF(A431="","",IFERROR(AVERAGEIF(CARD_LOG!$C:$C,A431,CARD_LOG!$M:$M),""))</f>
        <v/>
      </c>
      <c r="E431" s="2" t="str">
        <f>IF(A431="","",IF(COUNTIFS(CARD_LOG!$C:$C,A431,CARD_LOG!$L:$L,"Yes",CARD_LOG!$K:$K,"&lt;14")&gt;0,"No","Yes"))</f>
        <v/>
      </c>
      <c r="F431" s="2" t="str">
        <f t="shared" si="1"/>
        <v/>
      </c>
    </row>
    <row r="432" ht="15.75" customHeight="1">
      <c r="B432" s="2" t="str">
        <f>IF(A432="","",VLOOKUP(A432,ROSTER!$A$2:$F$500,3,FALSE))</f>
        <v/>
      </c>
      <c r="C432" s="2" t="str">
        <f>IF(A432="","",COUNTIF(CARD_LOG!$C:$C,A432))</f>
        <v/>
      </c>
      <c r="D432" s="4" t="str">
        <f>IF(A432="","",IFERROR(AVERAGEIF(CARD_LOG!$C:$C,A432,CARD_LOG!$M:$M),""))</f>
        <v/>
      </c>
      <c r="E432" s="2" t="str">
        <f>IF(A432="","",IF(COUNTIFS(CARD_LOG!$C:$C,A432,CARD_LOG!$L:$L,"Yes",CARD_LOG!$K:$K,"&lt;14")&gt;0,"No","Yes"))</f>
        <v/>
      </c>
      <c r="F432" s="2" t="str">
        <f t="shared" si="1"/>
        <v/>
      </c>
    </row>
    <row r="433" ht="15.75" customHeight="1">
      <c r="B433" s="2" t="str">
        <f>IF(A433="","",VLOOKUP(A433,ROSTER!$A$2:$F$500,3,FALSE))</f>
        <v/>
      </c>
      <c r="C433" s="2" t="str">
        <f>IF(A433="","",COUNTIF(CARD_LOG!$C:$C,A433))</f>
        <v/>
      </c>
      <c r="D433" s="4" t="str">
        <f>IF(A433="","",IFERROR(AVERAGEIF(CARD_LOG!$C:$C,A433,CARD_LOG!$M:$M),""))</f>
        <v/>
      </c>
      <c r="E433" s="2" t="str">
        <f>IF(A433="","",IF(COUNTIFS(CARD_LOG!$C:$C,A433,CARD_LOG!$L:$L,"Yes",CARD_LOG!$K:$K,"&lt;14")&gt;0,"No","Yes"))</f>
        <v/>
      </c>
      <c r="F433" s="2" t="str">
        <f t="shared" si="1"/>
        <v/>
      </c>
    </row>
    <row r="434" ht="15.75" customHeight="1">
      <c r="B434" s="2" t="str">
        <f>IF(A434="","",VLOOKUP(A434,ROSTER!$A$2:$F$500,3,FALSE))</f>
        <v/>
      </c>
      <c r="C434" s="2" t="str">
        <f>IF(A434="","",COUNTIF(CARD_LOG!$C:$C,A434))</f>
        <v/>
      </c>
      <c r="D434" s="4" t="str">
        <f>IF(A434="","",IFERROR(AVERAGEIF(CARD_LOG!$C:$C,A434,CARD_LOG!$M:$M),""))</f>
        <v/>
      </c>
      <c r="E434" s="2" t="str">
        <f>IF(A434="","",IF(COUNTIFS(CARD_LOG!$C:$C,A434,CARD_LOG!$L:$L,"Yes",CARD_LOG!$K:$K,"&lt;14")&gt;0,"No","Yes"))</f>
        <v/>
      </c>
      <c r="F434" s="2" t="str">
        <f t="shared" si="1"/>
        <v/>
      </c>
    </row>
    <row r="435" ht="15.75" customHeight="1">
      <c r="B435" s="2" t="str">
        <f>IF(A435="","",VLOOKUP(A435,ROSTER!$A$2:$F$500,3,FALSE))</f>
        <v/>
      </c>
      <c r="C435" s="2" t="str">
        <f>IF(A435="","",COUNTIF(CARD_LOG!$C:$C,A435))</f>
        <v/>
      </c>
      <c r="D435" s="4" t="str">
        <f>IF(A435="","",IFERROR(AVERAGEIF(CARD_LOG!$C:$C,A435,CARD_LOG!$M:$M),""))</f>
        <v/>
      </c>
      <c r="E435" s="2" t="str">
        <f>IF(A435="","",IF(COUNTIFS(CARD_LOG!$C:$C,A435,CARD_LOG!$L:$L,"Yes",CARD_LOG!$K:$K,"&lt;14")&gt;0,"No","Yes"))</f>
        <v/>
      </c>
      <c r="F435" s="2" t="str">
        <f t="shared" si="1"/>
        <v/>
      </c>
    </row>
    <row r="436" ht="15.75" customHeight="1">
      <c r="B436" s="2" t="str">
        <f>IF(A436="","",VLOOKUP(A436,ROSTER!$A$2:$F$500,3,FALSE))</f>
        <v/>
      </c>
      <c r="C436" s="2" t="str">
        <f>IF(A436="","",COUNTIF(CARD_LOG!$C:$C,A436))</f>
        <v/>
      </c>
      <c r="D436" s="4" t="str">
        <f>IF(A436="","",IFERROR(AVERAGEIF(CARD_LOG!$C:$C,A436,CARD_LOG!$M:$M),""))</f>
        <v/>
      </c>
      <c r="E436" s="2" t="str">
        <f>IF(A436="","",IF(COUNTIFS(CARD_LOG!$C:$C,A436,CARD_LOG!$L:$L,"Yes",CARD_LOG!$K:$K,"&lt;14")&gt;0,"No","Yes"))</f>
        <v/>
      </c>
      <c r="F436" s="2" t="str">
        <f t="shared" si="1"/>
        <v/>
      </c>
    </row>
    <row r="437" ht="15.75" customHeight="1">
      <c r="B437" s="2" t="str">
        <f>IF(A437="","",VLOOKUP(A437,ROSTER!$A$2:$F$500,3,FALSE))</f>
        <v/>
      </c>
      <c r="C437" s="2" t="str">
        <f>IF(A437="","",COUNTIF(CARD_LOG!$C:$C,A437))</f>
        <v/>
      </c>
      <c r="D437" s="4" t="str">
        <f>IF(A437="","",IFERROR(AVERAGEIF(CARD_LOG!$C:$C,A437,CARD_LOG!$M:$M),""))</f>
        <v/>
      </c>
      <c r="E437" s="2" t="str">
        <f>IF(A437="","",IF(COUNTIFS(CARD_LOG!$C:$C,A437,CARD_LOG!$L:$L,"Yes",CARD_LOG!$K:$K,"&lt;14")&gt;0,"No","Yes"))</f>
        <v/>
      </c>
      <c r="F437" s="2" t="str">
        <f t="shared" si="1"/>
        <v/>
      </c>
    </row>
    <row r="438" ht="15.75" customHeight="1">
      <c r="B438" s="2" t="str">
        <f>IF(A438="","",VLOOKUP(A438,ROSTER!$A$2:$F$500,3,FALSE))</f>
        <v/>
      </c>
      <c r="C438" s="2" t="str">
        <f>IF(A438="","",COUNTIF(CARD_LOG!$C:$C,A438))</f>
        <v/>
      </c>
      <c r="D438" s="4" t="str">
        <f>IF(A438="","",IFERROR(AVERAGEIF(CARD_LOG!$C:$C,A438,CARD_LOG!$M:$M),""))</f>
        <v/>
      </c>
      <c r="E438" s="2" t="str">
        <f>IF(A438="","",IF(COUNTIFS(CARD_LOG!$C:$C,A438,CARD_LOG!$L:$L,"Yes",CARD_LOG!$K:$K,"&lt;14")&gt;0,"No","Yes"))</f>
        <v/>
      </c>
      <c r="F438" s="2" t="str">
        <f t="shared" si="1"/>
        <v/>
      </c>
    </row>
    <row r="439" ht="15.75" customHeight="1">
      <c r="B439" s="2" t="str">
        <f>IF(A439="","",VLOOKUP(A439,ROSTER!$A$2:$F$500,3,FALSE))</f>
        <v/>
      </c>
      <c r="C439" s="2" t="str">
        <f>IF(A439="","",COUNTIF(CARD_LOG!$C:$C,A439))</f>
        <v/>
      </c>
      <c r="D439" s="4" t="str">
        <f>IF(A439="","",IFERROR(AVERAGEIF(CARD_LOG!$C:$C,A439,CARD_LOG!$M:$M),""))</f>
        <v/>
      </c>
      <c r="E439" s="2" t="str">
        <f>IF(A439="","",IF(COUNTIFS(CARD_LOG!$C:$C,A439,CARD_LOG!$L:$L,"Yes",CARD_LOG!$K:$K,"&lt;14")&gt;0,"No","Yes"))</f>
        <v/>
      </c>
      <c r="F439" s="2" t="str">
        <f t="shared" si="1"/>
        <v/>
      </c>
    </row>
    <row r="440" ht="15.75" customHeight="1">
      <c r="B440" s="2" t="str">
        <f>IF(A440="","",VLOOKUP(A440,ROSTER!$A$2:$F$500,3,FALSE))</f>
        <v/>
      </c>
      <c r="C440" s="2" t="str">
        <f>IF(A440="","",COUNTIF(CARD_LOG!$C:$C,A440))</f>
        <v/>
      </c>
      <c r="D440" s="4" t="str">
        <f>IF(A440="","",IFERROR(AVERAGEIF(CARD_LOG!$C:$C,A440,CARD_LOG!$M:$M),""))</f>
        <v/>
      </c>
      <c r="E440" s="2" t="str">
        <f>IF(A440="","",IF(COUNTIFS(CARD_LOG!$C:$C,A440,CARD_LOG!$L:$L,"Yes",CARD_LOG!$K:$K,"&lt;14")&gt;0,"No","Yes"))</f>
        <v/>
      </c>
      <c r="F440" s="2" t="str">
        <f t="shared" si="1"/>
        <v/>
      </c>
    </row>
    <row r="441" ht="15.75" customHeight="1">
      <c r="B441" s="2" t="str">
        <f>IF(A441="","",VLOOKUP(A441,ROSTER!$A$2:$F$500,3,FALSE))</f>
        <v/>
      </c>
      <c r="C441" s="2" t="str">
        <f>IF(A441="","",COUNTIF(CARD_LOG!$C:$C,A441))</f>
        <v/>
      </c>
      <c r="D441" s="4" t="str">
        <f>IF(A441="","",IFERROR(AVERAGEIF(CARD_LOG!$C:$C,A441,CARD_LOG!$M:$M),""))</f>
        <v/>
      </c>
      <c r="E441" s="2" t="str">
        <f>IF(A441="","",IF(COUNTIFS(CARD_LOG!$C:$C,A441,CARD_LOG!$L:$L,"Yes",CARD_LOG!$K:$K,"&lt;14")&gt;0,"No","Yes"))</f>
        <v/>
      </c>
      <c r="F441" s="2" t="str">
        <f t="shared" si="1"/>
        <v/>
      </c>
    </row>
    <row r="442" ht="15.75" customHeight="1">
      <c r="B442" s="2" t="str">
        <f>IF(A442="","",VLOOKUP(A442,ROSTER!$A$2:$F$500,3,FALSE))</f>
        <v/>
      </c>
      <c r="C442" s="2" t="str">
        <f>IF(A442="","",COUNTIF(CARD_LOG!$C:$C,A442))</f>
        <v/>
      </c>
      <c r="D442" s="4" t="str">
        <f>IF(A442="","",IFERROR(AVERAGEIF(CARD_LOG!$C:$C,A442,CARD_LOG!$M:$M),""))</f>
        <v/>
      </c>
      <c r="E442" s="2" t="str">
        <f>IF(A442="","",IF(COUNTIFS(CARD_LOG!$C:$C,A442,CARD_LOG!$L:$L,"Yes",CARD_LOG!$K:$K,"&lt;14")&gt;0,"No","Yes"))</f>
        <v/>
      </c>
      <c r="F442" s="2" t="str">
        <f t="shared" si="1"/>
        <v/>
      </c>
    </row>
    <row r="443" ht="15.75" customHeight="1">
      <c r="B443" s="2" t="str">
        <f>IF(A443="","",VLOOKUP(A443,ROSTER!$A$2:$F$500,3,FALSE))</f>
        <v/>
      </c>
      <c r="C443" s="2" t="str">
        <f>IF(A443="","",COUNTIF(CARD_LOG!$C:$C,A443))</f>
        <v/>
      </c>
      <c r="D443" s="4" t="str">
        <f>IF(A443="","",IFERROR(AVERAGEIF(CARD_LOG!$C:$C,A443,CARD_LOG!$M:$M),""))</f>
        <v/>
      </c>
      <c r="E443" s="2" t="str">
        <f>IF(A443="","",IF(COUNTIFS(CARD_LOG!$C:$C,A443,CARD_LOG!$L:$L,"Yes",CARD_LOG!$K:$K,"&lt;14")&gt;0,"No","Yes"))</f>
        <v/>
      </c>
      <c r="F443" s="2" t="str">
        <f t="shared" si="1"/>
        <v/>
      </c>
    </row>
    <row r="444" ht="15.75" customHeight="1">
      <c r="B444" s="2" t="str">
        <f>IF(A444="","",VLOOKUP(A444,ROSTER!$A$2:$F$500,3,FALSE))</f>
        <v/>
      </c>
      <c r="C444" s="2" t="str">
        <f>IF(A444="","",COUNTIF(CARD_LOG!$C:$C,A444))</f>
        <v/>
      </c>
      <c r="D444" s="4" t="str">
        <f>IF(A444="","",IFERROR(AVERAGEIF(CARD_LOG!$C:$C,A444,CARD_LOG!$M:$M),""))</f>
        <v/>
      </c>
      <c r="E444" s="2" t="str">
        <f>IF(A444="","",IF(COUNTIFS(CARD_LOG!$C:$C,A444,CARD_LOG!$L:$L,"Yes",CARD_LOG!$K:$K,"&lt;14")&gt;0,"No","Yes"))</f>
        <v/>
      </c>
      <c r="F444" s="2" t="str">
        <f t="shared" si="1"/>
        <v/>
      </c>
    </row>
    <row r="445" ht="15.75" customHeight="1">
      <c r="B445" s="2" t="str">
        <f>IF(A445="","",VLOOKUP(A445,ROSTER!$A$2:$F$500,3,FALSE))</f>
        <v/>
      </c>
      <c r="C445" s="2" t="str">
        <f>IF(A445="","",COUNTIF(CARD_LOG!$C:$C,A445))</f>
        <v/>
      </c>
      <c r="D445" s="4" t="str">
        <f>IF(A445="","",IFERROR(AVERAGEIF(CARD_LOG!$C:$C,A445,CARD_LOG!$M:$M),""))</f>
        <v/>
      </c>
      <c r="E445" s="2" t="str">
        <f>IF(A445="","",IF(COUNTIFS(CARD_LOG!$C:$C,A445,CARD_LOG!$L:$L,"Yes",CARD_LOG!$K:$K,"&lt;14")&gt;0,"No","Yes"))</f>
        <v/>
      </c>
      <c r="F445" s="2" t="str">
        <f t="shared" si="1"/>
        <v/>
      </c>
    </row>
    <row r="446" ht="15.75" customHeight="1">
      <c r="B446" s="2" t="str">
        <f>IF(A446="","",VLOOKUP(A446,ROSTER!$A$2:$F$500,3,FALSE))</f>
        <v/>
      </c>
      <c r="C446" s="2" t="str">
        <f>IF(A446="","",COUNTIF(CARD_LOG!$C:$C,A446))</f>
        <v/>
      </c>
      <c r="D446" s="4" t="str">
        <f>IF(A446="","",IFERROR(AVERAGEIF(CARD_LOG!$C:$C,A446,CARD_LOG!$M:$M),""))</f>
        <v/>
      </c>
      <c r="E446" s="2" t="str">
        <f>IF(A446="","",IF(COUNTIFS(CARD_LOG!$C:$C,A446,CARD_LOG!$L:$L,"Yes",CARD_LOG!$K:$K,"&lt;14")&gt;0,"No","Yes"))</f>
        <v/>
      </c>
      <c r="F446" s="2" t="str">
        <f t="shared" si="1"/>
        <v/>
      </c>
    </row>
    <row r="447" ht="15.75" customHeight="1">
      <c r="B447" s="2" t="str">
        <f>IF(A447="","",VLOOKUP(A447,ROSTER!$A$2:$F$500,3,FALSE))</f>
        <v/>
      </c>
      <c r="C447" s="2" t="str">
        <f>IF(A447="","",COUNTIF(CARD_LOG!$C:$C,A447))</f>
        <v/>
      </c>
      <c r="D447" s="4" t="str">
        <f>IF(A447="","",IFERROR(AVERAGEIF(CARD_LOG!$C:$C,A447,CARD_LOG!$M:$M),""))</f>
        <v/>
      </c>
      <c r="E447" s="2" t="str">
        <f>IF(A447="","",IF(COUNTIFS(CARD_LOG!$C:$C,A447,CARD_LOG!$L:$L,"Yes",CARD_LOG!$K:$K,"&lt;14")&gt;0,"No","Yes"))</f>
        <v/>
      </c>
      <c r="F447" s="2" t="str">
        <f t="shared" si="1"/>
        <v/>
      </c>
    </row>
    <row r="448" ht="15.75" customHeight="1">
      <c r="B448" s="2" t="str">
        <f>IF(A448="","",VLOOKUP(A448,ROSTER!$A$2:$F$500,3,FALSE))</f>
        <v/>
      </c>
      <c r="C448" s="2" t="str">
        <f>IF(A448="","",COUNTIF(CARD_LOG!$C:$C,A448))</f>
        <v/>
      </c>
      <c r="D448" s="4" t="str">
        <f>IF(A448="","",IFERROR(AVERAGEIF(CARD_LOG!$C:$C,A448,CARD_LOG!$M:$M),""))</f>
        <v/>
      </c>
      <c r="E448" s="2" t="str">
        <f>IF(A448="","",IF(COUNTIFS(CARD_LOG!$C:$C,A448,CARD_LOG!$L:$L,"Yes",CARD_LOG!$K:$K,"&lt;14")&gt;0,"No","Yes"))</f>
        <v/>
      </c>
      <c r="F448" s="2" t="str">
        <f t="shared" si="1"/>
        <v/>
      </c>
    </row>
    <row r="449" ht="15.75" customHeight="1">
      <c r="B449" s="2" t="str">
        <f>IF(A449="","",VLOOKUP(A449,ROSTER!$A$2:$F$500,3,FALSE))</f>
        <v/>
      </c>
      <c r="C449" s="2" t="str">
        <f>IF(A449="","",COUNTIF(CARD_LOG!$C:$C,A449))</f>
        <v/>
      </c>
      <c r="D449" s="4" t="str">
        <f>IF(A449="","",IFERROR(AVERAGEIF(CARD_LOG!$C:$C,A449,CARD_LOG!$M:$M),""))</f>
        <v/>
      </c>
      <c r="E449" s="2" t="str">
        <f>IF(A449="","",IF(COUNTIFS(CARD_LOG!$C:$C,A449,CARD_LOG!$L:$L,"Yes",CARD_LOG!$K:$K,"&lt;14")&gt;0,"No","Yes"))</f>
        <v/>
      </c>
      <c r="F449" s="2" t="str">
        <f t="shared" si="1"/>
        <v/>
      </c>
    </row>
    <row r="450" ht="15.75" customHeight="1">
      <c r="B450" s="2" t="str">
        <f>IF(A450="","",VLOOKUP(A450,ROSTER!$A$2:$F$500,3,FALSE))</f>
        <v/>
      </c>
      <c r="C450" s="2" t="str">
        <f>IF(A450="","",COUNTIF(CARD_LOG!$C:$C,A450))</f>
        <v/>
      </c>
      <c r="D450" s="4" t="str">
        <f>IF(A450="","",IFERROR(AVERAGEIF(CARD_LOG!$C:$C,A450,CARD_LOG!$M:$M),""))</f>
        <v/>
      </c>
      <c r="E450" s="2" t="str">
        <f>IF(A450="","",IF(COUNTIFS(CARD_LOG!$C:$C,A450,CARD_LOG!$L:$L,"Yes",CARD_LOG!$K:$K,"&lt;14")&gt;0,"No","Yes"))</f>
        <v/>
      </c>
      <c r="F450" s="2" t="str">
        <f t="shared" si="1"/>
        <v/>
      </c>
    </row>
    <row r="451" ht="15.75" customHeight="1">
      <c r="B451" s="2" t="str">
        <f>IF(A451="","",VLOOKUP(A451,ROSTER!$A$2:$F$500,3,FALSE))</f>
        <v/>
      </c>
      <c r="C451" s="2" t="str">
        <f>IF(A451="","",COUNTIF(CARD_LOG!$C:$C,A451))</f>
        <v/>
      </c>
      <c r="D451" s="4" t="str">
        <f>IF(A451="","",IFERROR(AVERAGEIF(CARD_LOG!$C:$C,A451,CARD_LOG!$M:$M),""))</f>
        <v/>
      </c>
      <c r="E451" s="2" t="str">
        <f>IF(A451="","",IF(COUNTIFS(CARD_LOG!$C:$C,A451,CARD_LOG!$L:$L,"Yes",CARD_LOG!$K:$K,"&lt;14")&gt;0,"No","Yes"))</f>
        <v/>
      </c>
      <c r="F451" s="2" t="str">
        <f t="shared" si="1"/>
        <v/>
      </c>
    </row>
    <row r="452" ht="15.75" customHeight="1">
      <c r="B452" s="2" t="str">
        <f>IF(A452="","",VLOOKUP(A452,ROSTER!$A$2:$F$500,3,FALSE))</f>
        <v/>
      </c>
      <c r="C452" s="2" t="str">
        <f>IF(A452="","",COUNTIF(CARD_LOG!$C:$C,A452))</f>
        <v/>
      </c>
      <c r="D452" s="4" t="str">
        <f>IF(A452="","",IFERROR(AVERAGEIF(CARD_LOG!$C:$C,A452,CARD_LOG!$M:$M),""))</f>
        <v/>
      </c>
      <c r="E452" s="2" t="str">
        <f>IF(A452="","",IF(COUNTIFS(CARD_LOG!$C:$C,A452,CARD_LOG!$L:$L,"Yes",CARD_LOG!$K:$K,"&lt;14")&gt;0,"No","Yes"))</f>
        <v/>
      </c>
      <c r="F452" s="2" t="str">
        <f t="shared" si="1"/>
        <v/>
      </c>
    </row>
    <row r="453" ht="15.75" customHeight="1">
      <c r="B453" s="2" t="str">
        <f>IF(A453="","",VLOOKUP(A453,ROSTER!$A$2:$F$500,3,FALSE))</f>
        <v/>
      </c>
      <c r="C453" s="2" t="str">
        <f>IF(A453="","",COUNTIF(CARD_LOG!$C:$C,A453))</f>
        <v/>
      </c>
      <c r="D453" s="4" t="str">
        <f>IF(A453="","",IFERROR(AVERAGEIF(CARD_LOG!$C:$C,A453,CARD_LOG!$M:$M),""))</f>
        <v/>
      </c>
      <c r="E453" s="2" t="str">
        <f>IF(A453="","",IF(COUNTIFS(CARD_LOG!$C:$C,A453,CARD_LOG!$L:$L,"Yes",CARD_LOG!$K:$K,"&lt;14")&gt;0,"No","Yes"))</f>
        <v/>
      </c>
      <c r="F453" s="2" t="str">
        <f t="shared" si="1"/>
        <v/>
      </c>
    </row>
    <row r="454" ht="15.75" customHeight="1">
      <c r="B454" s="2" t="str">
        <f>IF(A454="","",VLOOKUP(A454,ROSTER!$A$2:$F$500,3,FALSE))</f>
        <v/>
      </c>
      <c r="C454" s="2" t="str">
        <f>IF(A454="","",COUNTIF(CARD_LOG!$C:$C,A454))</f>
        <v/>
      </c>
      <c r="D454" s="4" t="str">
        <f>IF(A454="","",IFERROR(AVERAGEIF(CARD_LOG!$C:$C,A454,CARD_LOG!$M:$M),""))</f>
        <v/>
      </c>
      <c r="E454" s="2" t="str">
        <f>IF(A454="","",IF(COUNTIFS(CARD_LOG!$C:$C,A454,CARD_LOG!$L:$L,"Yes",CARD_LOG!$K:$K,"&lt;14")&gt;0,"No","Yes"))</f>
        <v/>
      </c>
      <c r="F454" s="2" t="str">
        <f t="shared" si="1"/>
        <v/>
      </c>
    </row>
    <row r="455" ht="15.75" customHeight="1">
      <c r="B455" s="2" t="str">
        <f>IF(A455="","",VLOOKUP(A455,ROSTER!$A$2:$F$500,3,FALSE))</f>
        <v/>
      </c>
      <c r="C455" s="2" t="str">
        <f>IF(A455="","",COUNTIF(CARD_LOG!$C:$C,A455))</f>
        <v/>
      </c>
      <c r="D455" s="4" t="str">
        <f>IF(A455="","",IFERROR(AVERAGEIF(CARD_LOG!$C:$C,A455,CARD_LOG!$M:$M),""))</f>
        <v/>
      </c>
      <c r="E455" s="2" t="str">
        <f>IF(A455="","",IF(COUNTIFS(CARD_LOG!$C:$C,A455,CARD_LOG!$L:$L,"Yes",CARD_LOG!$K:$K,"&lt;14")&gt;0,"No","Yes"))</f>
        <v/>
      </c>
      <c r="F455" s="2" t="str">
        <f t="shared" si="1"/>
        <v/>
      </c>
    </row>
    <row r="456" ht="15.75" customHeight="1">
      <c r="B456" s="2" t="str">
        <f>IF(A456="","",VLOOKUP(A456,ROSTER!$A$2:$F$500,3,FALSE))</f>
        <v/>
      </c>
      <c r="C456" s="2" t="str">
        <f>IF(A456="","",COUNTIF(CARD_LOG!$C:$C,A456))</f>
        <v/>
      </c>
      <c r="D456" s="4" t="str">
        <f>IF(A456="","",IFERROR(AVERAGEIF(CARD_LOG!$C:$C,A456,CARD_LOG!$M:$M),""))</f>
        <v/>
      </c>
      <c r="E456" s="2" t="str">
        <f>IF(A456="","",IF(COUNTIFS(CARD_LOG!$C:$C,A456,CARD_LOG!$L:$L,"Yes",CARD_LOG!$K:$K,"&lt;14")&gt;0,"No","Yes"))</f>
        <v/>
      </c>
      <c r="F456" s="2" t="str">
        <f t="shared" si="1"/>
        <v/>
      </c>
    </row>
    <row r="457" ht="15.75" customHeight="1">
      <c r="B457" s="2" t="str">
        <f>IF(A457="","",VLOOKUP(A457,ROSTER!$A$2:$F$500,3,FALSE))</f>
        <v/>
      </c>
      <c r="C457" s="2" t="str">
        <f>IF(A457="","",COUNTIF(CARD_LOG!$C:$C,A457))</f>
        <v/>
      </c>
      <c r="D457" s="4" t="str">
        <f>IF(A457="","",IFERROR(AVERAGEIF(CARD_LOG!$C:$C,A457,CARD_LOG!$M:$M),""))</f>
        <v/>
      </c>
      <c r="E457" s="2" t="str">
        <f>IF(A457="","",IF(COUNTIFS(CARD_LOG!$C:$C,A457,CARD_LOG!$L:$L,"Yes",CARD_LOG!$K:$K,"&lt;14")&gt;0,"No","Yes"))</f>
        <v/>
      </c>
      <c r="F457" s="2" t="str">
        <f t="shared" si="1"/>
        <v/>
      </c>
    </row>
    <row r="458" ht="15.75" customHeight="1">
      <c r="B458" s="2" t="str">
        <f>IF(A458="","",VLOOKUP(A458,ROSTER!$A$2:$F$500,3,FALSE))</f>
        <v/>
      </c>
      <c r="C458" s="2" t="str">
        <f>IF(A458="","",COUNTIF(CARD_LOG!$C:$C,A458))</f>
        <v/>
      </c>
      <c r="D458" s="4" t="str">
        <f>IF(A458="","",IFERROR(AVERAGEIF(CARD_LOG!$C:$C,A458,CARD_LOG!$M:$M),""))</f>
        <v/>
      </c>
      <c r="E458" s="2" t="str">
        <f>IF(A458="","",IF(COUNTIFS(CARD_LOG!$C:$C,A458,CARD_LOG!$L:$L,"Yes",CARD_LOG!$K:$K,"&lt;14")&gt;0,"No","Yes"))</f>
        <v/>
      </c>
      <c r="F458" s="2" t="str">
        <f t="shared" si="1"/>
        <v/>
      </c>
    </row>
    <row r="459" ht="15.75" customHeight="1">
      <c r="B459" s="2" t="str">
        <f>IF(A459="","",VLOOKUP(A459,ROSTER!$A$2:$F$500,3,FALSE))</f>
        <v/>
      </c>
      <c r="C459" s="2" t="str">
        <f>IF(A459="","",COUNTIF(CARD_LOG!$C:$C,A459))</f>
        <v/>
      </c>
      <c r="D459" s="4" t="str">
        <f>IF(A459="","",IFERROR(AVERAGEIF(CARD_LOG!$C:$C,A459,CARD_LOG!$M:$M),""))</f>
        <v/>
      </c>
      <c r="E459" s="2" t="str">
        <f>IF(A459="","",IF(COUNTIFS(CARD_LOG!$C:$C,A459,CARD_LOG!$L:$L,"Yes",CARD_LOG!$K:$K,"&lt;14")&gt;0,"No","Yes"))</f>
        <v/>
      </c>
      <c r="F459" s="2" t="str">
        <f t="shared" si="1"/>
        <v/>
      </c>
    </row>
    <row r="460" ht="15.75" customHeight="1">
      <c r="B460" s="2" t="str">
        <f>IF(A460="","",VLOOKUP(A460,ROSTER!$A$2:$F$500,3,FALSE))</f>
        <v/>
      </c>
      <c r="C460" s="2" t="str">
        <f>IF(A460="","",COUNTIF(CARD_LOG!$C:$C,A460))</f>
        <v/>
      </c>
      <c r="D460" s="4" t="str">
        <f>IF(A460="","",IFERROR(AVERAGEIF(CARD_LOG!$C:$C,A460,CARD_LOG!$M:$M),""))</f>
        <v/>
      </c>
      <c r="E460" s="2" t="str">
        <f>IF(A460="","",IF(COUNTIFS(CARD_LOG!$C:$C,A460,CARD_LOG!$L:$L,"Yes",CARD_LOG!$K:$K,"&lt;14")&gt;0,"No","Yes"))</f>
        <v/>
      </c>
      <c r="F460" s="2" t="str">
        <f t="shared" si="1"/>
        <v/>
      </c>
    </row>
    <row r="461" ht="15.75" customHeight="1">
      <c r="B461" s="2" t="str">
        <f>IF(A461="","",VLOOKUP(A461,ROSTER!$A$2:$F$500,3,FALSE))</f>
        <v/>
      </c>
      <c r="C461" s="2" t="str">
        <f>IF(A461="","",COUNTIF(CARD_LOG!$C:$C,A461))</f>
        <v/>
      </c>
      <c r="D461" s="4" t="str">
        <f>IF(A461="","",IFERROR(AVERAGEIF(CARD_LOG!$C:$C,A461,CARD_LOG!$M:$M),""))</f>
        <v/>
      </c>
      <c r="E461" s="2" t="str">
        <f>IF(A461="","",IF(COUNTIFS(CARD_LOG!$C:$C,A461,CARD_LOG!$L:$L,"Yes",CARD_LOG!$K:$K,"&lt;14")&gt;0,"No","Yes"))</f>
        <v/>
      </c>
      <c r="F461" s="2" t="str">
        <f t="shared" si="1"/>
        <v/>
      </c>
    </row>
    <row r="462" ht="15.75" customHeight="1">
      <c r="B462" s="2" t="str">
        <f>IF(A462="","",VLOOKUP(A462,ROSTER!$A$2:$F$500,3,FALSE))</f>
        <v/>
      </c>
      <c r="C462" s="2" t="str">
        <f>IF(A462="","",COUNTIF(CARD_LOG!$C:$C,A462))</f>
        <v/>
      </c>
      <c r="D462" s="4" t="str">
        <f>IF(A462="","",IFERROR(AVERAGEIF(CARD_LOG!$C:$C,A462,CARD_LOG!$M:$M),""))</f>
        <v/>
      </c>
      <c r="E462" s="2" t="str">
        <f>IF(A462="","",IF(COUNTIFS(CARD_LOG!$C:$C,A462,CARD_LOG!$L:$L,"Yes",CARD_LOG!$K:$K,"&lt;14")&gt;0,"No","Yes"))</f>
        <v/>
      </c>
      <c r="F462" s="2" t="str">
        <f t="shared" si="1"/>
        <v/>
      </c>
    </row>
    <row r="463" ht="15.75" customHeight="1">
      <c r="B463" s="2" t="str">
        <f>IF(A463="","",VLOOKUP(A463,ROSTER!$A$2:$F$500,3,FALSE))</f>
        <v/>
      </c>
      <c r="C463" s="2" t="str">
        <f>IF(A463="","",COUNTIF(CARD_LOG!$C:$C,A463))</f>
        <v/>
      </c>
      <c r="D463" s="4" t="str">
        <f>IF(A463="","",IFERROR(AVERAGEIF(CARD_LOG!$C:$C,A463,CARD_LOG!$M:$M),""))</f>
        <v/>
      </c>
      <c r="E463" s="2" t="str">
        <f>IF(A463="","",IF(COUNTIFS(CARD_LOG!$C:$C,A463,CARD_LOG!$L:$L,"Yes",CARD_LOG!$K:$K,"&lt;14")&gt;0,"No","Yes"))</f>
        <v/>
      </c>
      <c r="F463" s="2" t="str">
        <f t="shared" si="1"/>
        <v/>
      </c>
    </row>
    <row r="464" ht="15.75" customHeight="1">
      <c r="B464" s="2" t="str">
        <f>IF(A464="","",VLOOKUP(A464,ROSTER!$A$2:$F$500,3,FALSE))</f>
        <v/>
      </c>
      <c r="C464" s="2" t="str">
        <f>IF(A464="","",COUNTIF(CARD_LOG!$C:$C,A464))</f>
        <v/>
      </c>
      <c r="D464" s="4" t="str">
        <f>IF(A464="","",IFERROR(AVERAGEIF(CARD_LOG!$C:$C,A464,CARD_LOG!$M:$M),""))</f>
        <v/>
      </c>
      <c r="E464" s="2" t="str">
        <f>IF(A464="","",IF(COUNTIFS(CARD_LOG!$C:$C,A464,CARD_LOG!$L:$L,"Yes",CARD_LOG!$K:$K,"&lt;14")&gt;0,"No","Yes"))</f>
        <v/>
      </c>
      <c r="F464" s="2" t="str">
        <f t="shared" si="1"/>
        <v/>
      </c>
    </row>
    <row r="465" ht="15.75" customHeight="1">
      <c r="B465" s="2" t="str">
        <f>IF(A465="","",VLOOKUP(A465,ROSTER!$A$2:$F$500,3,FALSE))</f>
        <v/>
      </c>
      <c r="C465" s="2" t="str">
        <f>IF(A465="","",COUNTIF(CARD_LOG!$C:$C,A465))</f>
        <v/>
      </c>
      <c r="D465" s="4" t="str">
        <f>IF(A465="","",IFERROR(AVERAGEIF(CARD_LOG!$C:$C,A465,CARD_LOG!$M:$M),""))</f>
        <v/>
      </c>
      <c r="E465" s="2" t="str">
        <f>IF(A465="","",IF(COUNTIFS(CARD_LOG!$C:$C,A465,CARD_LOG!$L:$L,"Yes",CARD_LOG!$K:$K,"&lt;14")&gt;0,"No","Yes"))</f>
        <v/>
      </c>
      <c r="F465" s="2" t="str">
        <f t="shared" si="1"/>
        <v/>
      </c>
    </row>
    <row r="466" ht="15.75" customHeight="1">
      <c r="B466" s="2" t="str">
        <f>IF(A466="","",VLOOKUP(A466,ROSTER!$A$2:$F$500,3,FALSE))</f>
        <v/>
      </c>
      <c r="C466" s="2" t="str">
        <f>IF(A466="","",COUNTIF(CARD_LOG!$C:$C,A466))</f>
        <v/>
      </c>
      <c r="D466" s="4" t="str">
        <f>IF(A466="","",IFERROR(AVERAGEIF(CARD_LOG!$C:$C,A466,CARD_LOG!$M:$M),""))</f>
        <v/>
      </c>
      <c r="E466" s="2" t="str">
        <f>IF(A466="","",IF(COUNTIFS(CARD_LOG!$C:$C,A466,CARD_LOG!$L:$L,"Yes",CARD_LOG!$K:$K,"&lt;14")&gt;0,"No","Yes"))</f>
        <v/>
      </c>
      <c r="F466" s="2" t="str">
        <f t="shared" si="1"/>
        <v/>
      </c>
    </row>
    <row r="467" ht="15.75" customHeight="1">
      <c r="B467" s="2" t="str">
        <f>IF(A467="","",VLOOKUP(A467,ROSTER!$A$2:$F$500,3,FALSE))</f>
        <v/>
      </c>
      <c r="C467" s="2" t="str">
        <f>IF(A467="","",COUNTIF(CARD_LOG!$C:$C,A467))</f>
        <v/>
      </c>
      <c r="D467" s="4" t="str">
        <f>IF(A467="","",IFERROR(AVERAGEIF(CARD_LOG!$C:$C,A467,CARD_LOG!$M:$M),""))</f>
        <v/>
      </c>
      <c r="E467" s="2" t="str">
        <f>IF(A467="","",IF(COUNTIFS(CARD_LOG!$C:$C,A467,CARD_LOG!$L:$L,"Yes",CARD_LOG!$K:$K,"&lt;14")&gt;0,"No","Yes"))</f>
        <v/>
      </c>
      <c r="F467" s="2" t="str">
        <f t="shared" si="1"/>
        <v/>
      </c>
    </row>
    <row r="468" ht="15.75" customHeight="1">
      <c r="B468" s="2" t="str">
        <f>IF(A468="","",VLOOKUP(A468,ROSTER!$A$2:$F$500,3,FALSE))</f>
        <v/>
      </c>
      <c r="C468" s="2" t="str">
        <f>IF(A468="","",COUNTIF(CARD_LOG!$C:$C,A468))</f>
        <v/>
      </c>
      <c r="D468" s="4" t="str">
        <f>IF(A468="","",IFERROR(AVERAGEIF(CARD_LOG!$C:$C,A468,CARD_LOG!$M:$M),""))</f>
        <v/>
      </c>
      <c r="E468" s="2" t="str">
        <f>IF(A468="","",IF(COUNTIFS(CARD_LOG!$C:$C,A468,CARD_LOG!$L:$L,"Yes",CARD_LOG!$K:$K,"&lt;14")&gt;0,"No","Yes"))</f>
        <v/>
      </c>
      <c r="F468" s="2" t="str">
        <f t="shared" si="1"/>
        <v/>
      </c>
    </row>
    <row r="469" ht="15.75" customHeight="1">
      <c r="B469" s="2" t="str">
        <f>IF(A469="","",VLOOKUP(A469,ROSTER!$A$2:$F$500,3,FALSE))</f>
        <v/>
      </c>
      <c r="C469" s="2" t="str">
        <f>IF(A469="","",COUNTIF(CARD_LOG!$C:$C,A469))</f>
        <v/>
      </c>
      <c r="D469" s="4" t="str">
        <f>IF(A469="","",IFERROR(AVERAGEIF(CARD_LOG!$C:$C,A469,CARD_LOG!$M:$M),""))</f>
        <v/>
      </c>
      <c r="E469" s="2" t="str">
        <f>IF(A469="","",IF(COUNTIFS(CARD_LOG!$C:$C,A469,CARD_LOG!$L:$L,"Yes",CARD_LOG!$K:$K,"&lt;14")&gt;0,"No","Yes"))</f>
        <v/>
      </c>
      <c r="F469" s="2" t="str">
        <f t="shared" si="1"/>
        <v/>
      </c>
    </row>
    <row r="470" ht="15.75" customHeight="1">
      <c r="B470" s="2" t="str">
        <f>IF(A470="","",VLOOKUP(A470,ROSTER!$A$2:$F$500,3,FALSE))</f>
        <v/>
      </c>
      <c r="C470" s="2" t="str">
        <f>IF(A470="","",COUNTIF(CARD_LOG!$C:$C,A470))</f>
        <v/>
      </c>
      <c r="D470" s="4" t="str">
        <f>IF(A470="","",IFERROR(AVERAGEIF(CARD_LOG!$C:$C,A470,CARD_LOG!$M:$M),""))</f>
        <v/>
      </c>
      <c r="E470" s="2" t="str">
        <f>IF(A470="","",IF(COUNTIFS(CARD_LOG!$C:$C,A470,CARD_LOG!$L:$L,"Yes",CARD_LOG!$K:$K,"&lt;14")&gt;0,"No","Yes"))</f>
        <v/>
      </c>
      <c r="F470" s="2" t="str">
        <f t="shared" si="1"/>
        <v/>
      </c>
    </row>
    <row r="471" ht="15.75" customHeight="1">
      <c r="B471" s="2" t="str">
        <f>IF(A471="","",VLOOKUP(A471,ROSTER!$A$2:$F$500,3,FALSE))</f>
        <v/>
      </c>
      <c r="C471" s="2" t="str">
        <f>IF(A471="","",COUNTIF(CARD_LOG!$C:$C,A471))</f>
        <v/>
      </c>
      <c r="D471" s="4" t="str">
        <f>IF(A471="","",IFERROR(AVERAGEIF(CARD_LOG!$C:$C,A471,CARD_LOG!$M:$M),""))</f>
        <v/>
      </c>
      <c r="E471" s="2" t="str">
        <f>IF(A471="","",IF(COUNTIFS(CARD_LOG!$C:$C,A471,CARD_LOG!$L:$L,"Yes",CARD_LOG!$K:$K,"&lt;14")&gt;0,"No","Yes"))</f>
        <v/>
      </c>
      <c r="F471" s="2" t="str">
        <f t="shared" si="1"/>
        <v/>
      </c>
    </row>
    <row r="472" ht="15.75" customHeight="1">
      <c r="B472" s="2" t="str">
        <f>IF(A472="","",VLOOKUP(A472,ROSTER!$A$2:$F$500,3,FALSE))</f>
        <v/>
      </c>
      <c r="C472" s="2" t="str">
        <f>IF(A472="","",COUNTIF(CARD_LOG!$C:$C,A472))</f>
        <v/>
      </c>
      <c r="D472" s="4" t="str">
        <f>IF(A472="","",IFERROR(AVERAGEIF(CARD_LOG!$C:$C,A472,CARD_LOG!$M:$M),""))</f>
        <v/>
      </c>
      <c r="E472" s="2" t="str">
        <f>IF(A472="","",IF(COUNTIFS(CARD_LOG!$C:$C,A472,CARD_LOG!$L:$L,"Yes",CARD_LOG!$K:$K,"&lt;14")&gt;0,"No","Yes"))</f>
        <v/>
      </c>
      <c r="F472" s="2" t="str">
        <f t="shared" si="1"/>
        <v/>
      </c>
    </row>
    <row r="473" ht="15.75" customHeight="1">
      <c r="B473" s="2" t="str">
        <f>IF(A473="","",VLOOKUP(A473,ROSTER!$A$2:$F$500,3,FALSE))</f>
        <v/>
      </c>
      <c r="C473" s="2" t="str">
        <f>IF(A473="","",COUNTIF(CARD_LOG!$C:$C,A473))</f>
        <v/>
      </c>
      <c r="D473" s="4" t="str">
        <f>IF(A473="","",IFERROR(AVERAGEIF(CARD_LOG!$C:$C,A473,CARD_LOG!$M:$M),""))</f>
        <v/>
      </c>
      <c r="E473" s="2" t="str">
        <f>IF(A473="","",IF(COUNTIFS(CARD_LOG!$C:$C,A473,CARD_LOG!$L:$L,"Yes",CARD_LOG!$K:$K,"&lt;14")&gt;0,"No","Yes"))</f>
        <v/>
      </c>
      <c r="F473" s="2" t="str">
        <f t="shared" si="1"/>
        <v/>
      </c>
    </row>
    <row r="474" ht="15.75" customHeight="1">
      <c r="B474" s="2" t="str">
        <f>IF(A474="","",VLOOKUP(A474,ROSTER!$A$2:$F$500,3,FALSE))</f>
        <v/>
      </c>
      <c r="C474" s="2" t="str">
        <f>IF(A474="","",COUNTIF(CARD_LOG!$C:$C,A474))</f>
        <v/>
      </c>
      <c r="D474" s="4" t="str">
        <f>IF(A474="","",IFERROR(AVERAGEIF(CARD_LOG!$C:$C,A474,CARD_LOG!$M:$M),""))</f>
        <v/>
      </c>
      <c r="E474" s="2" t="str">
        <f>IF(A474="","",IF(COUNTIFS(CARD_LOG!$C:$C,A474,CARD_LOG!$L:$L,"Yes",CARD_LOG!$K:$K,"&lt;14")&gt;0,"No","Yes"))</f>
        <v/>
      </c>
      <c r="F474" s="2" t="str">
        <f t="shared" si="1"/>
        <v/>
      </c>
    </row>
    <row r="475" ht="15.75" customHeight="1">
      <c r="B475" s="2" t="str">
        <f>IF(A475="","",VLOOKUP(A475,ROSTER!$A$2:$F$500,3,FALSE))</f>
        <v/>
      </c>
      <c r="C475" s="2" t="str">
        <f>IF(A475="","",COUNTIF(CARD_LOG!$C:$C,A475))</f>
        <v/>
      </c>
      <c r="D475" s="4" t="str">
        <f>IF(A475="","",IFERROR(AVERAGEIF(CARD_LOG!$C:$C,A475,CARD_LOG!$M:$M),""))</f>
        <v/>
      </c>
      <c r="E475" s="2" t="str">
        <f>IF(A475="","",IF(COUNTIFS(CARD_LOG!$C:$C,A475,CARD_LOG!$L:$L,"Yes",CARD_LOG!$K:$K,"&lt;14")&gt;0,"No","Yes"))</f>
        <v/>
      </c>
      <c r="F475" s="2" t="str">
        <f t="shared" si="1"/>
        <v/>
      </c>
    </row>
    <row r="476" ht="15.75" customHeight="1">
      <c r="B476" s="2" t="str">
        <f>IF(A476="","",VLOOKUP(A476,ROSTER!$A$2:$F$500,3,FALSE))</f>
        <v/>
      </c>
      <c r="C476" s="2" t="str">
        <f>IF(A476="","",COUNTIF(CARD_LOG!$C:$C,A476))</f>
        <v/>
      </c>
      <c r="D476" s="4" t="str">
        <f>IF(A476="","",IFERROR(AVERAGEIF(CARD_LOG!$C:$C,A476,CARD_LOG!$M:$M),""))</f>
        <v/>
      </c>
      <c r="E476" s="2" t="str">
        <f>IF(A476="","",IF(COUNTIFS(CARD_LOG!$C:$C,A476,CARD_LOG!$L:$L,"Yes",CARD_LOG!$K:$K,"&lt;14")&gt;0,"No","Yes"))</f>
        <v/>
      </c>
      <c r="F476" s="2" t="str">
        <f t="shared" si="1"/>
        <v/>
      </c>
    </row>
    <row r="477" ht="15.75" customHeight="1">
      <c r="B477" s="2" t="str">
        <f>IF(A477="","",VLOOKUP(A477,ROSTER!$A$2:$F$500,3,FALSE))</f>
        <v/>
      </c>
      <c r="C477" s="2" t="str">
        <f>IF(A477="","",COUNTIF(CARD_LOG!$C:$C,A477))</f>
        <v/>
      </c>
      <c r="D477" s="4" t="str">
        <f>IF(A477="","",IFERROR(AVERAGEIF(CARD_LOG!$C:$C,A477,CARD_LOG!$M:$M),""))</f>
        <v/>
      </c>
      <c r="E477" s="2" t="str">
        <f>IF(A477="","",IF(COUNTIFS(CARD_LOG!$C:$C,A477,CARD_LOG!$L:$L,"Yes",CARD_LOG!$K:$K,"&lt;14")&gt;0,"No","Yes"))</f>
        <v/>
      </c>
      <c r="F477" s="2" t="str">
        <f t="shared" si="1"/>
        <v/>
      </c>
    </row>
    <row r="478" ht="15.75" customHeight="1">
      <c r="B478" s="2" t="str">
        <f>IF(A478="","",VLOOKUP(A478,ROSTER!$A$2:$F$500,3,FALSE))</f>
        <v/>
      </c>
      <c r="C478" s="2" t="str">
        <f>IF(A478="","",COUNTIF(CARD_LOG!$C:$C,A478))</f>
        <v/>
      </c>
      <c r="D478" s="4" t="str">
        <f>IF(A478="","",IFERROR(AVERAGEIF(CARD_LOG!$C:$C,A478,CARD_LOG!$M:$M),""))</f>
        <v/>
      </c>
      <c r="E478" s="2" t="str">
        <f>IF(A478="","",IF(COUNTIFS(CARD_LOG!$C:$C,A478,CARD_LOG!$L:$L,"Yes",CARD_LOG!$K:$K,"&lt;14")&gt;0,"No","Yes"))</f>
        <v/>
      </c>
      <c r="F478" s="2" t="str">
        <f t="shared" si="1"/>
        <v/>
      </c>
    </row>
    <row r="479" ht="15.75" customHeight="1">
      <c r="B479" s="2" t="str">
        <f>IF(A479="","",VLOOKUP(A479,ROSTER!$A$2:$F$500,3,FALSE))</f>
        <v/>
      </c>
      <c r="C479" s="2" t="str">
        <f>IF(A479="","",COUNTIF(CARD_LOG!$C:$C,A479))</f>
        <v/>
      </c>
      <c r="D479" s="4" t="str">
        <f>IF(A479="","",IFERROR(AVERAGEIF(CARD_LOG!$C:$C,A479,CARD_LOG!$M:$M),""))</f>
        <v/>
      </c>
      <c r="E479" s="2" t="str">
        <f>IF(A479="","",IF(COUNTIFS(CARD_LOG!$C:$C,A479,CARD_LOG!$L:$L,"Yes",CARD_LOG!$K:$K,"&lt;14")&gt;0,"No","Yes"))</f>
        <v/>
      </c>
      <c r="F479" s="2" t="str">
        <f t="shared" si="1"/>
        <v/>
      </c>
    </row>
    <row r="480" ht="15.75" customHeight="1">
      <c r="B480" s="2" t="str">
        <f>IF(A480="","",VLOOKUP(A480,ROSTER!$A$2:$F$500,3,FALSE))</f>
        <v/>
      </c>
      <c r="C480" s="2" t="str">
        <f>IF(A480="","",COUNTIF(CARD_LOG!$C:$C,A480))</f>
        <v/>
      </c>
      <c r="D480" s="4" t="str">
        <f>IF(A480="","",IFERROR(AVERAGEIF(CARD_LOG!$C:$C,A480,CARD_LOG!$M:$M),""))</f>
        <v/>
      </c>
      <c r="E480" s="2" t="str">
        <f>IF(A480="","",IF(COUNTIFS(CARD_LOG!$C:$C,A480,CARD_LOG!$L:$L,"Yes",CARD_LOG!$K:$K,"&lt;14")&gt;0,"No","Yes"))</f>
        <v/>
      </c>
      <c r="F480" s="2" t="str">
        <f t="shared" si="1"/>
        <v/>
      </c>
    </row>
    <row r="481" ht="15.75" customHeight="1">
      <c r="B481" s="2" t="str">
        <f>IF(A481="","",VLOOKUP(A481,ROSTER!$A$2:$F$500,3,FALSE))</f>
        <v/>
      </c>
      <c r="C481" s="2" t="str">
        <f>IF(A481="","",COUNTIF(CARD_LOG!$C:$C,A481))</f>
        <v/>
      </c>
      <c r="D481" s="4" t="str">
        <f>IF(A481="","",IFERROR(AVERAGEIF(CARD_LOG!$C:$C,A481,CARD_LOG!$M:$M),""))</f>
        <v/>
      </c>
      <c r="E481" s="2" t="str">
        <f>IF(A481="","",IF(COUNTIFS(CARD_LOG!$C:$C,A481,CARD_LOG!$L:$L,"Yes",CARD_LOG!$K:$K,"&lt;14")&gt;0,"No","Yes"))</f>
        <v/>
      </c>
      <c r="F481" s="2" t="str">
        <f t="shared" si="1"/>
        <v/>
      </c>
    </row>
    <row r="482" ht="15.75" customHeight="1">
      <c r="B482" s="2" t="str">
        <f>IF(A482="","",VLOOKUP(A482,ROSTER!$A$2:$F$500,3,FALSE))</f>
        <v/>
      </c>
      <c r="C482" s="2" t="str">
        <f>IF(A482="","",COUNTIF(CARD_LOG!$C:$C,A482))</f>
        <v/>
      </c>
      <c r="D482" s="4" t="str">
        <f>IF(A482="","",IFERROR(AVERAGEIF(CARD_LOG!$C:$C,A482,CARD_LOG!$M:$M),""))</f>
        <v/>
      </c>
      <c r="E482" s="2" t="str">
        <f>IF(A482="","",IF(COUNTIFS(CARD_LOG!$C:$C,A482,CARD_LOG!$L:$L,"Yes",CARD_LOG!$K:$K,"&lt;14")&gt;0,"No","Yes"))</f>
        <v/>
      </c>
      <c r="F482" s="2" t="str">
        <f t="shared" si="1"/>
        <v/>
      </c>
    </row>
    <row r="483" ht="15.75" customHeight="1">
      <c r="B483" s="2" t="str">
        <f>IF(A483="","",VLOOKUP(A483,ROSTER!$A$2:$F$500,3,FALSE))</f>
        <v/>
      </c>
      <c r="C483" s="2" t="str">
        <f>IF(A483="","",COUNTIF(CARD_LOG!$C:$C,A483))</f>
        <v/>
      </c>
      <c r="D483" s="4" t="str">
        <f>IF(A483="","",IFERROR(AVERAGEIF(CARD_LOG!$C:$C,A483,CARD_LOG!$M:$M),""))</f>
        <v/>
      </c>
      <c r="E483" s="2" t="str">
        <f>IF(A483="","",IF(COUNTIFS(CARD_LOG!$C:$C,A483,CARD_LOG!$L:$L,"Yes",CARD_LOG!$K:$K,"&lt;14")&gt;0,"No","Yes"))</f>
        <v/>
      </c>
      <c r="F483" s="2" t="str">
        <f t="shared" si="1"/>
        <v/>
      </c>
    </row>
    <row r="484" ht="15.75" customHeight="1">
      <c r="B484" s="2" t="str">
        <f>IF(A484="","",VLOOKUP(A484,ROSTER!$A$2:$F$500,3,FALSE))</f>
        <v/>
      </c>
      <c r="C484" s="2" t="str">
        <f>IF(A484="","",COUNTIF(CARD_LOG!$C:$C,A484))</f>
        <v/>
      </c>
      <c r="D484" s="4" t="str">
        <f>IF(A484="","",IFERROR(AVERAGEIF(CARD_LOG!$C:$C,A484,CARD_LOG!$M:$M),""))</f>
        <v/>
      </c>
      <c r="E484" s="2" t="str">
        <f>IF(A484="","",IF(COUNTIFS(CARD_LOG!$C:$C,A484,CARD_LOG!$L:$L,"Yes",CARD_LOG!$K:$K,"&lt;14")&gt;0,"No","Yes"))</f>
        <v/>
      </c>
      <c r="F484" s="2" t="str">
        <f t="shared" si="1"/>
        <v/>
      </c>
    </row>
    <row r="485" ht="15.75" customHeight="1">
      <c r="B485" s="2" t="str">
        <f>IF(A485="","",VLOOKUP(A485,ROSTER!$A$2:$F$500,3,FALSE))</f>
        <v/>
      </c>
      <c r="C485" s="2" t="str">
        <f>IF(A485="","",COUNTIF(CARD_LOG!$C:$C,A485))</f>
        <v/>
      </c>
      <c r="D485" s="4" t="str">
        <f>IF(A485="","",IFERROR(AVERAGEIF(CARD_LOG!$C:$C,A485,CARD_LOG!$M:$M),""))</f>
        <v/>
      </c>
      <c r="E485" s="2" t="str">
        <f>IF(A485="","",IF(COUNTIFS(CARD_LOG!$C:$C,A485,CARD_LOG!$L:$L,"Yes",CARD_LOG!$K:$K,"&lt;14")&gt;0,"No","Yes"))</f>
        <v/>
      </c>
      <c r="F485" s="2" t="str">
        <f t="shared" si="1"/>
        <v/>
      </c>
    </row>
    <row r="486" ht="15.75" customHeight="1">
      <c r="B486" s="2" t="str">
        <f>IF(A486="","",VLOOKUP(A486,ROSTER!$A$2:$F$500,3,FALSE))</f>
        <v/>
      </c>
      <c r="C486" s="2" t="str">
        <f>IF(A486="","",COUNTIF(CARD_LOG!$C:$C,A486))</f>
        <v/>
      </c>
      <c r="D486" s="4" t="str">
        <f>IF(A486="","",IFERROR(AVERAGEIF(CARD_LOG!$C:$C,A486,CARD_LOG!$M:$M),""))</f>
        <v/>
      </c>
      <c r="E486" s="2" t="str">
        <f>IF(A486="","",IF(COUNTIFS(CARD_LOG!$C:$C,A486,CARD_LOG!$L:$L,"Yes",CARD_LOG!$K:$K,"&lt;14")&gt;0,"No","Yes"))</f>
        <v/>
      </c>
      <c r="F486" s="2" t="str">
        <f t="shared" si="1"/>
        <v/>
      </c>
    </row>
    <row r="487" ht="15.75" customHeight="1">
      <c r="B487" s="2" t="str">
        <f>IF(A487="","",VLOOKUP(A487,ROSTER!$A$2:$F$500,3,FALSE))</f>
        <v/>
      </c>
      <c r="C487" s="2" t="str">
        <f>IF(A487="","",COUNTIF(CARD_LOG!$C:$C,A487))</f>
        <v/>
      </c>
      <c r="D487" s="4" t="str">
        <f>IF(A487="","",IFERROR(AVERAGEIF(CARD_LOG!$C:$C,A487,CARD_LOG!$M:$M),""))</f>
        <v/>
      </c>
      <c r="E487" s="2" t="str">
        <f>IF(A487="","",IF(COUNTIFS(CARD_LOG!$C:$C,A487,CARD_LOG!$L:$L,"Yes",CARD_LOG!$K:$K,"&lt;14")&gt;0,"No","Yes"))</f>
        <v/>
      </c>
      <c r="F487" s="2" t="str">
        <f t="shared" si="1"/>
        <v/>
      </c>
    </row>
    <row r="488" ht="15.75" customHeight="1">
      <c r="B488" s="2" t="str">
        <f>IF(A488="","",VLOOKUP(A488,ROSTER!$A$2:$F$500,3,FALSE))</f>
        <v/>
      </c>
      <c r="C488" s="2" t="str">
        <f>IF(A488="","",COUNTIF(CARD_LOG!$C:$C,A488))</f>
        <v/>
      </c>
      <c r="D488" s="4" t="str">
        <f>IF(A488="","",IFERROR(AVERAGEIF(CARD_LOG!$C:$C,A488,CARD_LOG!$M:$M),""))</f>
        <v/>
      </c>
      <c r="E488" s="2" t="str">
        <f>IF(A488="","",IF(COUNTIFS(CARD_LOG!$C:$C,A488,CARD_LOG!$L:$L,"Yes",CARD_LOG!$K:$K,"&lt;14")&gt;0,"No","Yes"))</f>
        <v/>
      </c>
      <c r="F488" s="2" t="str">
        <f t="shared" si="1"/>
        <v/>
      </c>
    </row>
    <row r="489" ht="15.75" customHeight="1">
      <c r="B489" s="2" t="str">
        <f>IF(A489="","",VLOOKUP(A489,ROSTER!$A$2:$F$500,3,FALSE))</f>
        <v/>
      </c>
      <c r="C489" s="2" t="str">
        <f>IF(A489="","",COUNTIF(CARD_LOG!$C:$C,A489))</f>
        <v/>
      </c>
      <c r="D489" s="4" t="str">
        <f>IF(A489="","",IFERROR(AVERAGEIF(CARD_LOG!$C:$C,A489,CARD_LOG!$M:$M),""))</f>
        <v/>
      </c>
      <c r="E489" s="2" t="str">
        <f>IF(A489="","",IF(COUNTIFS(CARD_LOG!$C:$C,A489,CARD_LOG!$L:$L,"Yes",CARD_LOG!$K:$K,"&lt;14")&gt;0,"No","Yes"))</f>
        <v/>
      </c>
      <c r="F489" s="2" t="str">
        <f t="shared" si="1"/>
        <v/>
      </c>
    </row>
    <row r="490" ht="15.75" customHeight="1">
      <c r="B490" s="2" t="str">
        <f>IF(A490="","",VLOOKUP(A490,ROSTER!$A$2:$F$500,3,FALSE))</f>
        <v/>
      </c>
      <c r="C490" s="2" t="str">
        <f>IF(A490="","",COUNTIF(CARD_LOG!$C:$C,A490))</f>
        <v/>
      </c>
      <c r="D490" s="4" t="str">
        <f>IF(A490="","",IFERROR(AVERAGEIF(CARD_LOG!$C:$C,A490,CARD_LOG!$M:$M),""))</f>
        <v/>
      </c>
      <c r="E490" s="2" t="str">
        <f>IF(A490="","",IF(COUNTIFS(CARD_LOG!$C:$C,A490,CARD_LOG!$L:$L,"Yes",CARD_LOG!$K:$K,"&lt;14")&gt;0,"No","Yes"))</f>
        <v/>
      </c>
      <c r="F490" s="2" t="str">
        <f t="shared" si="1"/>
        <v/>
      </c>
    </row>
    <row r="491" ht="15.75" customHeight="1">
      <c r="B491" s="2" t="str">
        <f>IF(A491="","",VLOOKUP(A491,ROSTER!$A$2:$F$500,3,FALSE))</f>
        <v/>
      </c>
      <c r="C491" s="2" t="str">
        <f>IF(A491="","",COUNTIF(CARD_LOG!$C:$C,A491))</f>
        <v/>
      </c>
      <c r="D491" s="4" t="str">
        <f>IF(A491="","",IFERROR(AVERAGEIF(CARD_LOG!$C:$C,A491,CARD_LOG!$M:$M),""))</f>
        <v/>
      </c>
      <c r="E491" s="2" t="str">
        <f>IF(A491="","",IF(COUNTIFS(CARD_LOG!$C:$C,A491,CARD_LOG!$L:$L,"Yes",CARD_LOG!$K:$K,"&lt;14")&gt;0,"No","Yes"))</f>
        <v/>
      </c>
      <c r="F491" s="2" t="str">
        <f t="shared" si="1"/>
        <v/>
      </c>
    </row>
    <row r="492" ht="15.75" customHeight="1">
      <c r="B492" s="2" t="str">
        <f>IF(A492="","",VLOOKUP(A492,ROSTER!$A$2:$F$500,3,FALSE))</f>
        <v/>
      </c>
      <c r="C492" s="2" t="str">
        <f>IF(A492="","",COUNTIF(CARD_LOG!$C:$C,A492))</f>
        <v/>
      </c>
      <c r="D492" s="4" t="str">
        <f>IF(A492="","",IFERROR(AVERAGEIF(CARD_LOG!$C:$C,A492,CARD_LOG!$M:$M),""))</f>
        <v/>
      </c>
      <c r="E492" s="2" t="str">
        <f>IF(A492="","",IF(COUNTIFS(CARD_LOG!$C:$C,A492,CARD_LOG!$L:$L,"Yes",CARD_LOG!$K:$K,"&lt;14")&gt;0,"No","Yes"))</f>
        <v/>
      </c>
      <c r="F492" s="2" t="str">
        <f t="shared" si="1"/>
        <v/>
      </c>
    </row>
    <row r="493" ht="15.75" customHeight="1">
      <c r="B493" s="2" t="str">
        <f>IF(A493="","",VLOOKUP(A493,ROSTER!$A$2:$F$500,3,FALSE))</f>
        <v/>
      </c>
      <c r="C493" s="2" t="str">
        <f>IF(A493="","",COUNTIF(CARD_LOG!$C:$C,A493))</f>
        <v/>
      </c>
      <c r="D493" s="4" t="str">
        <f>IF(A493="","",IFERROR(AVERAGEIF(CARD_LOG!$C:$C,A493,CARD_LOG!$M:$M),""))</f>
        <v/>
      </c>
      <c r="E493" s="2" t="str">
        <f>IF(A493="","",IF(COUNTIFS(CARD_LOG!$C:$C,A493,CARD_LOG!$L:$L,"Yes",CARD_LOG!$K:$K,"&lt;14")&gt;0,"No","Yes"))</f>
        <v/>
      </c>
      <c r="F493" s="2" t="str">
        <f t="shared" si="1"/>
        <v/>
      </c>
    </row>
    <row r="494" ht="15.75" customHeight="1">
      <c r="B494" s="2" t="str">
        <f>IF(A494="","",VLOOKUP(A494,ROSTER!$A$2:$F$500,3,FALSE))</f>
        <v/>
      </c>
      <c r="C494" s="2" t="str">
        <f>IF(A494="","",COUNTIF(CARD_LOG!$C:$C,A494))</f>
        <v/>
      </c>
      <c r="D494" s="4" t="str">
        <f>IF(A494="","",IFERROR(AVERAGEIF(CARD_LOG!$C:$C,A494,CARD_LOG!$M:$M),""))</f>
        <v/>
      </c>
      <c r="E494" s="2" t="str">
        <f>IF(A494="","",IF(COUNTIFS(CARD_LOG!$C:$C,A494,CARD_LOG!$L:$L,"Yes",CARD_LOG!$K:$K,"&lt;14")&gt;0,"No","Yes"))</f>
        <v/>
      </c>
      <c r="F494" s="2" t="str">
        <f t="shared" si="1"/>
        <v/>
      </c>
    </row>
    <row r="495" ht="15.75" customHeight="1">
      <c r="B495" s="2" t="str">
        <f>IF(A495="","",VLOOKUP(A495,ROSTER!$A$2:$F$500,3,FALSE))</f>
        <v/>
      </c>
      <c r="C495" s="2" t="str">
        <f>IF(A495="","",COUNTIF(CARD_LOG!$C:$C,A495))</f>
        <v/>
      </c>
      <c r="D495" s="4" t="str">
        <f>IF(A495="","",IFERROR(AVERAGEIF(CARD_LOG!$C:$C,A495,CARD_LOG!$M:$M),""))</f>
        <v/>
      </c>
      <c r="E495" s="2" t="str">
        <f>IF(A495="","",IF(COUNTIFS(CARD_LOG!$C:$C,A495,CARD_LOG!$L:$L,"Yes",CARD_LOG!$K:$K,"&lt;14")&gt;0,"No","Yes"))</f>
        <v/>
      </c>
      <c r="F495" s="2" t="str">
        <f t="shared" si="1"/>
        <v/>
      </c>
    </row>
    <row r="496" ht="15.75" customHeight="1">
      <c r="B496" s="2" t="str">
        <f>IF(A496="","",VLOOKUP(A496,ROSTER!$A$2:$F$500,3,FALSE))</f>
        <v/>
      </c>
      <c r="C496" s="2" t="str">
        <f>IF(A496="","",COUNTIF(CARD_LOG!$C:$C,A496))</f>
        <v/>
      </c>
      <c r="D496" s="4" t="str">
        <f>IF(A496="","",IFERROR(AVERAGEIF(CARD_LOG!$C:$C,A496,CARD_LOG!$M:$M),""))</f>
        <v/>
      </c>
      <c r="E496" s="2" t="str">
        <f>IF(A496="","",IF(COUNTIFS(CARD_LOG!$C:$C,A496,CARD_LOG!$L:$L,"Yes",CARD_LOG!$K:$K,"&lt;14")&gt;0,"No","Yes"))</f>
        <v/>
      </c>
      <c r="F496" s="2" t="str">
        <f t="shared" si="1"/>
        <v/>
      </c>
    </row>
    <row r="497" ht="15.75" customHeight="1">
      <c r="B497" s="2" t="str">
        <f>IF(A497="","",VLOOKUP(A497,ROSTER!$A$2:$F$500,3,FALSE))</f>
        <v/>
      </c>
      <c r="C497" s="2" t="str">
        <f>IF(A497="","",COUNTIF(CARD_LOG!$C:$C,A497))</f>
        <v/>
      </c>
      <c r="D497" s="4" t="str">
        <f>IF(A497="","",IFERROR(AVERAGEIF(CARD_LOG!$C:$C,A497,CARD_LOG!$M:$M),""))</f>
        <v/>
      </c>
      <c r="E497" s="2" t="str">
        <f>IF(A497="","",IF(COUNTIFS(CARD_LOG!$C:$C,A497,CARD_LOG!$L:$L,"Yes",CARD_LOG!$K:$K,"&lt;14")&gt;0,"No","Yes"))</f>
        <v/>
      </c>
      <c r="F497" s="2" t="str">
        <f t="shared" si="1"/>
        <v/>
      </c>
    </row>
    <row r="498" ht="15.75" customHeight="1">
      <c r="B498" s="2" t="str">
        <f>IF(A498="","",VLOOKUP(A498,ROSTER!$A$2:$F$500,3,FALSE))</f>
        <v/>
      </c>
      <c r="C498" s="2" t="str">
        <f>IF(A498="","",COUNTIF(CARD_LOG!$C:$C,A498))</f>
        <v/>
      </c>
      <c r="D498" s="4" t="str">
        <f>IF(A498="","",IFERROR(AVERAGEIF(CARD_LOG!$C:$C,A498,CARD_LOG!$M:$M),""))</f>
        <v/>
      </c>
      <c r="E498" s="2" t="str">
        <f>IF(A498="","",IF(COUNTIFS(CARD_LOG!$C:$C,A498,CARD_LOG!$L:$L,"Yes",CARD_LOG!$K:$K,"&lt;14")&gt;0,"No","Yes"))</f>
        <v/>
      </c>
      <c r="F498" s="2" t="str">
        <f t="shared" si="1"/>
        <v/>
      </c>
    </row>
    <row r="499" ht="15.75" customHeight="1">
      <c r="B499" s="2" t="str">
        <f>IF(A499="","",VLOOKUP(A499,ROSTER!$A$2:$F$500,3,FALSE))</f>
        <v/>
      </c>
      <c r="C499" s="2" t="str">
        <f>IF(A499="","",COUNTIF(CARD_LOG!$C:$C,A499))</f>
        <v/>
      </c>
      <c r="D499" s="4" t="str">
        <f>IF(A499="","",IFERROR(AVERAGEIF(CARD_LOG!$C:$C,A499,CARD_LOG!$M:$M),""))</f>
        <v/>
      </c>
      <c r="E499" s="2" t="str">
        <f>IF(A499="","",IF(COUNTIFS(CARD_LOG!$C:$C,A499,CARD_LOG!$L:$L,"Yes",CARD_LOG!$K:$K,"&lt;14")&gt;0,"No","Yes"))</f>
        <v/>
      </c>
      <c r="F499" s="2" t="str">
        <f t="shared" si="1"/>
        <v/>
      </c>
    </row>
    <row r="500" ht="15.75" customHeight="1">
      <c r="B500" s="2" t="str">
        <f>IF(A500="","",VLOOKUP(A500,ROSTER!$A$2:$F$500,3,FALSE))</f>
        <v/>
      </c>
      <c r="C500" s="2" t="str">
        <f>IF(A500="","",COUNTIF(CARD_LOG!$C:$C,A500))</f>
        <v/>
      </c>
      <c r="D500" s="4" t="str">
        <f>IF(A500="","",IFERROR(AVERAGEIF(CARD_LOG!$C:$C,A500,CARD_LOG!$M:$M),""))</f>
        <v/>
      </c>
      <c r="E500" s="2" t="str">
        <f>IF(A500="","",IF(COUNTIFS(CARD_LOG!$C:$C,A500,CARD_LOG!$L:$L,"Yes",CARD_LOG!$K:$K,"&lt;14")&gt;0,"No","Yes"))</f>
        <v/>
      </c>
      <c r="F500" s="2" t="str">
        <f t="shared" si="1"/>
        <v/>
      </c>
    </row>
    <row r="501" ht="15.75" customHeight="1">
      <c r="B501" s="2" t="str">
        <f>IF(A501="","",VLOOKUP(A501,ROSTER!$A$2:$F$500,3,FALSE))</f>
        <v/>
      </c>
      <c r="C501" s="2" t="str">
        <f>IF(A501="","",COUNTIF(CARD_LOG!$C:$C,A501))</f>
        <v/>
      </c>
      <c r="D501" s="4" t="str">
        <f>IF(A501="","",IFERROR(AVERAGEIF(CARD_LOG!$C:$C,A501,CARD_LOG!$M:$M),""))</f>
        <v/>
      </c>
      <c r="E501" s="2" t="str">
        <f>IF(A501="","",IF(COUNTIFS(CARD_LOG!$C:$C,A501,CARD_LOG!$L:$L,"Yes",CARD_LOG!$K:$K,"&lt;14")&gt;0,"No","Yes"))</f>
        <v/>
      </c>
      <c r="F501" s="2" t="str">
        <f t="shared" si="1"/>
        <v/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500">
    <cfRule type="expression" dxfId="0" priority="1">
      <formula>$F2="Remediation"</formula>
    </cfRule>
  </conditionalFormatting>
  <conditionalFormatting sqref="F2:F500">
    <cfRule type="expression" dxfId="2" priority="2">
      <formula>$F2="Operational"</formula>
    </cfRule>
  </conditionalFormatting>
  <conditionalFormatting sqref="F2:F500">
    <cfRule type="expression" dxfId="3" priority="3">
      <formula>$F2="Advanced"</formula>
    </cfRule>
  </conditionalFormatting>
  <conditionalFormatting sqref="E2:E500">
    <cfRule type="expression" dxfId="0" priority="4">
      <formula>$E2="No"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86"/>
    <col customWidth="1" min="2" max="2" width="35.57"/>
    <col customWidth="1" min="3" max="3" width="36.43"/>
    <col customWidth="1" min="4" max="4" width="26.86"/>
    <col customWidth="1" min="5" max="5" width="32.57"/>
  </cols>
  <sheetData>
    <row r="1">
      <c r="A1" s="5" t="s">
        <v>26</v>
      </c>
    </row>
    <row r="3">
      <c r="A3" s="6" t="s">
        <v>27</v>
      </c>
    </row>
    <row r="5">
      <c r="A5" s="5" t="s">
        <v>28</v>
      </c>
    </row>
    <row r="6">
      <c r="A6" s="7" t="s">
        <v>29</v>
      </c>
      <c r="B6" s="8" t="s">
        <v>30</v>
      </c>
      <c r="C6" s="8" t="s">
        <v>31</v>
      </c>
      <c r="D6" s="8" t="s">
        <v>32</v>
      </c>
      <c r="E6" s="8" t="s">
        <v>33</v>
      </c>
    </row>
    <row r="7">
      <c r="A7" s="5" t="s">
        <v>34</v>
      </c>
      <c r="B7" s="6" t="s">
        <v>35</v>
      </c>
      <c r="C7" s="6" t="s">
        <v>36</v>
      </c>
      <c r="D7" s="6" t="s">
        <v>37</v>
      </c>
      <c r="E7" s="6" t="s">
        <v>38</v>
      </c>
    </row>
    <row r="8">
      <c r="A8" s="5" t="s">
        <v>39</v>
      </c>
      <c r="B8" s="6" t="s">
        <v>40</v>
      </c>
      <c r="C8" s="6" t="s">
        <v>41</v>
      </c>
      <c r="D8" s="6" t="s">
        <v>42</v>
      </c>
      <c r="E8" s="6" t="s">
        <v>43</v>
      </c>
    </row>
    <row r="9">
      <c r="A9" s="5" t="s">
        <v>44</v>
      </c>
      <c r="B9" s="6" t="s">
        <v>45</v>
      </c>
      <c r="C9" s="6" t="s">
        <v>46</v>
      </c>
      <c r="D9" s="6" t="s">
        <v>47</v>
      </c>
      <c r="E9" s="6" t="s">
        <v>48</v>
      </c>
    </row>
    <row r="10">
      <c r="A10" s="5" t="s">
        <v>49</v>
      </c>
      <c r="B10" s="6" t="s">
        <v>50</v>
      </c>
      <c r="C10" s="6" t="s">
        <v>51</v>
      </c>
      <c r="D10" s="6" t="s">
        <v>52</v>
      </c>
      <c r="E10" s="6" t="s">
        <v>53</v>
      </c>
    </row>
    <row r="11">
      <c r="A11" s="5" t="s">
        <v>54</v>
      </c>
      <c r="B11" s="9"/>
      <c r="C11" s="9"/>
      <c r="D11" s="9"/>
      <c r="E11" s="9"/>
    </row>
    <row r="12">
      <c r="A12" s="5" t="s">
        <v>29</v>
      </c>
      <c r="B12" s="6" t="s">
        <v>30</v>
      </c>
      <c r="C12" s="6" t="s">
        <v>31</v>
      </c>
      <c r="D12" s="6" t="s">
        <v>32</v>
      </c>
      <c r="E12" s="6" t="s">
        <v>55</v>
      </c>
    </row>
    <row r="13">
      <c r="A13" s="5" t="s">
        <v>56</v>
      </c>
      <c r="B13" s="6" t="s">
        <v>57</v>
      </c>
      <c r="C13" s="6" t="s">
        <v>58</v>
      </c>
      <c r="D13" s="6" t="s">
        <v>59</v>
      </c>
      <c r="E13" s="6" t="s">
        <v>60</v>
      </c>
    </row>
    <row r="14">
      <c r="A14" s="5" t="s">
        <v>61</v>
      </c>
      <c r="B14" s="6" t="s">
        <v>62</v>
      </c>
      <c r="C14" s="6" t="s">
        <v>63</v>
      </c>
      <c r="D14" s="6" t="s">
        <v>64</v>
      </c>
      <c r="E14" s="6" t="s">
        <v>65</v>
      </c>
    </row>
    <row r="15">
      <c r="A15" s="5" t="s">
        <v>66</v>
      </c>
      <c r="B15" s="6" t="s">
        <v>67</v>
      </c>
      <c r="C15" s="6" t="s">
        <v>68</v>
      </c>
      <c r="D15" s="6" t="s">
        <v>69</v>
      </c>
      <c r="E15" s="6" t="s">
        <v>70</v>
      </c>
    </row>
    <row r="16">
      <c r="A16" s="5" t="s">
        <v>71</v>
      </c>
      <c r="B16" s="6" t="s">
        <v>72</v>
      </c>
      <c r="C16" s="6" t="s">
        <v>73</v>
      </c>
      <c r="D16" s="6" t="s">
        <v>74</v>
      </c>
      <c r="E16" s="6" t="s">
        <v>75</v>
      </c>
    </row>
    <row r="17">
      <c r="A17" s="5" t="s">
        <v>76</v>
      </c>
      <c r="B17" s="9"/>
      <c r="C17" s="9"/>
      <c r="D17" s="9"/>
      <c r="E17" s="9"/>
    </row>
    <row r="18">
      <c r="A18" s="5" t="s">
        <v>29</v>
      </c>
      <c r="B18" s="6" t="s">
        <v>30</v>
      </c>
      <c r="C18" s="6" t="s">
        <v>31</v>
      </c>
      <c r="D18" s="6" t="s">
        <v>32</v>
      </c>
      <c r="E18" s="6" t="s">
        <v>55</v>
      </c>
    </row>
    <row r="19">
      <c r="A19" s="5" t="s">
        <v>77</v>
      </c>
      <c r="B19" s="6" t="s">
        <v>78</v>
      </c>
      <c r="C19" s="6" t="s">
        <v>79</v>
      </c>
      <c r="D19" s="6" t="s">
        <v>80</v>
      </c>
      <c r="E19" s="6" t="s">
        <v>81</v>
      </c>
    </row>
    <row r="20">
      <c r="A20" s="5" t="s">
        <v>82</v>
      </c>
      <c r="B20" s="6" t="s">
        <v>83</v>
      </c>
      <c r="C20" s="6" t="s">
        <v>84</v>
      </c>
      <c r="D20" s="6" t="s">
        <v>85</v>
      </c>
      <c r="E20" s="6" t="s">
        <v>86</v>
      </c>
    </row>
    <row r="21">
      <c r="A21" s="5" t="s">
        <v>87</v>
      </c>
      <c r="B21" s="6" t="s">
        <v>88</v>
      </c>
      <c r="C21" s="6" t="s">
        <v>89</v>
      </c>
      <c r="D21" s="6" t="s">
        <v>90</v>
      </c>
      <c r="E21" s="6" t="s">
        <v>91</v>
      </c>
    </row>
    <row r="22">
      <c r="A22" s="5" t="s">
        <v>92</v>
      </c>
      <c r="B22" s="6" t="s">
        <v>93</v>
      </c>
      <c r="C22" s="6" t="s">
        <v>94</v>
      </c>
      <c r="D22" s="6" t="s">
        <v>95</v>
      </c>
      <c r="E22" s="6" t="s">
        <v>96</v>
      </c>
    </row>
    <row r="23">
      <c r="A23" s="5" t="s">
        <v>97</v>
      </c>
      <c r="B23" s="9"/>
      <c r="C23" s="9"/>
      <c r="D23" s="9"/>
      <c r="E23" s="9"/>
    </row>
    <row r="24">
      <c r="A24" s="5" t="s">
        <v>29</v>
      </c>
      <c r="B24" s="6" t="s">
        <v>30</v>
      </c>
      <c r="C24" s="6" t="s">
        <v>31</v>
      </c>
      <c r="D24" s="6" t="s">
        <v>32</v>
      </c>
      <c r="E24" s="6" t="s">
        <v>55</v>
      </c>
    </row>
    <row r="25">
      <c r="A25" s="5" t="s">
        <v>98</v>
      </c>
      <c r="B25" s="6" t="s">
        <v>99</v>
      </c>
      <c r="C25" s="6" t="s">
        <v>100</v>
      </c>
      <c r="D25" s="6" t="s">
        <v>101</v>
      </c>
      <c r="E25" s="6" t="s">
        <v>102</v>
      </c>
    </row>
    <row r="26">
      <c r="A26" s="5" t="s">
        <v>103</v>
      </c>
      <c r="B26" s="6" t="s">
        <v>104</v>
      </c>
      <c r="C26" s="6" t="s">
        <v>105</v>
      </c>
      <c r="D26" s="6" t="s">
        <v>106</v>
      </c>
      <c r="E26" s="6" t="s">
        <v>107</v>
      </c>
    </row>
    <row r="27">
      <c r="A27" s="5" t="s">
        <v>108</v>
      </c>
      <c r="B27" s="6" t="s">
        <v>109</v>
      </c>
      <c r="C27" s="6" t="s">
        <v>110</v>
      </c>
      <c r="D27" s="6" t="s">
        <v>80</v>
      </c>
      <c r="E27" s="6" t="s">
        <v>111</v>
      </c>
    </row>
    <row r="28">
      <c r="A28" s="5" t="s">
        <v>112</v>
      </c>
      <c r="B28" s="6" t="s">
        <v>113</v>
      </c>
      <c r="C28" s="6" t="s">
        <v>114</v>
      </c>
      <c r="D28" s="6" t="s">
        <v>79</v>
      </c>
      <c r="E28" s="6" t="s">
        <v>115</v>
      </c>
    </row>
    <row r="29">
      <c r="A29" s="5" t="s">
        <v>116</v>
      </c>
      <c r="B29" s="9"/>
      <c r="C29" s="9"/>
      <c r="D29" s="9"/>
      <c r="E29" s="9"/>
    </row>
    <row r="30">
      <c r="A30" s="5" t="s">
        <v>29</v>
      </c>
      <c r="B30" s="6" t="s">
        <v>30</v>
      </c>
      <c r="C30" s="6" t="s">
        <v>31</v>
      </c>
      <c r="D30" s="6" t="s">
        <v>32</v>
      </c>
      <c r="E30" s="6" t="s">
        <v>55</v>
      </c>
    </row>
    <row r="31">
      <c r="A31" s="5" t="s">
        <v>117</v>
      </c>
      <c r="B31" s="6" t="s">
        <v>118</v>
      </c>
      <c r="C31" s="6" t="s">
        <v>89</v>
      </c>
      <c r="D31" s="6" t="s">
        <v>119</v>
      </c>
      <c r="E31" s="6" t="s">
        <v>120</v>
      </c>
    </row>
    <row r="32">
      <c r="A32" s="5" t="s">
        <v>121</v>
      </c>
      <c r="B32" s="6" t="s">
        <v>122</v>
      </c>
      <c r="C32" s="6" t="s">
        <v>123</v>
      </c>
      <c r="D32" s="6" t="s">
        <v>124</v>
      </c>
      <c r="E32" s="6" t="s">
        <v>125</v>
      </c>
    </row>
    <row r="33">
      <c r="A33" s="5" t="s">
        <v>126</v>
      </c>
      <c r="B33" s="6" t="s">
        <v>127</v>
      </c>
      <c r="C33" s="6" t="s">
        <v>128</v>
      </c>
      <c r="D33" s="9"/>
      <c r="E33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2026-02-11T18:38:42Z</dcterms:created>
  <dc:creator>openpyxl</dc:creator>
</cp:coreProperties>
</file>